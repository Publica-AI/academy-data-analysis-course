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SQUARE\Desktop\Publicaai\Module 7\Module_02\weeks-02-03-excel-for-data-analysis\01-the-excel-environment-tables-and-referencing\lab\solutions\"/>
    </mc:Choice>
  </mc:AlternateContent>
  <xr:revisionPtr revIDLastSave="0" documentId="13_ncr:1_{9574B082-10AB-4B3C-88C3-9F4B631B919E}" xr6:coauthVersionLast="47" xr6:coauthVersionMax="47" xr10:uidLastSave="{00000000-0000-0000-0000-000000000000}"/>
  <bookViews>
    <workbookView xWindow="-110" yWindow="-110" windowWidth="19420" windowHeight="11020" xr2:uid="{423ACC81-BA20-4A99-A767-C009653FB4D4}"/>
  </bookViews>
  <sheets>
    <sheet name="Raw Export" sheetId="1" r:id="rId1"/>
    <sheet name="Checks" sheetId="2" r:id="rId2"/>
    <sheet name="Find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B10" i="2"/>
  <c r="B7" i="2"/>
  <c r="B5" i="2"/>
  <c r="V4" i="1"/>
  <c r="C16" i="3" s="1"/>
  <c r="V5" i="1"/>
  <c r="V6" i="1"/>
  <c r="V7" i="1"/>
  <c r="B16" i="3" s="1"/>
  <c r="V8" i="1"/>
  <c r="V9" i="1"/>
  <c r="B16" i="2" s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U4" i="1"/>
  <c r="C17" i="3" s="1"/>
  <c r="U5" i="1"/>
  <c r="U6" i="1"/>
  <c r="U7" i="1"/>
  <c r="U8" i="1"/>
  <c r="B15" i="2" s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R4" i="1"/>
  <c r="B6" i="2" s="1"/>
  <c r="R5" i="1"/>
  <c r="R6" i="1"/>
  <c r="B8" i="2" s="1"/>
  <c r="R7" i="1"/>
  <c r="R8" i="1"/>
  <c r="R9" i="1"/>
  <c r="S9" i="1" s="1"/>
  <c r="R10" i="1"/>
  <c r="R11" i="1"/>
  <c r="R12" i="1"/>
  <c r="R13" i="1"/>
  <c r="R14" i="1"/>
  <c r="R15" i="1"/>
  <c r="R16" i="1"/>
  <c r="R17" i="1"/>
  <c r="S17" i="1" s="1"/>
  <c r="R18" i="1"/>
  <c r="R19" i="1"/>
  <c r="R20" i="1"/>
  <c r="R21" i="1"/>
  <c r="R22" i="1"/>
  <c r="R23" i="1"/>
  <c r="R24" i="1"/>
  <c r="R25" i="1"/>
  <c r="S25" i="1" s="1"/>
  <c r="R26" i="1"/>
  <c r="R27" i="1"/>
  <c r="S27" i="1" s="1"/>
  <c r="R28" i="1"/>
  <c r="R29" i="1"/>
  <c r="R30" i="1"/>
  <c r="R31" i="1"/>
  <c r="R32" i="1"/>
  <c r="R33" i="1"/>
  <c r="S33" i="1" s="1"/>
  <c r="R34" i="1"/>
  <c r="R35" i="1"/>
  <c r="S35" i="1" s="1"/>
  <c r="R36" i="1"/>
  <c r="R37" i="1"/>
  <c r="R38" i="1"/>
  <c r="R39" i="1"/>
  <c r="R40" i="1"/>
  <c r="R41" i="1"/>
  <c r="S41" i="1" s="1"/>
  <c r="R42" i="1"/>
  <c r="R43" i="1"/>
  <c r="R44" i="1"/>
  <c r="R45" i="1"/>
  <c r="R46" i="1"/>
  <c r="R47" i="1"/>
  <c r="R48" i="1"/>
  <c r="R49" i="1"/>
  <c r="S49" i="1" s="1"/>
  <c r="R50" i="1"/>
  <c r="R51" i="1"/>
  <c r="R52" i="1"/>
  <c r="R53" i="1"/>
  <c r="R54" i="1"/>
  <c r="R55" i="1"/>
  <c r="R56" i="1"/>
  <c r="R57" i="1"/>
  <c r="S57" i="1" s="1"/>
  <c r="R58" i="1"/>
  <c r="R59" i="1"/>
  <c r="S59" i="1" s="1"/>
  <c r="R60" i="1"/>
  <c r="R61" i="1"/>
  <c r="R62" i="1"/>
  <c r="R63" i="1"/>
  <c r="R64" i="1"/>
  <c r="R65" i="1"/>
  <c r="S65" i="1" s="1"/>
  <c r="R66" i="1"/>
  <c r="R67" i="1"/>
  <c r="S67" i="1" s="1"/>
  <c r="R68" i="1"/>
  <c r="R69" i="1"/>
  <c r="R70" i="1"/>
  <c r="R71" i="1"/>
  <c r="R72" i="1"/>
  <c r="R73" i="1"/>
  <c r="S73" i="1" s="1"/>
  <c r="R74" i="1"/>
  <c r="R75" i="1"/>
  <c r="R76" i="1"/>
  <c r="R77" i="1"/>
  <c r="R78" i="1"/>
  <c r="R79" i="1"/>
  <c r="R80" i="1"/>
  <c r="R81" i="1"/>
  <c r="S81" i="1" s="1"/>
  <c r="R82" i="1"/>
  <c r="R83" i="1"/>
  <c r="R84" i="1"/>
  <c r="R85" i="1"/>
  <c r="R86" i="1"/>
  <c r="R87" i="1"/>
  <c r="R88" i="1"/>
  <c r="R89" i="1"/>
  <c r="S89" i="1" s="1"/>
  <c r="R90" i="1"/>
  <c r="R91" i="1"/>
  <c r="S91" i="1" s="1"/>
  <c r="R92" i="1"/>
  <c r="R93" i="1"/>
  <c r="R94" i="1"/>
  <c r="R95" i="1"/>
  <c r="R96" i="1"/>
  <c r="R97" i="1"/>
  <c r="S97" i="1" s="1"/>
  <c r="R98" i="1"/>
  <c r="R99" i="1"/>
  <c r="S99" i="1" s="1"/>
  <c r="R100" i="1"/>
  <c r="R101" i="1"/>
  <c r="R102" i="1"/>
  <c r="R103" i="1"/>
  <c r="R104" i="1"/>
  <c r="R105" i="1"/>
  <c r="S105" i="1" s="1"/>
  <c r="R106" i="1"/>
  <c r="R107" i="1"/>
  <c r="R108" i="1"/>
  <c r="R109" i="1"/>
  <c r="R110" i="1"/>
  <c r="R111" i="1"/>
  <c r="R112" i="1"/>
  <c r="R113" i="1"/>
  <c r="S113" i="1" s="1"/>
  <c r="R114" i="1"/>
  <c r="R115" i="1"/>
  <c r="R116" i="1"/>
  <c r="R117" i="1"/>
  <c r="R118" i="1"/>
  <c r="R119" i="1"/>
  <c r="R120" i="1"/>
  <c r="R121" i="1"/>
  <c r="S121" i="1" s="1"/>
  <c r="R122" i="1"/>
  <c r="R123" i="1"/>
  <c r="S123" i="1" s="1"/>
  <c r="R124" i="1"/>
  <c r="R125" i="1"/>
  <c r="R126" i="1"/>
  <c r="R127" i="1"/>
  <c r="R128" i="1"/>
  <c r="R129" i="1"/>
  <c r="S129" i="1" s="1"/>
  <c r="R130" i="1"/>
  <c r="R131" i="1"/>
  <c r="S131" i="1" s="1"/>
  <c r="R132" i="1"/>
  <c r="R133" i="1"/>
  <c r="R134" i="1"/>
  <c r="R135" i="1"/>
  <c r="R136" i="1"/>
  <c r="R137" i="1"/>
  <c r="S137" i="1" s="1"/>
  <c r="R138" i="1"/>
  <c r="R139" i="1"/>
  <c r="R140" i="1"/>
  <c r="R141" i="1"/>
  <c r="R142" i="1"/>
  <c r="R143" i="1"/>
  <c r="R144" i="1"/>
  <c r="R145" i="1"/>
  <c r="S145" i="1" s="1"/>
  <c r="R146" i="1"/>
  <c r="R147" i="1"/>
  <c r="R148" i="1"/>
  <c r="R149" i="1"/>
  <c r="R150" i="1"/>
  <c r="R151" i="1"/>
  <c r="R152" i="1"/>
  <c r="R153" i="1"/>
  <c r="S153" i="1" s="1"/>
  <c r="R154" i="1"/>
  <c r="R155" i="1"/>
  <c r="S155" i="1" s="1"/>
  <c r="R156" i="1"/>
  <c r="R157" i="1"/>
  <c r="R158" i="1"/>
  <c r="R159" i="1"/>
  <c r="R160" i="1"/>
  <c r="R161" i="1"/>
  <c r="S161" i="1" s="1"/>
  <c r="R162" i="1"/>
  <c r="R163" i="1"/>
  <c r="S163" i="1" s="1"/>
  <c r="R164" i="1"/>
  <c r="R165" i="1"/>
  <c r="R166" i="1"/>
  <c r="R167" i="1"/>
  <c r="R168" i="1"/>
  <c r="R169" i="1"/>
  <c r="S169" i="1" s="1"/>
  <c r="R170" i="1"/>
  <c r="R171" i="1"/>
  <c r="R172" i="1"/>
  <c r="R173" i="1"/>
  <c r="R174" i="1"/>
  <c r="R175" i="1"/>
  <c r="R176" i="1"/>
  <c r="R177" i="1"/>
  <c r="S177" i="1" s="1"/>
  <c r="R178" i="1"/>
  <c r="R179" i="1"/>
  <c r="R180" i="1"/>
  <c r="R181" i="1"/>
  <c r="R182" i="1"/>
  <c r="R183" i="1"/>
  <c r="R184" i="1"/>
  <c r="R185" i="1"/>
  <c r="S185" i="1" s="1"/>
  <c r="R186" i="1"/>
  <c r="R187" i="1"/>
  <c r="S187" i="1" s="1"/>
  <c r="R188" i="1"/>
  <c r="R189" i="1"/>
  <c r="R190" i="1"/>
  <c r="R191" i="1"/>
  <c r="R192" i="1"/>
  <c r="R193" i="1"/>
  <c r="S193" i="1" s="1"/>
  <c r="R194" i="1"/>
  <c r="R195" i="1"/>
  <c r="S195" i="1" s="1"/>
  <c r="R196" i="1"/>
  <c r="R197" i="1"/>
  <c r="R198" i="1"/>
  <c r="R199" i="1"/>
  <c r="R200" i="1"/>
  <c r="R201" i="1"/>
  <c r="S201" i="1" s="1"/>
  <c r="R202" i="1"/>
  <c r="R203" i="1"/>
  <c r="R204" i="1"/>
  <c r="R205" i="1"/>
  <c r="R206" i="1"/>
  <c r="R207" i="1"/>
  <c r="R208" i="1"/>
  <c r="R209" i="1"/>
  <c r="S209" i="1" s="1"/>
  <c r="R210" i="1"/>
  <c r="R211" i="1"/>
  <c r="R212" i="1"/>
  <c r="R213" i="1"/>
  <c r="R214" i="1"/>
  <c r="R215" i="1"/>
  <c r="R216" i="1"/>
  <c r="R217" i="1"/>
  <c r="S217" i="1" s="1"/>
  <c r="R218" i="1"/>
  <c r="R219" i="1"/>
  <c r="S219" i="1" s="1"/>
  <c r="R220" i="1"/>
  <c r="R221" i="1"/>
  <c r="R222" i="1"/>
  <c r="R223" i="1"/>
  <c r="R224" i="1"/>
  <c r="R225" i="1"/>
  <c r="S225" i="1" s="1"/>
  <c r="R226" i="1"/>
  <c r="R227" i="1"/>
  <c r="S227" i="1" s="1"/>
  <c r="R228" i="1"/>
  <c r="R229" i="1"/>
  <c r="R230" i="1"/>
  <c r="R231" i="1"/>
  <c r="R232" i="1"/>
  <c r="R233" i="1"/>
  <c r="S233" i="1" s="1"/>
  <c r="R234" i="1"/>
  <c r="R235" i="1"/>
  <c r="R236" i="1"/>
  <c r="R237" i="1"/>
  <c r="R238" i="1"/>
  <c r="R239" i="1"/>
  <c r="R240" i="1"/>
  <c r="R241" i="1"/>
  <c r="S241" i="1" s="1"/>
  <c r="R242" i="1"/>
  <c r="R243" i="1"/>
  <c r="R244" i="1"/>
  <c r="R245" i="1"/>
  <c r="R246" i="1"/>
  <c r="R247" i="1"/>
  <c r="R248" i="1"/>
  <c r="R249" i="1"/>
  <c r="S249" i="1" s="1"/>
  <c r="R250" i="1"/>
  <c r="R251" i="1"/>
  <c r="S251" i="1" s="1"/>
  <c r="R252" i="1"/>
  <c r="R253" i="1"/>
  <c r="R254" i="1"/>
  <c r="R255" i="1"/>
  <c r="R256" i="1"/>
  <c r="R257" i="1"/>
  <c r="S257" i="1" s="1"/>
  <c r="R258" i="1"/>
  <c r="R259" i="1"/>
  <c r="S259" i="1" s="1"/>
  <c r="R260" i="1"/>
  <c r="R261" i="1"/>
  <c r="R262" i="1"/>
  <c r="R263" i="1"/>
  <c r="R264" i="1"/>
  <c r="R265" i="1"/>
  <c r="S265" i="1" s="1"/>
  <c r="R266" i="1"/>
  <c r="R267" i="1"/>
  <c r="R268" i="1"/>
  <c r="R269" i="1"/>
  <c r="R270" i="1"/>
  <c r="R271" i="1"/>
  <c r="R272" i="1"/>
  <c r="R273" i="1"/>
  <c r="S273" i="1" s="1"/>
  <c r="R274" i="1"/>
  <c r="R275" i="1"/>
  <c r="R276" i="1"/>
  <c r="R277" i="1"/>
  <c r="R278" i="1"/>
  <c r="R279" i="1"/>
  <c r="R280" i="1"/>
  <c r="R281" i="1"/>
  <c r="R282" i="1"/>
  <c r="R283" i="1"/>
  <c r="S283" i="1" s="1"/>
  <c r="R284" i="1"/>
  <c r="R285" i="1"/>
  <c r="R286" i="1"/>
  <c r="R287" i="1"/>
  <c r="R288" i="1"/>
  <c r="R289" i="1"/>
  <c r="R290" i="1"/>
  <c r="R291" i="1"/>
  <c r="S291" i="1" s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S315" i="1" s="1"/>
  <c r="R316" i="1"/>
  <c r="R317" i="1"/>
  <c r="R318" i="1"/>
  <c r="R319" i="1"/>
  <c r="R320" i="1"/>
  <c r="R321" i="1"/>
  <c r="R322" i="1"/>
  <c r="R323" i="1"/>
  <c r="S323" i="1" s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S347" i="1" s="1"/>
  <c r="R348" i="1"/>
  <c r="R349" i="1"/>
  <c r="R350" i="1"/>
  <c r="R351" i="1"/>
  <c r="R352" i="1"/>
  <c r="R353" i="1"/>
  <c r="R354" i="1"/>
  <c r="R355" i="1"/>
  <c r="S355" i="1" s="1"/>
  <c r="R356" i="1"/>
  <c r="R357" i="1"/>
  <c r="R358" i="1"/>
  <c r="R359" i="1"/>
  <c r="R360" i="1"/>
  <c r="R361" i="1"/>
  <c r="R362" i="1"/>
  <c r="R363" i="1"/>
  <c r="R364" i="1"/>
  <c r="R365" i="1"/>
  <c r="T365" i="1" s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S379" i="1" s="1"/>
  <c r="R380" i="1"/>
  <c r="R381" i="1"/>
  <c r="R382" i="1"/>
  <c r="R383" i="1"/>
  <c r="R384" i="1"/>
  <c r="R385" i="1"/>
  <c r="R386" i="1"/>
  <c r="R387" i="1"/>
  <c r="S387" i="1" s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S411" i="1" s="1"/>
  <c r="R412" i="1"/>
  <c r="R413" i="1"/>
  <c r="R414" i="1"/>
  <c r="R415" i="1"/>
  <c r="R416" i="1"/>
  <c r="R417" i="1"/>
  <c r="R418" i="1"/>
  <c r="R419" i="1"/>
  <c r="S419" i="1" s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S443" i="1" s="1"/>
  <c r="R444" i="1"/>
  <c r="R445" i="1"/>
  <c r="R446" i="1"/>
  <c r="R447" i="1"/>
  <c r="R448" i="1"/>
  <c r="R449" i="1"/>
  <c r="R450" i="1"/>
  <c r="R451" i="1"/>
  <c r="S451" i="1" s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S475" i="1" s="1"/>
  <c r="R476" i="1"/>
  <c r="R477" i="1"/>
  <c r="R478" i="1"/>
  <c r="R479" i="1"/>
  <c r="R480" i="1"/>
  <c r="R481" i="1"/>
  <c r="R482" i="1"/>
  <c r="R483" i="1"/>
  <c r="S483" i="1" s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S507" i="1" s="1"/>
  <c r="R508" i="1"/>
  <c r="R509" i="1"/>
  <c r="R510" i="1"/>
  <c r="R511" i="1"/>
  <c r="R512" i="1"/>
  <c r="R513" i="1"/>
  <c r="R514" i="1"/>
  <c r="R515" i="1"/>
  <c r="S515" i="1" s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S539" i="1" s="1"/>
  <c r="R540" i="1"/>
  <c r="R541" i="1"/>
  <c r="R542" i="1"/>
  <c r="R543" i="1"/>
  <c r="R544" i="1"/>
  <c r="R545" i="1"/>
  <c r="R546" i="1"/>
  <c r="R547" i="1"/>
  <c r="S547" i="1" s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S571" i="1" s="1"/>
  <c r="R572" i="1"/>
  <c r="R573" i="1"/>
  <c r="R574" i="1"/>
  <c r="R575" i="1"/>
  <c r="R576" i="1"/>
  <c r="R577" i="1"/>
  <c r="R578" i="1"/>
  <c r="R579" i="1"/>
  <c r="S579" i="1" s="1"/>
  <c r="R580" i="1"/>
  <c r="R581" i="1"/>
  <c r="R582" i="1"/>
  <c r="R583" i="1"/>
  <c r="R584" i="1"/>
  <c r="T584" i="1" s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S603" i="1" s="1"/>
  <c r="R604" i="1"/>
  <c r="R605" i="1"/>
  <c r="R606" i="1"/>
  <c r="R607" i="1"/>
  <c r="R608" i="1"/>
  <c r="R609" i="1"/>
  <c r="R610" i="1"/>
  <c r="R611" i="1"/>
  <c r="S611" i="1" s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S627" i="1" s="1"/>
  <c r="R628" i="1"/>
  <c r="R629" i="1"/>
  <c r="R630" i="1"/>
  <c r="R631" i="1"/>
  <c r="R632" i="1"/>
  <c r="R633" i="1"/>
  <c r="S633" i="1" s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S649" i="1" s="1"/>
  <c r="R650" i="1"/>
  <c r="R651" i="1"/>
  <c r="R652" i="1"/>
  <c r="R653" i="1"/>
  <c r="R654" i="1"/>
  <c r="S654" i="1" s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S670" i="1" s="1"/>
  <c r="R671" i="1"/>
  <c r="R672" i="1"/>
  <c r="R673" i="1"/>
  <c r="R674" i="1"/>
  <c r="R675" i="1"/>
  <c r="S675" i="1" s="1"/>
  <c r="R676" i="1"/>
  <c r="R677" i="1"/>
  <c r="R678" i="1"/>
  <c r="R679" i="1"/>
  <c r="R680" i="1"/>
  <c r="R681" i="1"/>
  <c r="R682" i="1"/>
  <c r="R683" i="1"/>
  <c r="R684" i="1"/>
  <c r="R685" i="1"/>
  <c r="R686" i="1"/>
  <c r="S686" i="1" s="1"/>
  <c r="R687" i="1"/>
  <c r="R688" i="1"/>
  <c r="S688" i="1" s="1"/>
  <c r="R689" i="1"/>
  <c r="R690" i="1"/>
  <c r="R691" i="1"/>
  <c r="R692" i="1"/>
  <c r="R693" i="1"/>
  <c r="R694" i="1"/>
  <c r="S694" i="1" s="1"/>
  <c r="R695" i="1"/>
  <c r="R696" i="1"/>
  <c r="S696" i="1" s="1"/>
  <c r="R697" i="1"/>
  <c r="R698" i="1"/>
  <c r="R699" i="1"/>
  <c r="R700" i="1"/>
  <c r="R701" i="1"/>
  <c r="R702" i="1"/>
  <c r="S702" i="1" s="1"/>
  <c r="R703" i="1"/>
  <c r="R704" i="1"/>
  <c r="S704" i="1" s="1"/>
  <c r="R705" i="1"/>
  <c r="R706" i="1"/>
  <c r="R707" i="1"/>
  <c r="R708" i="1"/>
  <c r="R709" i="1"/>
  <c r="R710" i="1"/>
  <c r="S710" i="1" s="1"/>
  <c r="R711" i="1"/>
  <c r="R712" i="1"/>
  <c r="S712" i="1" s="1"/>
  <c r="R713" i="1"/>
  <c r="R714" i="1"/>
  <c r="R715" i="1"/>
  <c r="R716" i="1"/>
  <c r="R717" i="1"/>
  <c r="R718" i="1"/>
  <c r="S718" i="1" s="1"/>
  <c r="R719" i="1"/>
  <c r="R720" i="1"/>
  <c r="S720" i="1" s="1"/>
  <c r="R721" i="1"/>
  <c r="R722" i="1"/>
  <c r="R723" i="1"/>
  <c r="R724" i="1"/>
  <c r="R725" i="1"/>
  <c r="R726" i="1"/>
  <c r="S726" i="1" s="1"/>
  <c r="R727" i="1"/>
  <c r="R728" i="1"/>
  <c r="S728" i="1" s="1"/>
  <c r="R729" i="1"/>
  <c r="R730" i="1"/>
  <c r="R731" i="1"/>
  <c r="R732" i="1"/>
  <c r="R733" i="1"/>
  <c r="R734" i="1"/>
  <c r="S734" i="1" s="1"/>
  <c r="R735" i="1"/>
  <c r="R736" i="1"/>
  <c r="S736" i="1" s="1"/>
  <c r="R737" i="1"/>
  <c r="R738" i="1"/>
  <c r="R739" i="1"/>
  <c r="R740" i="1"/>
  <c r="R741" i="1"/>
  <c r="R742" i="1"/>
  <c r="S742" i="1" s="1"/>
  <c r="R743" i="1"/>
  <c r="R744" i="1"/>
  <c r="S744" i="1" s="1"/>
  <c r="R745" i="1"/>
  <c r="R746" i="1"/>
  <c r="R747" i="1"/>
  <c r="R748" i="1"/>
  <c r="R749" i="1"/>
  <c r="R750" i="1"/>
  <c r="S750" i="1" s="1"/>
  <c r="R751" i="1"/>
  <c r="R752" i="1"/>
  <c r="S752" i="1" s="1"/>
  <c r="R753" i="1"/>
  <c r="R754" i="1"/>
  <c r="R755" i="1"/>
  <c r="R756" i="1"/>
  <c r="R757" i="1"/>
  <c r="R758" i="1"/>
  <c r="S758" i="1" s="1"/>
  <c r="R759" i="1"/>
  <c r="R760" i="1"/>
  <c r="S760" i="1" s="1"/>
  <c r="R761" i="1"/>
  <c r="R762" i="1"/>
  <c r="R763" i="1"/>
  <c r="R764" i="1"/>
  <c r="R765" i="1"/>
  <c r="R766" i="1"/>
  <c r="S766" i="1" s="1"/>
  <c r="R767" i="1"/>
  <c r="R768" i="1"/>
  <c r="S768" i="1" s="1"/>
  <c r="R769" i="1"/>
  <c r="R770" i="1"/>
  <c r="R771" i="1"/>
  <c r="R772" i="1"/>
  <c r="R773" i="1"/>
  <c r="R774" i="1"/>
  <c r="S774" i="1" s="1"/>
  <c r="R775" i="1"/>
  <c r="R776" i="1"/>
  <c r="S776" i="1" s="1"/>
  <c r="R777" i="1"/>
  <c r="R778" i="1"/>
  <c r="R779" i="1"/>
  <c r="R780" i="1"/>
  <c r="R781" i="1"/>
  <c r="R782" i="1"/>
  <c r="S782" i="1" s="1"/>
  <c r="R783" i="1"/>
  <c r="R784" i="1"/>
  <c r="S784" i="1" s="1"/>
  <c r="R785" i="1"/>
  <c r="R786" i="1"/>
  <c r="R787" i="1"/>
  <c r="R788" i="1"/>
  <c r="R789" i="1"/>
  <c r="R790" i="1"/>
  <c r="S790" i="1" s="1"/>
  <c r="R791" i="1"/>
  <c r="R792" i="1"/>
  <c r="S792" i="1" s="1"/>
  <c r="R793" i="1"/>
  <c r="R794" i="1"/>
  <c r="R795" i="1"/>
  <c r="R796" i="1"/>
  <c r="R797" i="1"/>
  <c r="R798" i="1"/>
  <c r="S798" i="1" s="1"/>
  <c r="R799" i="1"/>
  <c r="R800" i="1"/>
  <c r="S800" i="1" s="1"/>
  <c r="R801" i="1"/>
  <c r="R802" i="1"/>
  <c r="R803" i="1"/>
  <c r="R804" i="1"/>
  <c r="R805" i="1"/>
  <c r="R806" i="1"/>
  <c r="S806" i="1" s="1"/>
  <c r="R807" i="1"/>
  <c r="R808" i="1"/>
  <c r="S808" i="1" s="1"/>
  <c r="R809" i="1"/>
  <c r="R810" i="1"/>
  <c r="R811" i="1"/>
  <c r="R812" i="1"/>
  <c r="R813" i="1"/>
  <c r="R814" i="1"/>
  <c r="S814" i="1" s="1"/>
  <c r="R815" i="1"/>
  <c r="R816" i="1"/>
  <c r="S816" i="1" s="1"/>
  <c r="R817" i="1"/>
  <c r="R818" i="1"/>
  <c r="R819" i="1"/>
  <c r="R820" i="1"/>
  <c r="R821" i="1"/>
  <c r="R822" i="1"/>
  <c r="S822" i="1" s="1"/>
  <c r="R823" i="1"/>
  <c r="R824" i="1"/>
  <c r="S824" i="1" s="1"/>
  <c r="R825" i="1"/>
  <c r="R826" i="1"/>
  <c r="R827" i="1"/>
  <c r="R828" i="1"/>
  <c r="R829" i="1"/>
  <c r="R830" i="1"/>
  <c r="S830" i="1" s="1"/>
  <c r="R831" i="1"/>
  <c r="R832" i="1"/>
  <c r="S832" i="1" s="1"/>
  <c r="R833" i="1"/>
  <c r="R834" i="1"/>
  <c r="R835" i="1"/>
  <c r="R836" i="1"/>
  <c r="R837" i="1"/>
  <c r="R838" i="1"/>
  <c r="S838" i="1" s="1"/>
  <c r="R839" i="1"/>
  <c r="R840" i="1"/>
  <c r="S840" i="1" s="1"/>
  <c r="R841" i="1"/>
  <c r="R842" i="1"/>
  <c r="R843" i="1"/>
  <c r="R844" i="1"/>
  <c r="R845" i="1"/>
  <c r="R846" i="1"/>
  <c r="S846" i="1" s="1"/>
  <c r="R847" i="1"/>
  <c r="R848" i="1"/>
  <c r="S848" i="1" s="1"/>
  <c r="R849" i="1"/>
  <c r="R850" i="1"/>
  <c r="R851" i="1"/>
  <c r="R852" i="1"/>
  <c r="R853" i="1"/>
  <c r="R854" i="1"/>
  <c r="S854" i="1" s="1"/>
  <c r="R855" i="1"/>
  <c r="R856" i="1"/>
  <c r="S856" i="1" s="1"/>
  <c r="R857" i="1"/>
  <c r="R858" i="1"/>
  <c r="R859" i="1"/>
  <c r="R860" i="1"/>
  <c r="R861" i="1"/>
  <c r="R862" i="1"/>
  <c r="S862" i="1" s="1"/>
  <c r="R863" i="1"/>
  <c r="R864" i="1"/>
  <c r="S864" i="1" s="1"/>
  <c r="R865" i="1"/>
  <c r="R866" i="1"/>
  <c r="R867" i="1"/>
  <c r="R868" i="1"/>
  <c r="R869" i="1"/>
  <c r="R870" i="1"/>
  <c r="S870" i="1" s="1"/>
  <c r="R871" i="1"/>
  <c r="R872" i="1"/>
  <c r="S872" i="1" s="1"/>
  <c r="R873" i="1"/>
  <c r="R874" i="1"/>
  <c r="R875" i="1"/>
  <c r="R876" i="1"/>
  <c r="R877" i="1"/>
  <c r="R878" i="1"/>
  <c r="S878" i="1" s="1"/>
  <c r="R879" i="1"/>
  <c r="R880" i="1"/>
  <c r="S880" i="1" s="1"/>
  <c r="R881" i="1"/>
  <c r="R882" i="1"/>
  <c r="R883" i="1"/>
  <c r="R884" i="1"/>
  <c r="R885" i="1"/>
  <c r="R886" i="1"/>
  <c r="S886" i="1" s="1"/>
  <c r="R887" i="1"/>
  <c r="R888" i="1"/>
  <c r="S888" i="1" s="1"/>
  <c r="R889" i="1"/>
  <c r="R890" i="1"/>
  <c r="R891" i="1"/>
  <c r="R892" i="1"/>
  <c r="R893" i="1"/>
  <c r="R894" i="1"/>
  <c r="S894" i="1" s="1"/>
  <c r="R895" i="1"/>
  <c r="R896" i="1"/>
  <c r="S896" i="1" s="1"/>
  <c r="R897" i="1"/>
  <c r="R898" i="1"/>
  <c r="R899" i="1"/>
  <c r="R900" i="1"/>
  <c r="R901" i="1"/>
  <c r="R902" i="1"/>
  <c r="S902" i="1" s="1"/>
  <c r="R903" i="1"/>
  <c r="R904" i="1"/>
  <c r="S904" i="1" s="1"/>
  <c r="R905" i="1"/>
  <c r="R906" i="1"/>
  <c r="R907" i="1"/>
  <c r="R908" i="1"/>
  <c r="R909" i="1"/>
  <c r="R910" i="1"/>
  <c r="S910" i="1" s="1"/>
  <c r="R911" i="1"/>
  <c r="R912" i="1"/>
  <c r="S912" i="1" s="1"/>
  <c r="R913" i="1"/>
  <c r="R914" i="1"/>
  <c r="R915" i="1"/>
  <c r="R916" i="1"/>
  <c r="R917" i="1"/>
  <c r="R918" i="1"/>
  <c r="S918" i="1" s="1"/>
  <c r="R919" i="1"/>
  <c r="R920" i="1"/>
  <c r="S920" i="1" s="1"/>
  <c r="R921" i="1"/>
  <c r="R922" i="1"/>
  <c r="R923" i="1"/>
  <c r="R924" i="1"/>
  <c r="R925" i="1"/>
  <c r="R926" i="1"/>
  <c r="S926" i="1" s="1"/>
  <c r="R927" i="1"/>
  <c r="R928" i="1"/>
  <c r="S928" i="1" s="1"/>
  <c r="R929" i="1"/>
  <c r="R930" i="1"/>
  <c r="R931" i="1"/>
  <c r="R932" i="1"/>
  <c r="R933" i="1"/>
  <c r="R934" i="1"/>
  <c r="S934" i="1" s="1"/>
  <c r="R935" i="1"/>
  <c r="R936" i="1"/>
  <c r="S936" i="1" s="1"/>
  <c r="R937" i="1"/>
  <c r="R938" i="1"/>
  <c r="R939" i="1"/>
  <c r="R940" i="1"/>
  <c r="R941" i="1"/>
  <c r="R942" i="1"/>
  <c r="S942" i="1" s="1"/>
  <c r="R943" i="1"/>
  <c r="R944" i="1"/>
  <c r="S944" i="1" s="1"/>
  <c r="R945" i="1"/>
  <c r="R946" i="1"/>
  <c r="R947" i="1"/>
  <c r="R948" i="1"/>
  <c r="R949" i="1"/>
  <c r="R950" i="1"/>
  <c r="S950" i="1" s="1"/>
  <c r="R951" i="1"/>
  <c r="R952" i="1"/>
  <c r="S952" i="1" s="1"/>
  <c r="R953" i="1"/>
  <c r="R954" i="1"/>
  <c r="R955" i="1"/>
  <c r="R956" i="1"/>
  <c r="R957" i="1"/>
  <c r="R958" i="1"/>
  <c r="S958" i="1" s="1"/>
  <c r="R959" i="1"/>
  <c r="R960" i="1"/>
  <c r="S960" i="1" s="1"/>
  <c r="R961" i="1"/>
  <c r="R962" i="1"/>
  <c r="R963" i="1"/>
  <c r="R964" i="1"/>
  <c r="R965" i="1"/>
  <c r="R966" i="1"/>
  <c r="S966" i="1" s="1"/>
  <c r="R967" i="1"/>
  <c r="R968" i="1"/>
  <c r="S968" i="1" s="1"/>
  <c r="R969" i="1"/>
  <c r="R970" i="1"/>
  <c r="R971" i="1"/>
  <c r="R972" i="1"/>
  <c r="R973" i="1"/>
  <c r="R974" i="1"/>
  <c r="S974" i="1" s="1"/>
  <c r="R975" i="1"/>
  <c r="R976" i="1"/>
  <c r="S976" i="1" s="1"/>
  <c r="R977" i="1"/>
  <c r="R978" i="1"/>
  <c r="R979" i="1"/>
  <c r="R980" i="1"/>
  <c r="R981" i="1"/>
  <c r="R982" i="1"/>
  <c r="S982" i="1" s="1"/>
  <c r="R983" i="1"/>
  <c r="R984" i="1"/>
  <c r="S984" i="1" s="1"/>
  <c r="R985" i="1"/>
  <c r="R986" i="1"/>
  <c r="R987" i="1"/>
  <c r="R988" i="1"/>
  <c r="R989" i="1"/>
  <c r="R990" i="1"/>
  <c r="S990" i="1" s="1"/>
  <c r="R991" i="1"/>
  <c r="R992" i="1"/>
  <c r="S992" i="1" s="1"/>
  <c r="R993" i="1"/>
  <c r="R994" i="1"/>
  <c r="R995" i="1"/>
  <c r="T995" i="1" s="1"/>
  <c r="R996" i="1"/>
  <c r="R997" i="1"/>
  <c r="R998" i="1"/>
  <c r="S998" i="1" s="1"/>
  <c r="R999" i="1"/>
  <c r="R1000" i="1"/>
  <c r="S1000" i="1" s="1"/>
  <c r="R1001" i="1"/>
  <c r="R1002" i="1"/>
  <c r="R1003" i="1"/>
  <c r="R1004" i="1"/>
  <c r="R1005" i="1"/>
  <c r="R1006" i="1"/>
  <c r="S1006" i="1" s="1"/>
  <c r="R1007" i="1"/>
  <c r="R1008" i="1"/>
  <c r="S1008" i="1" s="1"/>
  <c r="R1009" i="1"/>
  <c r="R1010" i="1"/>
  <c r="R1011" i="1"/>
  <c r="R1012" i="1"/>
  <c r="R1013" i="1"/>
  <c r="R1014" i="1"/>
  <c r="S1014" i="1" s="1"/>
  <c r="R1015" i="1"/>
  <c r="R1016" i="1"/>
  <c r="S1016" i="1" s="1"/>
  <c r="R1017" i="1"/>
  <c r="R1018" i="1"/>
  <c r="R1019" i="1"/>
  <c r="R1020" i="1"/>
  <c r="R1021" i="1"/>
  <c r="R1022" i="1"/>
  <c r="S1022" i="1" s="1"/>
  <c r="R1023" i="1"/>
  <c r="R1024" i="1"/>
  <c r="S1024" i="1" s="1"/>
  <c r="R1025" i="1"/>
  <c r="R1026" i="1"/>
  <c r="R1027" i="1"/>
  <c r="R1028" i="1"/>
  <c r="B17" i="3" l="1"/>
  <c r="T1008" i="1"/>
  <c r="T752" i="1"/>
  <c r="T976" i="1"/>
  <c r="T720" i="1"/>
  <c r="T944" i="1"/>
  <c r="T688" i="1"/>
  <c r="T912" i="1"/>
  <c r="T611" i="1"/>
  <c r="T880" i="1"/>
  <c r="T483" i="1"/>
  <c r="T848" i="1"/>
  <c r="T355" i="1"/>
  <c r="T816" i="1"/>
  <c r="T227" i="1"/>
  <c r="T784" i="1"/>
  <c r="T99" i="1"/>
  <c r="S1020" i="1"/>
  <c r="T1020" i="1"/>
  <c r="S948" i="1"/>
  <c r="T948" i="1"/>
  <c r="S868" i="1"/>
  <c r="T868" i="1"/>
  <c r="S780" i="1"/>
  <c r="T780" i="1"/>
  <c r="S596" i="1"/>
  <c r="T596" i="1"/>
  <c r="S678" i="1"/>
  <c r="T678" i="1"/>
  <c r="S662" i="1"/>
  <c r="T662" i="1"/>
  <c r="S646" i="1"/>
  <c r="T646" i="1"/>
  <c r="S638" i="1"/>
  <c r="T638" i="1"/>
  <c r="S630" i="1"/>
  <c r="T630" i="1"/>
  <c r="S622" i="1"/>
  <c r="T622" i="1"/>
  <c r="S614" i="1"/>
  <c r="T614" i="1"/>
  <c r="S606" i="1"/>
  <c r="T606" i="1"/>
  <c r="S598" i="1"/>
  <c r="T598" i="1"/>
  <c r="S590" i="1"/>
  <c r="T590" i="1"/>
  <c r="S582" i="1"/>
  <c r="T582" i="1"/>
  <c r="S574" i="1"/>
  <c r="T574" i="1"/>
  <c r="S566" i="1"/>
  <c r="T566" i="1"/>
  <c r="S558" i="1"/>
  <c r="T558" i="1"/>
  <c r="S550" i="1"/>
  <c r="T550" i="1"/>
  <c r="S542" i="1"/>
  <c r="T542" i="1"/>
  <c r="S534" i="1"/>
  <c r="T534" i="1"/>
  <c r="S526" i="1"/>
  <c r="T526" i="1"/>
  <c r="S518" i="1"/>
  <c r="T518" i="1"/>
  <c r="S510" i="1"/>
  <c r="T510" i="1"/>
  <c r="S502" i="1"/>
  <c r="T502" i="1"/>
  <c r="S494" i="1"/>
  <c r="T494" i="1"/>
  <c r="S486" i="1"/>
  <c r="T486" i="1"/>
  <c r="S478" i="1"/>
  <c r="T478" i="1"/>
  <c r="S470" i="1"/>
  <c r="T470" i="1"/>
  <c r="S462" i="1"/>
  <c r="T462" i="1"/>
  <c r="S454" i="1"/>
  <c r="T454" i="1"/>
  <c r="S446" i="1"/>
  <c r="T446" i="1"/>
  <c r="S438" i="1"/>
  <c r="T438" i="1"/>
  <c r="S430" i="1"/>
  <c r="T430" i="1"/>
  <c r="T1016" i="1"/>
  <c r="T984" i="1"/>
  <c r="T952" i="1"/>
  <c r="T920" i="1"/>
  <c r="T888" i="1"/>
  <c r="T856" i="1"/>
  <c r="T824" i="1"/>
  <c r="T792" i="1"/>
  <c r="T760" i="1"/>
  <c r="T728" i="1"/>
  <c r="T696" i="1"/>
  <c r="T633" i="1"/>
  <c r="T515" i="1"/>
  <c r="T387" i="1"/>
  <c r="T259" i="1"/>
  <c r="T131" i="1"/>
  <c r="S1004" i="1"/>
  <c r="T1004" i="1"/>
  <c r="S956" i="1"/>
  <c r="T956" i="1"/>
  <c r="S884" i="1"/>
  <c r="T884" i="1"/>
  <c r="S820" i="1"/>
  <c r="T820" i="1"/>
  <c r="S724" i="1"/>
  <c r="T724" i="1"/>
  <c r="S548" i="1"/>
  <c r="T548" i="1"/>
  <c r="S1021" i="1"/>
  <c r="T1021" i="1"/>
  <c r="S1013" i="1"/>
  <c r="T1013" i="1"/>
  <c r="S1005" i="1"/>
  <c r="T1005" i="1"/>
  <c r="S997" i="1"/>
  <c r="T997" i="1"/>
  <c r="S989" i="1"/>
  <c r="T989" i="1"/>
  <c r="S981" i="1"/>
  <c r="T981" i="1"/>
  <c r="S973" i="1"/>
  <c r="T973" i="1"/>
  <c r="S965" i="1"/>
  <c r="T965" i="1"/>
  <c r="S957" i="1"/>
  <c r="T957" i="1"/>
  <c r="S949" i="1"/>
  <c r="T949" i="1"/>
  <c r="S941" i="1"/>
  <c r="T941" i="1"/>
  <c r="S933" i="1"/>
  <c r="T933" i="1"/>
  <c r="S925" i="1"/>
  <c r="T925" i="1"/>
  <c r="S917" i="1"/>
  <c r="T917" i="1"/>
  <c r="S909" i="1"/>
  <c r="T909" i="1"/>
  <c r="S901" i="1"/>
  <c r="T901" i="1"/>
  <c r="S893" i="1"/>
  <c r="T893" i="1"/>
  <c r="S885" i="1"/>
  <c r="T885" i="1"/>
  <c r="S877" i="1"/>
  <c r="T877" i="1"/>
  <c r="S869" i="1"/>
  <c r="T869" i="1"/>
  <c r="S861" i="1"/>
  <c r="T861" i="1"/>
  <c r="S853" i="1"/>
  <c r="T853" i="1"/>
  <c r="S845" i="1"/>
  <c r="T845" i="1"/>
  <c r="S837" i="1"/>
  <c r="T837" i="1"/>
  <c r="S829" i="1"/>
  <c r="T829" i="1"/>
  <c r="S821" i="1"/>
  <c r="T821" i="1"/>
  <c r="S813" i="1"/>
  <c r="T813" i="1"/>
  <c r="S805" i="1"/>
  <c r="T805" i="1"/>
  <c r="S797" i="1"/>
  <c r="T797" i="1"/>
  <c r="S789" i="1"/>
  <c r="T789" i="1"/>
  <c r="S781" i="1"/>
  <c r="T781" i="1"/>
  <c r="S773" i="1"/>
  <c r="T773" i="1"/>
  <c r="S765" i="1"/>
  <c r="T765" i="1"/>
  <c r="S757" i="1"/>
  <c r="T757" i="1"/>
  <c r="S749" i="1"/>
  <c r="T749" i="1"/>
  <c r="S741" i="1"/>
  <c r="T741" i="1"/>
  <c r="S733" i="1"/>
  <c r="T733" i="1"/>
  <c r="S725" i="1"/>
  <c r="T725" i="1"/>
  <c r="S717" i="1"/>
  <c r="T717" i="1"/>
  <c r="S709" i="1"/>
  <c r="T709" i="1"/>
  <c r="S701" i="1"/>
  <c r="T701" i="1"/>
  <c r="S693" i="1"/>
  <c r="T693" i="1"/>
  <c r="S685" i="1"/>
  <c r="T685" i="1"/>
  <c r="S677" i="1"/>
  <c r="T677" i="1"/>
  <c r="S669" i="1"/>
  <c r="T669" i="1"/>
  <c r="S661" i="1"/>
  <c r="T661" i="1"/>
  <c r="S653" i="1"/>
  <c r="T653" i="1"/>
  <c r="S645" i="1"/>
  <c r="T645" i="1"/>
  <c r="S637" i="1"/>
  <c r="T637" i="1"/>
  <c r="S629" i="1"/>
  <c r="T629" i="1"/>
  <c r="S621" i="1"/>
  <c r="T621" i="1"/>
  <c r="S613" i="1"/>
  <c r="T613" i="1"/>
  <c r="S605" i="1"/>
  <c r="T605" i="1"/>
  <c r="S597" i="1"/>
  <c r="T597" i="1"/>
  <c r="S589" i="1"/>
  <c r="T589" i="1"/>
  <c r="S581" i="1"/>
  <c r="T581" i="1"/>
  <c r="S573" i="1"/>
  <c r="T573" i="1"/>
  <c r="S565" i="1"/>
  <c r="T565" i="1"/>
  <c r="S557" i="1"/>
  <c r="T557" i="1"/>
  <c r="S549" i="1"/>
  <c r="T549" i="1"/>
  <c r="S541" i="1"/>
  <c r="T541" i="1"/>
  <c r="S533" i="1"/>
  <c r="T533" i="1"/>
  <c r="S525" i="1"/>
  <c r="T525" i="1"/>
  <c r="S517" i="1"/>
  <c r="T517" i="1"/>
  <c r="S509" i="1"/>
  <c r="T509" i="1"/>
  <c r="S501" i="1"/>
  <c r="T501" i="1"/>
  <c r="S493" i="1"/>
  <c r="T493" i="1"/>
  <c r="S485" i="1"/>
  <c r="T485" i="1"/>
  <c r="S477" i="1"/>
  <c r="T477" i="1"/>
  <c r="S469" i="1"/>
  <c r="T469" i="1"/>
  <c r="S461" i="1"/>
  <c r="T461" i="1"/>
  <c r="S453" i="1"/>
  <c r="T453" i="1"/>
  <c r="S445" i="1"/>
  <c r="T445" i="1"/>
  <c r="S437" i="1"/>
  <c r="T437" i="1"/>
  <c r="S429" i="1"/>
  <c r="T429" i="1"/>
  <c r="S421" i="1"/>
  <c r="T421" i="1"/>
  <c r="S413" i="1"/>
  <c r="T413" i="1"/>
  <c r="S405" i="1"/>
  <c r="T405" i="1"/>
  <c r="S397" i="1"/>
  <c r="T397" i="1"/>
  <c r="S389" i="1"/>
  <c r="T389" i="1"/>
  <c r="S381" i="1"/>
  <c r="T381" i="1"/>
  <c r="S373" i="1"/>
  <c r="T373" i="1"/>
  <c r="S357" i="1"/>
  <c r="T357" i="1"/>
  <c r="S349" i="1"/>
  <c r="T349" i="1"/>
  <c r="S341" i="1"/>
  <c r="T341" i="1"/>
  <c r="S333" i="1"/>
  <c r="T333" i="1"/>
  <c r="S325" i="1"/>
  <c r="T325" i="1"/>
  <c r="S317" i="1"/>
  <c r="T317" i="1"/>
  <c r="S309" i="1"/>
  <c r="T309" i="1"/>
  <c r="S301" i="1"/>
  <c r="T301" i="1"/>
  <c r="S293" i="1"/>
  <c r="T293" i="1"/>
  <c r="S285" i="1"/>
  <c r="T285" i="1"/>
  <c r="S277" i="1"/>
  <c r="T277" i="1"/>
  <c r="S269" i="1"/>
  <c r="T269" i="1"/>
  <c r="S261" i="1"/>
  <c r="T261" i="1"/>
  <c r="S253" i="1"/>
  <c r="T253" i="1"/>
  <c r="S245" i="1"/>
  <c r="T245" i="1"/>
  <c r="T237" i="1"/>
  <c r="S237" i="1"/>
  <c r="S229" i="1"/>
  <c r="T229" i="1"/>
  <c r="S221" i="1"/>
  <c r="T221" i="1"/>
  <c r="S213" i="1"/>
  <c r="T213" i="1"/>
  <c r="S205" i="1"/>
  <c r="T205" i="1"/>
  <c r="S197" i="1"/>
  <c r="T197" i="1"/>
  <c r="S189" i="1"/>
  <c r="T189" i="1"/>
  <c r="S181" i="1"/>
  <c r="T181" i="1"/>
  <c r="S173" i="1"/>
  <c r="T173" i="1"/>
  <c r="S165" i="1"/>
  <c r="T165" i="1"/>
  <c r="S157" i="1"/>
  <c r="T157" i="1"/>
  <c r="S149" i="1"/>
  <c r="T149" i="1"/>
  <c r="S141" i="1"/>
  <c r="T141" i="1"/>
  <c r="S133" i="1"/>
  <c r="T133" i="1"/>
  <c r="S125" i="1"/>
  <c r="T125" i="1"/>
  <c r="S117" i="1"/>
  <c r="T117" i="1"/>
  <c r="S109" i="1"/>
  <c r="T109" i="1"/>
  <c r="S101" i="1"/>
  <c r="T101" i="1"/>
  <c r="S93" i="1"/>
  <c r="T93" i="1"/>
  <c r="S85" i="1"/>
  <c r="T85" i="1"/>
  <c r="S77" i="1"/>
  <c r="T77" i="1"/>
  <c r="S69" i="1"/>
  <c r="T69" i="1"/>
  <c r="S61" i="1"/>
  <c r="T61" i="1"/>
  <c r="S53" i="1"/>
  <c r="T53" i="1"/>
  <c r="S45" i="1"/>
  <c r="T45" i="1"/>
  <c r="S37" i="1"/>
  <c r="T37" i="1"/>
  <c r="S29" i="1"/>
  <c r="T29" i="1"/>
  <c r="S21" i="1"/>
  <c r="T21" i="1"/>
  <c r="S13" i="1"/>
  <c r="T13" i="1"/>
  <c r="S5" i="1"/>
  <c r="T5" i="1"/>
  <c r="T1014" i="1"/>
  <c r="T982" i="1"/>
  <c r="T950" i="1"/>
  <c r="T918" i="1"/>
  <c r="T886" i="1"/>
  <c r="T854" i="1"/>
  <c r="T822" i="1"/>
  <c r="T790" i="1"/>
  <c r="T758" i="1"/>
  <c r="T726" i="1"/>
  <c r="T694" i="1"/>
  <c r="T627" i="1"/>
  <c r="T507" i="1"/>
  <c r="T379" i="1"/>
  <c r="T251" i="1"/>
  <c r="T123" i="1"/>
  <c r="S1028" i="1"/>
  <c r="T1028" i="1"/>
  <c r="S964" i="1"/>
  <c r="T964" i="1"/>
  <c r="S900" i="1"/>
  <c r="T900" i="1"/>
  <c r="S836" i="1"/>
  <c r="T836" i="1"/>
  <c r="S788" i="1"/>
  <c r="T788" i="1"/>
  <c r="S740" i="1"/>
  <c r="T740" i="1"/>
  <c r="S708" i="1"/>
  <c r="T708" i="1"/>
  <c r="S668" i="1"/>
  <c r="T668" i="1"/>
  <c r="S612" i="1"/>
  <c r="T612" i="1"/>
  <c r="S556" i="1"/>
  <c r="T556" i="1"/>
  <c r="S508" i="1"/>
  <c r="T508" i="1"/>
  <c r="S452" i="1"/>
  <c r="T452" i="1"/>
  <c r="S963" i="1"/>
  <c r="T963" i="1"/>
  <c r="S923" i="1"/>
  <c r="T923" i="1"/>
  <c r="S883" i="1"/>
  <c r="T883" i="1"/>
  <c r="S835" i="1"/>
  <c r="T835" i="1"/>
  <c r="S779" i="1"/>
  <c r="T779" i="1"/>
  <c r="S739" i="1"/>
  <c r="T739" i="1"/>
  <c r="S643" i="1"/>
  <c r="T643" i="1"/>
  <c r="S619" i="1"/>
  <c r="T619" i="1"/>
  <c r="S531" i="1"/>
  <c r="T531" i="1"/>
  <c r="S523" i="1"/>
  <c r="T523" i="1"/>
  <c r="S491" i="1"/>
  <c r="T491" i="1"/>
  <c r="S467" i="1"/>
  <c r="T467" i="1"/>
  <c r="S459" i="1"/>
  <c r="T459" i="1"/>
  <c r="S435" i="1"/>
  <c r="T435" i="1"/>
  <c r="S427" i="1"/>
  <c r="T427" i="1"/>
  <c r="S403" i="1"/>
  <c r="T403" i="1"/>
  <c r="S395" i="1"/>
  <c r="T395" i="1"/>
  <c r="S371" i="1"/>
  <c r="T371" i="1"/>
  <c r="S363" i="1"/>
  <c r="T363" i="1"/>
  <c r="S339" i="1"/>
  <c r="T339" i="1"/>
  <c r="S331" i="1"/>
  <c r="T331" i="1"/>
  <c r="S307" i="1"/>
  <c r="T307" i="1"/>
  <c r="S299" i="1"/>
  <c r="T299" i="1"/>
  <c r="S275" i="1"/>
  <c r="T275" i="1"/>
  <c r="S267" i="1"/>
  <c r="T267" i="1"/>
  <c r="S243" i="1"/>
  <c r="T243" i="1"/>
  <c r="S235" i="1"/>
  <c r="T235" i="1"/>
  <c r="S211" i="1"/>
  <c r="T211" i="1"/>
  <c r="S203" i="1"/>
  <c r="T203" i="1"/>
  <c r="S179" i="1"/>
  <c r="T179" i="1"/>
  <c r="S171" i="1"/>
  <c r="T171" i="1"/>
  <c r="S147" i="1"/>
  <c r="T147" i="1"/>
  <c r="S139" i="1"/>
  <c r="T139" i="1"/>
  <c r="S115" i="1"/>
  <c r="T115" i="1"/>
  <c r="S107" i="1"/>
  <c r="T107" i="1"/>
  <c r="S83" i="1"/>
  <c r="T83" i="1"/>
  <c r="S75" i="1"/>
  <c r="T75" i="1"/>
  <c r="S51" i="1"/>
  <c r="T51" i="1"/>
  <c r="S43" i="1"/>
  <c r="T43" i="1"/>
  <c r="S19" i="1"/>
  <c r="T19" i="1"/>
  <c r="S11" i="1"/>
  <c r="T11" i="1"/>
  <c r="S995" i="1"/>
  <c r="T1006" i="1"/>
  <c r="T974" i="1"/>
  <c r="T942" i="1"/>
  <c r="T910" i="1"/>
  <c r="T878" i="1"/>
  <c r="T846" i="1"/>
  <c r="T814" i="1"/>
  <c r="T782" i="1"/>
  <c r="T750" i="1"/>
  <c r="T718" i="1"/>
  <c r="T686" i="1"/>
  <c r="T603" i="1"/>
  <c r="T475" i="1"/>
  <c r="T347" i="1"/>
  <c r="T219" i="1"/>
  <c r="T91" i="1"/>
  <c r="S1012" i="1"/>
  <c r="T1012" i="1"/>
  <c r="S980" i="1"/>
  <c r="T980" i="1"/>
  <c r="S924" i="1"/>
  <c r="T924" i="1"/>
  <c r="S876" i="1"/>
  <c r="T876" i="1"/>
  <c r="S828" i="1"/>
  <c r="T828" i="1"/>
  <c r="S796" i="1"/>
  <c r="T796" i="1"/>
  <c r="S748" i="1"/>
  <c r="T748" i="1"/>
  <c r="S700" i="1"/>
  <c r="T700" i="1"/>
  <c r="S660" i="1"/>
  <c r="T660" i="1"/>
  <c r="S620" i="1"/>
  <c r="T620" i="1"/>
  <c r="S564" i="1"/>
  <c r="T564" i="1"/>
  <c r="S516" i="1"/>
  <c r="T516" i="1"/>
  <c r="S468" i="1"/>
  <c r="T468" i="1"/>
  <c r="S1019" i="1"/>
  <c r="T1019" i="1"/>
  <c r="S979" i="1"/>
  <c r="T979" i="1"/>
  <c r="S955" i="1"/>
  <c r="T955" i="1"/>
  <c r="S915" i="1"/>
  <c r="T915" i="1"/>
  <c r="S875" i="1"/>
  <c r="T875" i="1"/>
  <c r="S843" i="1"/>
  <c r="T843" i="1"/>
  <c r="T803" i="1"/>
  <c r="S803" i="1"/>
  <c r="S755" i="1"/>
  <c r="T755" i="1"/>
  <c r="S715" i="1"/>
  <c r="T715" i="1"/>
  <c r="S683" i="1"/>
  <c r="T683" i="1"/>
  <c r="S555" i="1"/>
  <c r="T555" i="1"/>
  <c r="S499" i="1"/>
  <c r="T499" i="1"/>
  <c r="S1026" i="1"/>
  <c r="T1026" i="1"/>
  <c r="S1018" i="1"/>
  <c r="T1018" i="1"/>
  <c r="S1010" i="1"/>
  <c r="T1010" i="1"/>
  <c r="S1002" i="1"/>
  <c r="T1002" i="1"/>
  <c r="S994" i="1"/>
  <c r="T994" i="1"/>
  <c r="S986" i="1"/>
  <c r="T986" i="1"/>
  <c r="S978" i="1"/>
  <c r="T978" i="1"/>
  <c r="S970" i="1"/>
  <c r="T970" i="1"/>
  <c r="S962" i="1"/>
  <c r="T962" i="1"/>
  <c r="S954" i="1"/>
  <c r="T954" i="1"/>
  <c r="S946" i="1"/>
  <c r="T946" i="1"/>
  <c r="S938" i="1"/>
  <c r="T938" i="1"/>
  <c r="S930" i="1"/>
  <c r="T930" i="1"/>
  <c r="S922" i="1"/>
  <c r="T922" i="1"/>
  <c r="S914" i="1"/>
  <c r="T914" i="1"/>
  <c r="S906" i="1"/>
  <c r="T906" i="1"/>
  <c r="S898" i="1"/>
  <c r="T898" i="1"/>
  <c r="S890" i="1"/>
  <c r="T890" i="1"/>
  <c r="S882" i="1"/>
  <c r="T882" i="1"/>
  <c r="S874" i="1"/>
  <c r="T874" i="1"/>
  <c r="S866" i="1"/>
  <c r="T866" i="1"/>
  <c r="S858" i="1"/>
  <c r="T858" i="1"/>
  <c r="S850" i="1"/>
  <c r="T850" i="1"/>
  <c r="S842" i="1"/>
  <c r="T842" i="1"/>
  <c r="S834" i="1"/>
  <c r="T834" i="1"/>
  <c r="S826" i="1"/>
  <c r="T826" i="1"/>
  <c r="S818" i="1"/>
  <c r="T818" i="1"/>
  <c r="S810" i="1"/>
  <c r="T810" i="1"/>
  <c r="S802" i="1"/>
  <c r="T802" i="1"/>
  <c r="S794" i="1"/>
  <c r="T794" i="1"/>
  <c r="S786" i="1"/>
  <c r="T786" i="1"/>
  <c r="S778" i="1"/>
  <c r="T778" i="1"/>
  <c r="S770" i="1"/>
  <c r="T770" i="1"/>
  <c r="S762" i="1"/>
  <c r="T762" i="1"/>
  <c r="S754" i="1"/>
  <c r="T754" i="1"/>
  <c r="S746" i="1"/>
  <c r="T746" i="1"/>
  <c r="S738" i="1"/>
  <c r="T738" i="1"/>
  <c r="S730" i="1"/>
  <c r="T730" i="1"/>
  <c r="S722" i="1"/>
  <c r="T722" i="1"/>
  <c r="S714" i="1"/>
  <c r="T714" i="1"/>
  <c r="S706" i="1"/>
  <c r="T706" i="1"/>
  <c r="S698" i="1"/>
  <c r="T698" i="1"/>
  <c r="S690" i="1"/>
  <c r="T690" i="1"/>
  <c r="S682" i="1"/>
  <c r="T682" i="1"/>
  <c r="S674" i="1"/>
  <c r="T674" i="1"/>
  <c r="S666" i="1"/>
  <c r="T666" i="1"/>
  <c r="S658" i="1"/>
  <c r="T658" i="1"/>
  <c r="S650" i="1"/>
  <c r="T650" i="1"/>
  <c r="S642" i="1"/>
  <c r="T642" i="1"/>
  <c r="S634" i="1"/>
  <c r="T634" i="1"/>
  <c r="S626" i="1"/>
  <c r="T626" i="1"/>
  <c r="S618" i="1"/>
  <c r="T618" i="1"/>
  <c r="S610" i="1"/>
  <c r="T610" i="1"/>
  <c r="S602" i="1"/>
  <c r="T602" i="1"/>
  <c r="S594" i="1"/>
  <c r="T594" i="1"/>
  <c r="S586" i="1"/>
  <c r="T586" i="1"/>
  <c r="S578" i="1"/>
  <c r="T578" i="1"/>
  <c r="S570" i="1"/>
  <c r="T570" i="1"/>
  <c r="S562" i="1"/>
  <c r="T562" i="1"/>
  <c r="S554" i="1"/>
  <c r="T554" i="1"/>
  <c r="S546" i="1"/>
  <c r="T546" i="1"/>
  <c r="S538" i="1"/>
  <c r="T538" i="1"/>
  <c r="S530" i="1"/>
  <c r="T530" i="1"/>
  <c r="S522" i="1"/>
  <c r="T522" i="1"/>
  <c r="S514" i="1"/>
  <c r="T514" i="1"/>
  <c r="S506" i="1"/>
  <c r="T506" i="1"/>
  <c r="S498" i="1"/>
  <c r="T498" i="1"/>
  <c r="S490" i="1"/>
  <c r="T490" i="1"/>
  <c r="S482" i="1"/>
  <c r="T482" i="1"/>
  <c r="S474" i="1"/>
  <c r="T474" i="1"/>
  <c r="S466" i="1"/>
  <c r="T466" i="1"/>
  <c r="S458" i="1"/>
  <c r="T458" i="1"/>
  <c r="S450" i="1"/>
  <c r="T450" i="1"/>
  <c r="S442" i="1"/>
  <c r="T442" i="1"/>
  <c r="S584" i="1"/>
  <c r="T1000" i="1"/>
  <c r="T968" i="1"/>
  <c r="T936" i="1"/>
  <c r="T904" i="1"/>
  <c r="T872" i="1"/>
  <c r="T840" i="1"/>
  <c r="T808" i="1"/>
  <c r="T776" i="1"/>
  <c r="T744" i="1"/>
  <c r="T712" i="1"/>
  <c r="T675" i="1"/>
  <c r="T579" i="1"/>
  <c r="T451" i="1"/>
  <c r="T323" i="1"/>
  <c r="T195" i="1"/>
  <c r="T67" i="1"/>
  <c r="S988" i="1"/>
  <c r="T988" i="1"/>
  <c r="S916" i="1"/>
  <c r="T916" i="1"/>
  <c r="S844" i="1"/>
  <c r="T844" i="1"/>
  <c r="S756" i="1"/>
  <c r="T756" i="1"/>
  <c r="S684" i="1"/>
  <c r="T684" i="1"/>
  <c r="S636" i="1"/>
  <c r="T636" i="1"/>
  <c r="S588" i="1"/>
  <c r="T588" i="1"/>
  <c r="S532" i="1"/>
  <c r="T532" i="1"/>
  <c r="S484" i="1"/>
  <c r="T484" i="1"/>
  <c r="S987" i="1"/>
  <c r="T987" i="1"/>
  <c r="S939" i="1"/>
  <c r="T939" i="1"/>
  <c r="S891" i="1"/>
  <c r="T891" i="1"/>
  <c r="S851" i="1"/>
  <c r="T851" i="1"/>
  <c r="S811" i="1"/>
  <c r="T811" i="1"/>
  <c r="S747" i="1"/>
  <c r="T747" i="1"/>
  <c r="S707" i="1"/>
  <c r="T707" i="1"/>
  <c r="S667" i="1"/>
  <c r="T667" i="1"/>
  <c r="S635" i="1"/>
  <c r="T635" i="1"/>
  <c r="S587" i="1"/>
  <c r="T587" i="1"/>
  <c r="S1017" i="1"/>
  <c r="T1017" i="1"/>
  <c r="S993" i="1"/>
  <c r="T993" i="1"/>
  <c r="S969" i="1"/>
  <c r="T969" i="1"/>
  <c r="S945" i="1"/>
  <c r="T945" i="1"/>
  <c r="S913" i="1"/>
  <c r="T913" i="1"/>
  <c r="S889" i="1"/>
  <c r="T889" i="1"/>
  <c r="S865" i="1"/>
  <c r="T865" i="1"/>
  <c r="S841" i="1"/>
  <c r="T841" i="1"/>
  <c r="S817" i="1"/>
  <c r="T817" i="1"/>
  <c r="S793" i="1"/>
  <c r="T793" i="1"/>
  <c r="S769" i="1"/>
  <c r="T769" i="1"/>
  <c r="S745" i="1"/>
  <c r="T745" i="1"/>
  <c r="S737" i="1"/>
  <c r="T737" i="1"/>
  <c r="S721" i="1"/>
  <c r="T721" i="1"/>
  <c r="S705" i="1"/>
  <c r="T705" i="1"/>
  <c r="S697" i="1"/>
  <c r="T697" i="1"/>
  <c r="S689" i="1"/>
  <c r="T689" i="1"/>
  <c r="S681" i="1"/>
  <c r="T681" i="1"/>
  <c r="S673" i="1"/>
  <c r="T673" i="1"/>
  <c r="S665" i="1"/>
  <c r="T665" i="1"/>
  <c r="S657" i="1"/>
  <c r="T657" i="1"/>
  <c r="S641" i="1"/>
  <c r="T641" i="1"/>
  <c r="S625" i="1"/>
  <c r="T625" i="1"/>
  <c r="S617" i="1"/>
  <c r="T617" i="1"/>
  <c r="S609" i="1"/>
  <c r="T609" i="1"/>
  <c r="S601" i="1"/>
  <c r="T601" i="1"/>
  <c r="S593" i="1"/>
  <c r="T593" i="1"/>
  <c r="S585" i="1"/>
  <c r="T585" i="1"/>
  <c r="S577" i="1"/>
  <c r="T577" i="1"/>
  <c r="S569" i="1"/>
  <c r="T569" i="1"/>
  <c r="S561" i="1"/>
  <c r="T561" i="1"/>
  <c r="S553" i="1"/>
  <c r="T553" i="1"/>
  <c r="S545" i="1"/>
  <c r="T545" i="1"/>
  <c r="S537" i="1"/>
  <c r="T537" i="1"/>
  <c r="S529" i="1"/>
  <c r="T529" i="1"/>
  <c r="S521" i="1"/>
  <c r="T521" i="1"/>
  <c r="S513" i="1"/>
  <c r="T513" i="1"/>
  <c r="S505" i="1"/>
  <c r="T505" i="1"/>
  <c r="S497" i="1"/>
  <c r="T497" i="1"/>
  <c r="S489" i="1"/>
  <c r="T489" i="1"/>
  <c r="T481" i="1"/>
  <c r="S481" i="1"/>
  <c r="S473" i="1"/>
  <c r="T473" i="1"/>
  <c r="S465" i="1"/>
  <c r="T465" i="1"/>
  <c r="S457" i="1"/>
  <c r="T457" i="1"/>
  <c r="S449" i="1"/>
  <c r="T449" i="1"/>
  <c r="S441" i="1"/>
  <c r="T441" i="1"/>
  <c r="S433" i="1"/>
  <c r="T433" i="1"/>
  <c r="S425" i="1"/>
  <c r="T425" i="1"/>
  <c r="S417" i="1"/>
  <c r="T417" i="1"/>
  <c r="S409" i="1"/>
  <c r="T409" i="1"/>
  <c r="S401" i="1"/>
  <c r="T401" i="1"/>
  <c r="S393" i="1"/>
  <c r="T393" i="1"/>
  <c r="S385" i="1"/>
  <c r="T385" i="1"/>
  <c r="S377" i="1"/>
  <c r="T377" i="1"/>
  <c r="S369" i="1"/>
  <c r="T369" i="1"/>
  <c r="S361" i="1"/>
  <c r="T361" i="1"/>
  <c r="S353" i="1"/>
  <c r="T353" i="1"/>
  <c r="S345" i="1"/>
  <c r="T345" i="1"/>
  <c r="S337" i="1"/>
  <c r="T337" i="1"/>
  <c r="S329" i="1"/>
  <c r="T329" i="1"/>
  <c r="S321" i="1"/>
  <c r="T321" i="1"/>
  <c r="S313" i="1"/>
  <c r="T313" i="1"/>
  <c r="S305" i="1"/>
  <c r="T305" i="1"/>
  <c r="S297" i="1"/>
  <c r="T297" i="1"/>
  <c r="S289" i="1"/>
  <c r="T289" i="1"/>
  <c r="S281" i="1"/>
  <c r="T281" i="1"/>
  <c r="S365" i="1"/>
  <c r="T998" i="1"/>
  <c r="T966" i="1"/>
  <c r="T934" i="1"/>
  <c r="T902" i="1"/>
  <c r="T870" i="1"/>
  <c r="T838" i="1"/>
  <c r="T806" i="1"/>
  <c r="T774" i="1"/>
  <c r="T742" i="1"/>
  <c r="T710" i="1"/>
  <c r="T670" i="1"/>
  <c r="T571" i="1"/>
  <c r="T443" i="1"/>
  <c r="T315" i="1"/>
  <c r="T187" i="1"/>
  <c r="T59" i="1"/>
  <c r="S972" i="1"/>
  <c r="T972" i="1"/>
  <c r="S932" i="1"/>
  <c r="T932" i="1"/>
  <c r="S892" i="1"/>
  <c r="T892" i="1"/>
  <c r="S860" i="1"/>
  <c r="T860" i="1"/>
  <c r="S812" i="1"/>
  <c r="T812" i="1"/>
  <c r="S772" i="1"/>
  <c r="T772" i="1"/>
  <c r="S732" i="1"/>
  <c r="T732" i="1"/>
  <c r="S692" i="1"/>
  <c r="T692" i="1"/>
  <c r="S652" i="1"/>
  <c r="T652" i="1"/>
  <c r="S628" i="1"/>
  <c r="T628" i="1"/>
  <c r="S580" i="1"/>
  <c r="T580" i="1"/>
  <c r="S540" i="1"/>
  <c r="T540" i="1"/>
  <c r="S500" i="1"/>
  <c r="T500" i="1"/>
  <c r="S476" i="1"/>
  <c r="T476" i="1"/>
  <c r="S1003" i="1"/>
  <c r="T1003" i="1"/>
  <c r="S947" i="1"/>
  <c r="T947" i="1"/>
  <c r="S899" i="1"/>
  <c r="T899" i="1"/>
  <c r="S859" i="1"/>
  <c r="T859" i="1"/>
  <c r="S819" i="1"/>
  <c r="T819" i="1"/>
  <c r="S787" i="1"/>
  <c r="T787" i="1"/>
  <c r="S763" i="1"/>
  <c r="T763" i="1"/>
  <c r="S731" i="1"/>
  <c r="T731" i="1"/>
  <c r="S699" i="1"/>
  <c r="T699" i="1"/>
  <c r="S659" i="1"/>
  <c r="T659" i="1"/>
  <c r="S595" i="1"/>
  <c r="T595" i="1"/>
  <c r="S1009" i="1"/>
  <c r="T1009" i="1"/>
  <c r="S985" i="1"/>
  <c r="T985" i="1"/>
  <c r="S961" i="1"/>
  <c r="T961" i="1"/>
  <c r="S929" i="1"/>
  <c r="T929" i="1"/>
  <c r="S905" i="1"/>
  <c r="T905" i="1"/>
  <c r="S881" i="1"/>
  <c r="T881" i="1"/>
  <c r="S857" i="1"/>
  <c r="T857" i="1"/>
  <c r="S833" i="1"/>
  <c r="T833" i="1"/>
  <c r="S809" i="1"/>
  <c r="T809" i="1"/>
  <c r="S777" i="1"/>
  <c r="T777" i="1"/>
  <c r="S753" i="1"/>
  <c r="T753" i="1"/>
  <c r="S729" i="1"/>
  <c r="T729" i="1"/>
  <c r="T672" i="1"/>
  <c r="S672" i="1"/>
  <c r="S656" i="1"/>
  <c r="T656" i="1"/>
  <c r="S640" i="1"/>
  <c r="T640" i="1"/>
  <c r="S624" i="1"/>
  <c r="T624" i="1"/>
  <c r="S616" i="1"/>
  <c r="T616" i="1"/>
  <c r="S608" i="1"/>
  <c r="T608" i="1"/>
  <c r="S592" i="1"/>
  <c r="T592" i="1"/>
  <c r="S576" i="1"/>
  <c r="T576" i="1"/>
  <c r="S568" i="1"/>
  <c r="T568" i="1"/>
  <c r="S560" i="1"/>
  <c r="T560" i="1"/>
  <c r="S552" i="1"/>
  <c r="T552" i="1"/>
  <c r="S544" i="1"/>
  <c r="T544" i="1"/>
  <c r="S536" i="1"/>
  <c r="T536" i="1"/>
  <c r="S528" i="1"/>
  <c r="T528" i="1"/>
  <c r="S520" i="1"/>
  <c r="T520" i="1"/>
  <c r="S512" i="1"/>
  <c r="T512" i="1"/>
  <c r="S504" i="1"/>
  <c r="T504" i="1"/>
  <c r="S496" i="1"/>
  <c r="T496" i="1"/>
  <c r="S488" i="1"/>
  <c r="T488" i="1"/>
  <c r="S480" i="1"/>
  <c r="T480" i="1"/>
  <c r="S472" i="1"/>
  <c r="T472" i="1"/>
  <c r="S464" i="1"/>
  <c r="T464" i="1"/>
  <c r="S456" i="1"/>
  <c r="T456" i="1"/>
  <c r="S448" i="1"/>
  <c r="T448" i="1"/>
  <c r="S440" i="1"/>
  <c r="T440" i="1"/>
  <c r="S432" i="1"/>
  <c r="T432" i="1"/>
  <c r="S424" i="1"/>
  <c r="T424" i="1"/>
  <c r="T1024" i="1"/>
  <c r="T992" i="1"/>
  <c r="T960" i="1"/>
  <c r="T928" i="1"/>
  <c r="T896" i="1"/>
  <c r="T864" i="1"/>
  <c r="T832" i="1"/>
  <c r="T800" i="1"/>
  <c r="T768" i="1"/>
  <c r="T736" i="1"/>
  <c r="T704" i="1"/>
  <c r="T654" i="1"/>
  <c r="T547" i="1"/>
  <c r="T419" i="1"/>
  <c r="T291" i="1"/>
  <c r="T163" i="1"/>
  <c r="T35" i="1"/>
  <c r="S996" i="1"/>
  <c r="T996" i="1"/>
  <c r="S940" i="1"/>
  <c r="T940" i="1"/>
  <c r="S908" i="1"/>
  <c r="T908" i="1"/>
  <c r="S852" i="1"/>
  <c r="T852" i="1"/>
  <c r="S804" i="1"/>
  <c r="T804" i="1"/>
  <c r="S764" i="1"/>
  <c r="T764" i="1"/>
  <c r="S716" i="1"/>
  <c r="T716" i="1"/>
  <c r="S676" i="1"/>
  <c r="T676" i="1"/>
  <c r="S644" i="1"/>
  <c r="T644" i="1"/>
  <c r="S604" i="1"/>
  <c r="T604" i="1"/>
  <c r="S572" i="1"/>
  <c r="T572" i="1"/>
  <c r="S524" i="1"/>
  <c r="T524" i="1"/>
  <c r="S492" i="1"/>
  <c r="T492" i="1"/>
  <c r="S460" i="1"/>
  <c r="T460" i="1"/>
  <c r="S1027" i="1"/>
  <c r="T1027" i="1"/>
  <c r="S1011" i="1"/>
  <c r="T1011" i="1"/>
  <c r="S971" i="1"/>
  <c r="T971" i="1"/>
  <c r="T931" i="1"/>
  <c r="S931" i="1"/>
  <c r="S907" i="1"/>
  <c r="T907" i="1"/>
  <c r="T867" i="1"/>
  <c r="S867" i="1"/>
  <c r="S827" i="1"/>
  <c r="T827" i="1"/>
  <c r="S795" i="1"/>
  <c r="T795" i="1"/>
  <c r="S771" i="1"/>
  <c r="T771" i="1"/>
  <c r="S723" i="1"/>
  <c r="T723" i="1"/>
  <c r="S691" i="1"/>
  <c r="T691" i="1"/>
  <c r="S651" i="1"/>
  <c r="T651" i="1"/>
  <c r="S563" i="1"/>
  <c r="T563" i="1"/>
  <c r="S1025" i="1"/>
  <c r="T1025" i="1"/>
  <c r="S1001" i="1"/>
  <c r="T1001" i="1"/>
  <c r="S977" i="1"/>
  <c r="T977" i="1"/>
  <c r="S953" i="1"/>
  <c r="T953" i="1"/>
  <c r="S937" i="1"/>
  <c r="T937" i="1"/>
  <c r="S921" i="1"/>
  <c r="T921" i="1"/>
  <c r="S897" i="1"/>
  <c r="T897" i="1"/>
  <c r="S873" i="1"/>
  <c r="T873" i="1"/>
  <c r="S849" i="1"/>
  <c r="T849" i="1"/>
  <c r="S825" i="1"/>
  <c r="T825" i="1"/>
  <c r="S801" i="1"/>
  <c r="T801" i="1"/>
  <c r="S785" i="1"/>
  <c r="T785" i="1"/>
  <c r="S761" i="1"/>
  <c r="T761" i="1"/>
  <c r="S713" i="1"/>
  <c r="T713" i="1"/>
  <c r="S680" i="1"/>
  <c r="T680" i="1"/>
  <c r="S664" i="1"/>
  <c r="T664" i="1"/>
  <c r="S648" i="1"/>
  <c r="T648" i="1"/>
  <c r="S632" i="1"/>
  <c r="T632" i="1"/>
  <c r="S600" i="1"/>
  <c r="T600" i="1"/>
  <c r="S1023" i="1"/>
  <c r="T1023" i="1"/>
  <c r="S1015" i="1"/>
  <c r="T1015" i="1"/>
  <c r="S1007" i="1"/>
  <c r="T1007" i="1"/>
  <c r="S999" i="1"/>
  <c r="T999" i="1"/>
  <c r="S991" i="1"/>
  <c r="T991" i="1"/>
  <c r="S983" i="1"/>
  <c r="T983" i="1"/>
  <c r="S975" i="1"/>
  <c r="T975" i="1"/>
  <c r="S967" i="1"/>
  <c r="T967" i="1"/>
  <c r="S959" i="1"/>
  <c r="T959" i="1"/>
  <c r="S951" i="1"/>
  <c r="T951" i="1"/>
  <c r="S943" i="1"/>
  <c r="T943" i="1"/>
  <c r="S935" i="1"/>
  <c r="T935" i="1"/>
  <c r="S927" i="1"/>
  <c r="T927" i="1"/>
  <c r="S919" i="1"/>
  <c r="T919" i="1"/>
  <c r="S911" i="1"/>
  <c r="T911" i="1"/>
  <c r="S903" i="1"/>
  <c r="T903" i="1"/>
  <c r="S895" i="1"/>
  <c r="T895" i="1"/>
  <c r="S887" i="1"/>
  <c r="T887" i="1"/>
  <c r="S879" i="1"/>
  <c r="T879" i="1"/>
  <c r="S871" i="1"/>
  <c r="T871" i="1"/>
  <c r="S863" i="1"/>
  <c r="T863" i="1"/>
  <c r="S855" i="1"/>
  <c r="T855" i="1"/>
  <c r="S847" i="1"/>
  <c r="T847" i="1"/>
  <c r="S839" i="1"/>
  <c r="T839" i="1"/>
  <c r="S831" i="1"/>
  <c r="T831" i="1"/>
  <c r="S823" i="1"/>
  <c r="T823" i="1"/>
  <c r="S815" i="1"/>
  <c r="T815" i="1"/>
  <c r="S807" i="1"/>
  <c r="T807" i="1"/>
  <c r="S799" i="1"/>
  <c r="T799" i="1"/>
  <c r="S791" i="1"/>
  <c r="T791" i="1"/>
  <c r="S783" i="1"/>
  <c r="T783" i="1"/>
  <c r="S775" i="1"/>
  <c r="T775" i="1"/>
  <c r="S767" i="1"/>
  <c r="T767" i="1"/>
  <c r="S759" i="1"/>
  <c r="T759" i="1"/>
  <c r="S751" i="1"/>
  <c r="T751" i="1"/>
  <c r="S743" i="1"/>
  <c r="T743" i="1"/>
  <c r="S735" i="1"/>
  <c r="T735" i="1"/>
  <c r="S727" i="1"/>
  <c r="T727" i="1"/>
  <c r="S719" i="1"/>
  <c r="T719" i="1"/>
  <c r="S711" i="1"/>
  <c r="T711" i="1"/>
  <c r="S703" i="1"/>
  <c r="T703" i="1"/>
  <c r="S695" i="1"/>
  <c r="T695" i="1"/>
  <c r="S687" i="1"/>
  <c r="T687" i="1"/>
  <c r="S679" i="1"/>
  <c r="T679" i="1"/>
  <c r="S671" i="1"/>
  <c r="T671" i="1"/>
  <c r="S663" i="1"/>
  <c r="T663" i="1"/>
  <c r="S655" i="1"/>
  <c r="T655" i="1"/>
  <c r="S647" i="1"/>
  <c r="T647" i="1"/>
  <c r="S639" i="1"/>
  <c r="T639" i="1"/>
  <c r="S631" i="1"/>
  <c r="T631" i="1"/>
  <c r="S623" i="1"/>
  <c r="T623" i="1"/>
  <c r="S615" i="1"/>
  <c r="T615" i="1"/>
  <c r="S607" i="1"/>
  <c r="T607" i="1"/>
  <c r="S599" i="1"/>
  <c r="T599" i="1"/>
  <c r="S591" i="1"/>
  <c r="T591" i="1"/>
  <c r="S583" i="1"/>
  <c r="T583" i="1"/>
  <c r="S575" i="1"/>
  <c r="T575" i="1"/>
  <c r="S567" i="1"/>
  <c r="T567" i="1"/>
  <c r="S559" i="1"/>
  <c r="T559" i="1"/>
  <c r="S551" i="1"/>
  <c r="T551" i="1"/>
  <c r="S543" i="1"/>
  <c r="T543" i="1"/>
  <c r="S535" i="1"/>
  <c r="T535" i="1"/>
  <c r="S527" i="1"/>
  <c r="T527" i="1"/>
  <c r="S519" i="1"/>
  <c r="T519" i="1"/>
  <c r="S511" i="1"/>
  <c r="T511" i="1"/>
  <c r="S503" i="1"/>
  <c r="T503" i="1"/>
  <c r="S495" i="1"/>
  <c r="T495" i="1"/>
  <c r="S487" i="1"/>
  <c r="T487" i="1"/>
  <c r="S479" i="1"/>
  <c r="T479" i="1"/>
  <c r="S471" i="1"/>
  <c r="T471" i="1"/>
  <c r="S463" i="1"/>
  <c r="T463" i="1"/>
  <c r="S455" i="1"/>
  <c r="T455" i="1"/>
  <c r="S447" i="1"/>
  <c r="T447" i="1"/>
  <c r="S439" i="1"/>
  <c r="T439" i="1"/>
  <c r="S431" i="1"/>
  <c r="T431" i="1"/>
  <c r="T1022" i="1"/>
  <c r="T990" i="1"/>
  <c r="T958" i="1"/>
  <c r="T926" i="1"/>
  <c r="T894" i="1"/>
  <c r="T862" i="1"/>
  <c r="T830" i="1"/>
  <c r="T798" i="1"/>
  <c r="T766" i="1"/>
  <c r="T734" i="1"/>
  <c r="T702" i="1"/>
  <c r="T649" i="1"/>
  <c r="T539" i="1"/>
  <c r="T411" i="1"/>
  <c r="T283" i="1"/>
  <c r="T155" i="1"/>
  <c r="T27" i="1"/>
  <c r="S444" i="1"/>
  <c r="T444" i="1"/>
  <c r="S436" i="1"/>
  <c r="T436" i="1"/>
  <c r="S428" i="1"/>
  <c r="T428" i="1"/>
  <c r="S420" i="1"/>
  <c r="T420" i="1"/>
  <c r="S412" i="1"/>
  <c r="T412" i="1"/>
  <c r="S404" i="1"/>
  <c r="T404" i="1"/>
  <c r="S396" i="1"/>
  <c r="T396" i="1"/>
  <c r="S388" i="1"/>
  <c r="T388" i="1"/>
  <c r="S380" i="1"/>
  <c r="T380" i="1"/>
  <c r="S372" i="1"/>
  <c r="T372" i="1"/>
  <c r="S364" i="1"/>
  <c r="T364" i="1"/>
  <c r="S356" i="1"/>
  <c r="T356" i="1"/>
  <c r="S348" i="1"/>
  <c r="T348" i="1"/>
  <c r="S340" i="1"/>
  <c r="T340" i="1"/>
  <c r="S332" i="1"/>
  <c r="T332" i="1"/>
  <c r="S324" i="1"/>
  <c r="T324" i="1"/>
  <c r="S316" i="1"/>
  <c r="T316" i="1"/>
  <c r="S308" i="1"/>
  <c r="T308" i="1"/>
  <c r="S300" i="1"/>
  <c r="T300" i="1"/>
  <c r="S292" i="1"/>
  <c r="T292" i="1"/>
  <c r="S284" i="1"/>
  <c r="T284" i="1"/>
  <c r="S276" i="1"/>
  <c r="T276" i="1"/>
  <c r="S268" i="1"/>
  <c r="T268" i="1"/>
  <c r="S260" i="1"/>
  <c r="T260" i="1"/>
  <c r="S252" i="1"/>
  <c r="T252" i="1"/>
  <c r="S244" i="1"/>
  <c r="T244" i="1"/>
  <c r="S236" i="1"/>
  <c r="T236" i="1"/>
  <c r="S228" i="1"/>
  <c r="T228" i="1"/>
  <c r="S220" i="1"/>
  <c r="T220" i="1"/>
  <c r="S212" i="1"/>
  <c r="T212" i="1"/>
  <c r="S204" i="1"/>
  <c r="T204" i="1"/>
  <c r="S196" i="1"/>
  <c r="T196" i="1"/>
  <c r="S188" i="1"/>
  <c r="T188" i="1"/>
  <c r="S180" i="1"/>
  <c r="T180" i="1"/>
  <c r="S172" i="1"/>
  <c r="T172" i="1"/>
  <c r="S164" i="1"/>
  <c r="T164" i="1"/>
  <c r="S156" i="1"/>
  <c r="T156" i="1"/>
  <c r="S148" i="1"/>
  <c r="T148" i="1"/>
  <c r="S140" i="1"/>
  <c r="T140" i="1"/>
  <c r="S132" i="1"/>
  <c r="T132" i="1"/>
  <c r="S124" i="1"/>
  <c r="T124" i="1"/>
  <c r="S116" i="1"/>
  <c r="T116" i="1"/>
  <c r="S108" i="1"/>
  <c r="T108" i="1"/>
  <c r="S100" i="1"/>
  <c r="T100" i="1"/>
  <c r="S92" i="1"/>
  <c r="T92" i="1"/>
  <c r="S84" i="1"/>
  <c r="T84" i="1"/>
  <c r="S76" i="1"/>
  <c r="T76" i="1"/>
  <c r="S68" i="1"/>
  <c r="T68" i="1"/>
  <c r="S60" i="1"/>
  <c r="T60" i="1"/>
  <c r="S52" i="1"/>
  <c r="T52" i="1"/>
  <c r="S44" i="1"/>
  <c r="T44" i="1"/>
  <c r="S36" i="1"/>
  <c r="T36" i="1"/>
  <c r="S28" i="1"/>
  <c r="T28" i="1"/>
  <c r="S20" i="1"/>
  <c r="T20" i="1"/>
  <c r="S12" i="1"/>
  <c r="T12" i="1"/>
  <c r="S4" i="1"/>
  <c r="T4" i="1"/>
  <c r="T257" i="1"/>
  <c r="T225" i="1"/>
  <c r="T193" i="1"/>
  <c r="T161" i="1"/>
  <c r="T129" i="1"/>
  <c r="T97" i="1"/>
  <c r="T65" i="1"/>
  <c r="T33" i="1"/>
  <c r="S434" i="1"/>
  <c r="T434" i="1"/>
  <c r="S426" i="1"/>
  <c r="T426" i="1"/>
  <c r="S418" i="1"/>
  <c r="T418" i="1"/>
  <c r="S410" i="1"/>
  <c r="T410" i="1"/>
  <c r="S402" i="1"/>
  <c r="T402" i="1"/>
  <c r="S394" i="1"/>
  <c r="T394" i="1"/>
  <c r="S386" i="1"/>
  <c r="T386" i="1"/>
  <c r="S378" i="1"/>
  <c r="T378" i="1"/>
  <c r="S370" i="1"/>
  <c r="T370" i="1"/>
  <c r="S362" i="1"/>
  <c r="T362" i="1"/>
  <c r="S354" i="1"/>
  <c r="T354" i="1"/>
  <c r="S346" i="1"/>
  <c r="T346" i="1"/>
  <c r="S338" i="1"/>
  <c r="T338" i="1"/>
  <c r="S330" i="1"/>
  <c r="T330" i="1"/>
  <c r="S322" i="1"/>
  <c r="T322" i="1"/>
  <c r="S314" i="1"/>
  <c r="T314" i="1"/>
  <c r="S306" i="1"/>
  <c r="T306" i="1"/>
  <c r="S298" i="1"/>
  <c r="T298" i="1"/>
  <c r="S290" i="1"/>
  <c r="T290" i="1"/>
  <c r="S282" i="1"/>
  <c r="T282" i="1"/>
  <c r="S274" i="1"/>
  <c r="T274" i="1"/>
  <c r="S266" i="1"/>
  <c r="T266" i="1"/>
  <c r="S258" i="1"/>
  <c r="T258" i="1"/>
  <c r="S250" i="1"/>
  <c r="T250" i="1"/>
  <c r="S242" i="1"/>
  <c r="T242" i="1"/>
  <c r="S234" i="1"/>
  <c r="T234" i="1"/>
  <c r="S226" i="1"/>
  <c r="T226" i="1"/>
  <c r="S218" i="1"/>
  <c r="T218" i="1"/>
  <c r="S210" i="1"/>
  <c r="T210" i="1"/>
  <c r="S202" i="1"/>
  <c r="T202" i="1"/>
  <c r="S194" i="1"/>
  <c r="T194" i="1"/>
  <c r="S186" i="1"/>
  <c r="T186" i="1"/>
  <c r="S178" i="1"/>
  <c r="T178" i="1"/>
  <c r="S170" i="1"/>
  <c r="T170" i="1"/>
  <c r="S162" i="1"/>
  <c r="T162" i="1"/>
  <c r="S154" i="1"/>
  <c r="T154" i="1"/>
  <c r="S146" i="1"/>
  <c r="T146" i="1"/>
  <c r="S138" i="1"/>
  <c r="T138" i="1"/>
  <c r="S130" i="1"/>
  <c r="T130" i="1"/>
  <c r="S122" i="1"/>
  <c r="T122" i="1"/>
  <c r="S114" i="1"/>
  <c r="T114" i="1"/>
  <c r="S106" i="1"/>
  <c r="T106" i="1"/>
  <c r="S98" i="1"/>
  <c r="T98" i="1"/>
  <c r="S90" i="1"/>
  <c r="T90" i="1"/>
  <c r="S82" i="1"/>
  <c r="T82" i="1"/>
  <c r="S74" i="1"/>
  <c r="T74" i="1"/>
  <c r="S66" i="1"/>
  <c r="T66" i="1"/>
  <c r="S58" i="1"/>
  <c r="T58" i="1"/>
  <c r="S50" i="1"/>
  <c r="T50" i="1"/>
  <c r="S42" i="1"/>
  <c r="T42" i="1"/>
  <c r="S34" i="1"/>
  <c r="T34" i="1"/>
  <c r="S26" i="1"/>
  <c r="T26" i="1"/>
  <c r="S18" i="1"/>
  <c r="T18" i="1"/>
  <c r="S10" i="1"/>
  <c r="T10" i="1"/>
  <c r="T249" i="1"/>
  <c r="T217" i="1"/>
  <c r="T185" i="1"/>
  <c r="T153" i="1"/>
  <c r="T121" i="1"/>
  <c r="T89" i="1"/>
  <c r="T57" i="1"/>
  <c r="T25" i="1"/>
  <c r="S416" i="1"/>
  <c r="T416" i="1"/>
  <c r="S408" i="1"/>
  <c r="T408" i="1"/>
  <c r="S400" i="1"/>
  <c r="T400" i="1"/>
  <c r="S392" i="1"/>
  <c r="T392" i="1"/>
  <c r="S384" i="1"/>
  <c r="T384" i="1"/>
  <c r="S376" i="1"/>
  <c r="T376" i="1"/>
  <c r="S368" i="1"/>
  <c r="T368" i="1"/>
  <c r="S360" i="1"/>
  <c r="T360" i="1"/>
  <c r="S352" i="1"/>
  <c r="T352" i="1"/>
  <c r="S344" i="1"/>
  <c r="T344" i="1"/>
  <c r="S336" i="1"/>
  <c r="T336" i="1"/>
  <c r="S328" i="1"/>
  <c r="T328" i="1"/>
  <c r="S320" i="1"/>
  <c r="T320" i="1"/>
  <c r="S312" i="1"/>
  <c r="T312" i="1"/>
  <c r="S304" i="1"/>
  <c r="T304" i="1"/>
  <c r="S296" i="1"/>
  <c r="T296" i="1"/>
  <c r="S288" i="1"/>
  <c r="T288" i="1"/>
  <c r="S280" i="1"/>
  <c r="T280" i="1"/>
  <c r="S272" i="1"/>
  <c r="T272" i="1"/>
  <c r="S264" i="1"/>
  <c r="T264" i="1"/>
  <c r="S256" i="1"/>
  <c r="T256" i="1"/>
  <c r="S248" i="1"/>
  <c r="T248" i="1"/>
  <c r="S240" i="1"/>
  <c r="T240" i="1"/>
  <c r="S232" i="1"/>
  <c r="T232" i="1"/>
  <c r="S224" i="1"/>
  <c r="T224" i="1"/>
  <c r="S216" i="1"/>
  <c r="T216" i="1"/>
  <c r="S208" i="1"/>
  <c r="T208" i="1"/>
  <c r="S200" i="1"/>
  <c r="T200" i="1"/>
  <c r="S192" i="1"/>
  <c r="T192" i="1"/>
  <c r="S184" i="1"/>
  <c r="T184" i="1"/>
  <c r="S176" i="1"/>
  <c r="T176" i="1"/>
  <c r="S168" i="1"/>
  <c r="T168" i="1"/>
  <c r="S160" i="1"/>
  <c r="T160" i="1"/>
  <c r="S152" i="1"/>
  <c r="T152" i="1"/>
  <c r="S144" i="1"/>
  <c r="T144" i="1"/>
  <c r="S136" i="1"/>
  <c r="T136" i="1"/>
  <c r="S128" i="1"/>
  <c r="T128" i="1"/>
  <c r="S120" i="1"/>
  <c r="T120" i="1"/>
  <c r="S112" i="1"/>
  <c r="T112" i="1"/>
  <c r="S104" i="1"/>
  <c r="T104" i="1"/>
  <c r="S96" i="1"/>
  <c r="T96" i="1"/>
  <c r="S88" i="1"/>
  <c r="T88" i="1"/>
  <c r="S80" i="1"/>
  <c r="T80" i="1"/>
  <c r="S72" i="1"/>
  <c r="T72" i="1"/>
  <c r="S64" i="1"/>
  <c r="T64" i="1"/>
  <c r="S56" i="1"/>
  <c r="T56" i="1"/>
  <c r="S48" i="1"/>
  <c r="T48" i="1"/>
  <c r="S40" i="1"/>
  <c r="T40" i="1"/>
  <c r="S32" i="1"/>
  <c r="T32" i="1"/>
  <c r="S24" i="1"/>
  <c r="T24" i="1"/>
  <c r="S16" i="1"/>
  <c r="T16" i="1"/>
  <c r="S8" i="1"/>
  <c r="T8" i="1"/>
  <c r="T273" i="1"/>
  <c r="T241" i="1"/>
  <c r="T209" i="1"/>
  <c r="T177" i="1"/>
  <c r="T145" i="1"/>
  <c r="T113" i="1"/>
  <c r="T81" i="1"/>
  <c r="T49" i="1"/>
  <c r="T17" i="1"/>
  <c r="S423" i="1"/>
  <c r="T423" i="1"/>
  <c r="S415" i="1"/>
  <c r="T415" i="1"/>
  <c r="S407" i="1"/>
  <c r="T407" i="1"/>
  <c r="S399" i="1"/>
  <c r="T399" i="1"/>
  <c r="S391" i="1"/>
  <c r="T391" i="1"/>
  <c r="S383" i="1"/>
  <c r="T383" i="1"/>
  <c r="S375" i="1"/>
  <c r="T375" i="1"/>
  <c r="S367" i="1"/>
  <c r="T367" i="1"/>
  <c r="S359" i="1"/>
  <c r="T359" i="1"/>
  <c r="S351" i="1"/>
  <c r="T351" i="1"/>
  <c r="S343" i="1"/>
  <c r="T343" i="1"/>
  <c r="S335" i="1"/>
  <c r="T335" i="1"/>
  <c r="S327" i="1"/>
  <c r="T327" i="1"/>
  <c r="S319" i="1"/>
  <c r="T319" i="1"/>
  <c r="S311" i="1"/>
  <c r="T311" i="1"/>
  <c r="S303" i="1"/>
  <c r="T303" i="1"/>
  <c r="S295" i="1"/>
  <c r="T295" i="1"/>
  <c r="S287" i="1"/>
  <c r="T287" i="1"/>
  <c r="S279" i="1"/>
  <c r="T279" i="1"/>
  <c r="S271" i="1"/>
  <c r="T271" i="1"/>
  <c r="S263" i="1"/>
  <c r="T263" i="1"/>
  <c r="S255" i="1"/>
  <c r="T255" i="1"/>
  <c r="S247" i="1"/>
  <c r="T247" i="1"/>
  <c r="S239" i="1"/>
  <c r="T239" i="1"/>
  <c r="S231" i="1"/>
  <c r="T231" i="1"/>
  <c r="S223" i="1"/>
  <c r="T223" i="1"/>
  <c r="S215" i="1"/>
  <c r="T215" i="1"/>
  <c r="S207" i="1"/>
  <c r="T207" i="1"/>
  <c r="S199" i="1"/>
  <c r="T199" i="1"/>
  <c r="S191" i="1"/>
  <c r="T191" i="1"/>
  <c r="S183" i="1"/>
  <c r="T183" i="1"/>
  <c r="S175" i="1"/>
  <c r="T175" i="1"/>
  <c r="S167" i="1"/>
  <c r="T167" i="1"/>
  <c r="S159" i="1"/>
  <c r="T159" i="1"/>
  <c r="S151" i="1"/>
  <c r="T151" i="1"/>
  <c r="S143" i="1"/>
  <c r="T143" i="1"/>
  <c r="S135" i="1"/>
  <c r="T135" i="1"/>
  <c r="S127" i="1"/>
  <c r="T127" i="1"/>
  <c r="S119" i="1"/>
  <c r="T119" i="1"/>
  <c r="S111" i="1"/>
  <c r="T111" i="1"/>
  <c r="S103" i="1"/>
  <c r="T103" i="1"/>
  <c r="S95" i="1"/>
  <c r="T95" i="1"/>
  <c r="S87" i="1"/>
  <c r="T87" i="1"/>
  <c r="S79" i="1"/>
  <c r="T79" i="1"/>
  <c r="S71" i="1"/>
  <c r="T71" i="1"/>
  <c r="S63" i="1"/>
  <c r="T63" i="1"/>
  <c r="S55" i="1"/>
  <c r="T55" i="1"/>
  <c r="S47" i="1"/>
  <c r="T47" i="1"/>
  <c r="S39" i="1"/>
  <c r="T39" i="1"/>
  <c r="S31" i="1"/>
  <c r="T31" i="1"/>
  <c r="S23" i="1"/>
  <c r="T23" i="1"/>
  <c r="S15" i="1"/>
  <c r="T15" i="1"/>
  <c r="S7" i="1"/>
  <c r="T7" i="1"/>
  <c r="S422" i="1"/>
  <c r="T422" i="1"/>
  <c r="S414" i="1"/>
  <c r="T414" i="1"/>
  <c r="S406" i="1"/>
  <c r="T406" i="1"/>
  <c r="S398" i="1"/>
  <c r="T398" i="1"/>
  <c r="S390" i="1"/>
  <c r="T390" i="1"/>
  <c r="S382" i="1"/>
  <c r="T382" i="1"/>
  <c r="S374" i="1"/>
  <c r="T374" i="1"/>
  <c r="S366" i="1"/>
  <c r="T366" i="1"/>
  <c r="S358" i="1"/>
  <c r="T358" i="1"/>
  <c r="S350" i="1"/>
  <c r="T350" i="1"/>
  <c r="S342" i="1"/>
  <c r="T342" i="1"/>
  <c r="S334" i="1"/>
  <c r="T334" i="1"/>
  <c r="S326" i="1"/>
  <c r="T326" i="1"/>
  <c r="S318" i="1"/>
  <c r="T318" i="1"/>
  <c r="S310" i="1"/>
  <c r="T310" i="1"/>
  <c r="S302" i="1"/>
  <c r="T302" i="1"/>
  <c r="S294" i="1"/>
  <c r="T294" i="1"/>
  <c r="S286" i="1"/>
  <c r="T286" i="1"/>
  <c r="S278" i="1"/>
  <c r="T278" i="1"/>
  <c r="S270" i="1"/>
  <c r="T270" i="1"/>
  <c r="S262" i="1"/>
  <c r="T262" i="1"/>
  <c r="S254" i="1"/>
  <c r="T254" i="1"/>
  <c r="S246" i="1"/>
  <c r="T246" i="1"/>
  <c r="S238" i="1"/>
  <c r="T238" i="1"/>
  <c r="S230" i="1"/>
  <c r="T230" i="1"/>
  <c r="S222" i="1"/>
  <c r="T222" i="1"/>
  <c r="S214" i="1"/>
  <c r="T214" i="1"/>
  <c r="S206" i="1"/>
  <c r="T206" i="1"/>
  <c r="S198" i="1"/>
  <c r="T198" i="1"/>
  <c r="S190" i="1"/>
  <c r="T190" i="1"/>
  <c r="S182" i="1"/>
  <c r="T182" i="1"/>
  <c r="S174" i="1"/>
  <c r="T174" i="1"/>
  <c r="S166" i="1"/>
  <c r="T166" i="1"/>
  <c r="S158" i="1"/>
  <c r="T158" i="1"/>
  <c r="S150" i="1"/>
  <c r="T150" i="1"/>
  <c r="S142" i="1"/>
  <c r="T142" i="1"/>
  <c r="S134" i="1"/>
  <c r="T134" i="1"/>
  <c r="S126" i="1"/>
  <c r="T126" i="1"/>
  <c r="S118" i="1"/>
  <c r="T118" i="1"/>
  <c r="S110" i="1"/>
  <c r="T110" i="1"/>
  <c r="S102" i="1"/>
  <c r="T102" i="1"/>
  <c r="S94" i="1"/>
  <c r="T94" i="1"/>
  <c r="S86" i="1"/>
  <c r="T86" i="1"/>
  <c r="S78" i="1"/>
  <c r="T78" i="1"/>
  <c r="S70" i="1"/>
  <c r="T70" i="1"/>
  <c r="S62" i="1"/>
  <c r="T62" i="1"/>
  <c r="S54" i="1"/>
  <c r="T54" i="1"/>
  <c r="S46" i="1"/>
  <c r="T46" i="1"/>
  <c r="S38" i="1"/>
  <c r="T38" i="1"/>
  <c r="S30" i="1"/>
  <c r="T30" i="1"/>
  <c r="S22" i="1"/>
  <c r="T22" i="1"/>
  <c r="S14" i="1"/>
  <c r="T14" i="1"/>
  <c r="S6" i="1"/>
  <c r="T6" i="1"/>
  <c r="T265" i="1"/>
  <c r="T233" i="1"/>
  <c r="T201" i="1"/>
  <c r="T169" i="1"/>
  <c r="T137" i="1"/>
  <c r="T105" i="1"/>
  <c r="T73" i="1"/>
  <c r="T41" i="1"/>
  <c r="T9" i="1"/>
  <c r="C18" i="3" l="1"/>
  <c r="B14" i="2"/>
  <c r="B18" i="3"/>
  <c r="B13" i="2"/>
  <c r="B9" i="2"/>
  <c r="B11" i="2"/>
</calcChain>
</file>

<file path=xl/sharedStrings.xml><?xml version="1.0" encoding="utf-8"?>
<sst xmlns="http://schemas.openxmlformats.org/spreadsheetml/2006/main" count="8338" uniqueCount="1638">
  <si>
    <t>Tax rate</t>
  </si>
  <si>
    <t>The rate is typed once, here, and every row points at $B$1.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</si>
  <si>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</si>
  <si>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</si>
  <si>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</si>
  <si>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</si>
  <si>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</si>
  <si>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</si>
  <si>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</si>
  <si>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</si>
  <si>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</si>
  <si>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</si>
  <si>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</si>
  <si>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</si>
  <si>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</si>
  <si>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</si>
  <si>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</si>
  <si>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</si>
  <si>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</si>
  <si>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316-68-6352</t>
  </si>
  <si>
    <t>Ikeja</t>
  </si>
  <si>
    <t>Lagos</t>
  </si>
  <si>
    <t>Member</t>
  </si>
  <si>
    <t>Female</t>
  </si>
  <si>
    <t>Food and beverages</t>
  </si>
  <si>
    <t>10:00:00 AM</t>
  </si>
  <si>
    <t>Cash</t>
  </si>
  <si>
    <t>826-58-8051</t>
  </si>
  <si>
    <t>Wuse</t>
  </si>
  <si>
    <t>Abuja</t>
  </si>
  <si>
    <t>Normal</t>
  </si>
  <si>
    <t>Male</t>
  </si>
  <si>
    <t>Home and lifestyle</t>
  </si>
  <si>
    <t>7:46:00 PM</t>
  </si>
  <si>
    <t>Ewallet</t>
  </si>
  <si>
    <t>565-67-6697</t>
  </si>
  <si>
    <t>2:16:00 PM</t>
  </si>
  <si>
    <t>246-11-3901</t>
  </si>
  <si>
    <t>Trans-Amadi</t>
  </si>
  <si>
    <t>Port Harcourt</t>
  </si>
  <si>
    <t>Electronic accessories</t>
  </si>
  <si>
    <t>12:12:00 PM</t>
  </si>
  <si>
    <t>276-75-6884</t>
  </si>
  <si>
    <t>Health and beauty</t>
  </si>
  <si>
    <t>10:05:00 AM</t>
  </si>
  <si>
    <t>326-71-2155</t>
  </si>
  <si>
    <t xml:space="preserve">SPORTS AND TRAVEL   </t>
  </si>
  <si>
    <t>10:02:00 AM</t>
  </si>
  <si>
    <t>339-12-4827</t>
  </si>
  <si>
    <t>Fashion accessories</t>
  </si>
  <si>
    <t>11:32:00 AM</t>
  </si>
  <si>
    <t>Credit card</t>
  </si>
  <si>
    <t>549-96-4200</t>
  </si>
  <si>
    <t>8:15:00 PM</t>
  </si>
  <si>
    <t>725-96-3778</t>
  </si>
  <si>
    <t xml:space="preserve">HOME AND LIFESTYLE   </t>
  </si>
  <si>
    <t>10:13:00 AM</t>
  </si>
  <si>
    <t>262-47-2794</t>
  </si>
  <si>
    <t>3:07:00 PM</t>
  </si>
  <si>
    <t>573-58-9734</t>
  </si>
  <si>
    <t>1:41:00 PM</t>
  </si>
  <si>
    <t>714-02-3114</t>
  </si>
  <si>
    <t>Sports and travel</t>
  </si>
  <si>
    <t>11:39:00 AM</t>
  </si>
  <si>
    <t>339-96-8318</t>
  </si>
  <si>
    <t>7:49:00 PM</t>
  </si>
  <si>
    <t>440-59-5691</t>
  </si>
  <si>
    <t>1:12:00 PM</t>
  </si>
  <si>
    <t>211-30-9270</t>
  </si>
  <si>
    <t>3:16:00 PM</t>
  </si>
  <si>
    <t>183-56-6882</t>
  </si>
  <si>
    <t>10:42:00 AM</t>
  </si>
  <si>
    <t>529-56-3974</t>
  </si>
  <si>
    <t>5:03:00 PM</t>
  </si>
  <si>
    <t>301-11-9629</t>
  </si>
  <si>
    <t>10:43:00 AM</t>
  </si>
  <si>
    <t>302-15-2162</t>
  </si>
  <si>
    <t>10:54:00 AM</t>
  </si>
  <si>
    <t>413-20-6708</t>
  </si>
  <si>
    <t>3:52:00 PM</t>
  </si>
  <si>
    <t>590-83-4591</t>
  </si>
  <si>
    <t>17-02-2019</t>
  </si>
  <si>
    <t>2:40:00 PM</t>
  </si>
  <si>
    <t>593-95-4461</t>
  </si>
  <si>
    <t>2:49:00 PM</t>
  </si>
  <si>
    <t>875-31-8302</t>
  </si>
  <si>
    <t>1:07:00 PM</t>
  </si>
  <si>
    <t>595-11-5460</t>
  </si>
  <si>
    <t>10:12:00 AM</t>
  </si>
  <si>
    <t>137-63-5492</t>
  </si>
  <si>
    <t>2:26:00 PM</t>
  </si>
  <si>
    <t>801-88-0346</t>
  </si>
  <si>
    <t>8:30:00 PM</t>
  </si>
  <si>
    <t>745-71-3520</t>
  </si>
  <si>
    <t>10:23:00 AM</t>
  </si>
  <si>
    <t>325-90-8763</t>
  </si>
  <si>
    <t>1:58:00 PM</t>
  </si>
  <si>
    <t>448-61-3783</t>
  </si>
  <si>
    <t>4:08:00 PM</t>
  </si>
  <si>
    <t>450-42-3339</t>
  </si>
  <si>
    <t xml:space="preserve">HEALTH AND BEAUTY   </t>
  </si>
  <si>
    <t>6:58:00 PM</t>
  </si>
  <si>
    <t>394-30-3170</t>
  </si>
  <si>
    <t>7:35:00 PM</t>
  </si>
  <si>
    <t>379-17-6588</t>
  </si>
  <si>
    <t>11:07:00 AM</t>
  </si>
  <si>
    <t>828-61-5674</t>
  </si>
  <si>
    <t>7:57:00 PM</t>
  </si>
  <si>
    <t>359-94-5395</t>
  </si>
  <si>
    <t>10:50:00 AM</t>
  </si>
  <si>
    <t>744-02-5987</t>
  </si>
  <si>
    <t>542-41-0513</t>
  </si>
  <si>
    <t>11:57:00 AM</t>
  </si>
  <si>
    <t>160-22-2687</t>
  </si>
  <si>
    <t>2:21:00 PM</t>
  </si>
  <si>
    <t>433-75-6987</t>
  </si>
  <si>
    <t>7:06:00 PM</t>
  </si>
  <si>
    <t>257-73-1380</t>
  </si>
  <si>
    <t>4:51:00 PM</t>
  </si>
  <si>
    <t>123-19-1176</t>
  </si>
  <si>
    <t>8:33:00 PM</t>
  </si>
  <si>
    <t>834-25-9262</t>
  </si>
  <si>
    <t>373-88-1424</t>
  </si>
  <si>
    <t>6:44:00 PM</t>
  </si>
  <si>
    <t>320-85-2052</t>
  </si>
  <si>
    <t>10:11:00 AM</t>
  </si>
  <si>
    <t>187-83-5490</t>
  </si>
  <si>
    <t>1:47:00 PM</t>
  </si>
  <si>
    <t>538-22-0304</t>
  </si>
  <si>
    <t>6:27:00 PM</t>
  </si>
  <si>
    <t>234-65-2137</t>
  </si>
  <si>
    <t>1:32:00 PM</t>
  </si>
  <si>
    <t>459-50-7686</t>
  </si>
  <si>
    <t>7:14:00 PM</t>
  </si>
  <si>
    <t>523-38-0215</t>
  </si>
  <si>
    <t>1:29:00 PM</t>
  </si>
  <si>
    <t>263-87-5680</t>
  </si>
  <si>
    <t>18-03-2019</t>
  </si>
  <si>
    <t>5:38:00 PM</t>
  </si>
  <si>
    <t>702-72-0487</t>
  </si>
  <si>
    <t xml:space="preserve">ELECTRONIC ACCESSORIES   </t>
  </si>
  <si>
    <t>12:28:00 PM</t>
  </si>
  <si>
    <t>514-37-2845</t>
  </si>
  <si>
    <t>1:02:00 PM</t>
  </si>
  <si>
    <t>346-12-3257</t>
  </si>
  <si>
    <t>4:28:00 PM</t>
  </si>
  <si>
    <t>810-60-6344</t>
  </si>
  <si>
    <t>2:38:00 PM</t>
  </si>
  <si>
    <t>325-89-4209</t>
  </si>
  <si>
    <t>7:42:00 PM</t>
  </si>
  <si>
    <t>610-46-4100</t>
  </si>
  <si>
    <t>8:31:00 PM</t>
  </si>
  <si>
    <t>285-68-5083</t>
  </si>
  <si>
    <t>5:47:00 PM</t>
  </si>
  <si>
    <t>667-92-0055</t>
  </si>
  <si>
    <t>3:02:00 PM</t>
  </si>
  <si>
    <t>268-20-3585</t>
  </si>
  <si>
    <t>12:50:00 PM</t>
  </si>
  <si>
    <t>848-42-2560</t>
  </si>
  <si>
    <t>5:43:00 PM</t>
  </si>
  <si>
    <t>613-59-9758</t>
  </si>
  <si>
    <t>27-01-2019</t>
  </si>
  <si>
    <t>2:28:00 PM</t>
  </si>
  <si>
    <t>516-77-6464</t>
  </si>
  <si>
    <t>1:08:00 PM</t>
  </si>
  <si>
    <t>502-05-1910</t>
  </si>
  <si>
    <t>8:35:00 PM</t>
  </si>
  <si>
    <t>719-76-3868</t>
  </si>
  <si>
    <t>4:30:00 PM</t>
  </si>
  <si>
    <t>389-70-2397</t>
  </si>
  <si>
    <t>10:26:00 AM</t>
  </si>
  <si>
    <t>636-48-8204</t>
  </si>
  <si>
    <t>11:15:00 AM</t>
  </si>
  <si>
    <t>201-86-2184</t>
  </si>
  <si>
    <t>7:40:00 PM</t>
  </si>
  <si>
    <t>695-28-6250</t>
  </si>
  <si>
    <t>4:38:00 PM</t>
  </si>
  <si>
    <t>866-05-7563</t>
  </si>
  <si>
    <t>7:43:00 PM</t>
  </si>
  <si>
    <t>372-94-8041</t>
  </si>
  <si>
    <t>6:03:00 PM</t>
  </si>
  <si>
    <t>559-61-5987</t>
  </si>
  <si>
    <t>10:38:00 AM</t>
  </si>
  <si>
    <t>641-43-2399</t>
  </si>
  <si>
    <t>8:23:00 PM</t>
  </si>
  <si>
    <t>541-08-3113</t>
  </si>
  <si>
    <t>8:29:00 PM</t>
  </si>
  <si>
    <t>510-95-6347</t>
  </si>
  <si>
    <t>6:17:00 PM</t>
  </si>
  <si>
    <t>189-52-0236</t>
  </si>
  <si>
    <t>12:07:00 PM</t>
  </si>
  <si>
    <t>676-10-2200</t>
  </si>
  <si>
    <t>8:13:00 PM</t>
  </si>
  <si>
    <t>634-97-8956</t>
  </si>
  <si>
    <t>5:27:00 PM</t>
  </si>
  <si>
    <t>815-04-6282</t>
  </si>
  <si>
    <t>12:52:00 PM</t>
  </si>
  <si>
    <t>895-03-6665</t>
  </si>
  <si>
    <t>10:52:00 AM</t>
  </si>
  <si>
    <t>200-40-6154</t>
  </si>
  <si>
    <t>11:45:00 AM</t>
  </si>
  <si>
    <t>862-29-5914</t>
  </si>
  <si>
    <t>5:08:00 PM</t>
  </si>
  <si>
    <t>139-32-4183</t>
  </si>
  <si>
    <t>2:19:00 PM</t>
  </si>
  <si>
    <t>361-59-0574</t>
  </si>
  <si>
    <t>2:48:00 PM</t>
  </si>
  <si>
    <t>690-01-6631</t>
  </si>
  <si>
    <t>6:35:00 PM</t>
  </si>
  <si>
    <t>437-53-3084</t>
  </si>
  <si>
    <t>11:48:00 AM</t>
  </si>
  <si>
    <t>145-94-9061</t>
  </si>
  <si>
    <t>7:48:00 PM</t>
  </si>
  <si>
    <t>277-63-2961</t>
  </si>
  <si>
    <t>3:53:00 PM</t>
  </si>
  <si>
    <t>845-94-6841</t>
  </si>
  <si>
    <t>7:38:00 PM</t>
  </si>
  <si>
    <t>628-34-3388</t>
  </si>
  <si>
    <t>8:54:00 PM</t>
  </si>
  <si>
    <t>832-51-6761</t>
  </si>
  <si>
    <t>571-94-0759</t>
  </si>
  <si>
    <t>8:55:00 PM</t>
  </si>
  <si>
    <t>136-08-6195</t>
  </si>
  <si>
    <t>5:01:00 PM</t>
  </si>
  <si>
    <t>730-50-9884</t>
  </si>
  <si>
    <t>05-03-2019</t>
  </si>
  <si>
    <t>2:31:00 PM</t>
  </si>
  <si>
    <t>356-44-8813</t>
  </si>
  <si>
    <t>1:45:00 PM</t>
  </si>
  <si>
    <t>137-74-8729</t>
  </si>
  <si>
    <t>12:47:00 PM</t>
  </si>
  <si>
    <t>732-67-5346</t>
  </si>
  <si>
    <t>7:07:00 PM</t>
  </si>
  <si>
    <t>563-36-9814</t>
  </si>
  <si>
    <t>365-64-0515</t>
  </si>
  <si>
    <t>10:25:00 AM</t>
  </si>
  <si>
    <t>442-44-6497</t>
  </si>
  <si>
    <t>11:42:00 AM</t>
  </si>
  <si>
    <t>789-23-8625</t>
  </si>
  <si>
    <t xml:space="preserve">FASHION ACCESSORIES   </t>
  </si>
  <si>
    <t>566-19-5475</t>
  </si>
  <si>
    <t>8:52:00 PM</t>
  </si>
  <si>
    <t>410-67-1709</t>
  </si>
  <si>
    <t>5:48:00 PM</t>
  </si>
  <si>
    <t>531-56-4728</t>
  </si>
  <si>
    <t>3:29:00 PM</t>
  </si>
  <si>
    <t>525-09-8450</t>
  </si>
  <si>
    <t>3:12:00 PM</t>
  </si>
  <si>
    <t>277-35-5865</t>
  </si>
  <si>
    <t>11:23:00 AM</t>
  </si>
  <si>
    <t>659-36-1684</t>
  </si>
  <si>
    <t>12:02:00 PM</t>
  </si>
  <si>
    <t>181-82-6255</t>
  </si>
  <si>
    <t>10:58:00 AM</t>
  </si>
  <si>
    <t>149-61-1929</t>
  </si>
  <si>
    <t>2:08:00 PM</t>
  </si>
  <si>
    <t>552-44-5977</t>
  </si>
  <si>
    <t>7:08:00 PM</t>
  </si>
  <si>
    <t>453-63-6187</t>
  </si>
  <si>
    <t>3:40:00 PM</t>
  </si>
  <si>
    <t>220-68-6701</t>
  </si>
  <si>
    <t>4:36:00 PM</t>
  </si>
  <si>
    <t>719-89-8991</t>
  </si>
  <si>
    <t>25-02-2019</t>
  </si>
  <si>
    <t>4:03:00 PM</t>
  </si>
  <si>
    <t>778-34-2523</t>
  </si>
  <si>
    <t>10:57:00 AM</t>
  </si>
  <si>
    <t>845-51-0542</t>
  </si>
  <si>
    <t>3:34:00 PM</t>
  </si>
  <si>
    <t>370-96-0655</t>
  </si>
  <si>
    <t>1:46:00 PM</t>
  </si>
  <si>
    <t>698-98-5964</t>
  </si>
  <si>
    <t>1:01:00 PM</t>
  </si>
  <si>
    <t>311-13-6971</t>
  </si>
  <si>
    <t>3:18:00 PM</t>
  </si>
  <si>
    <t>632-90-0281</t>
  </si>
  <si>
    <t>8:01:00 PM</t>
  </si>
  <si>
    <t>286-62-6248</t>
  </si>
  <si>
    <t>8:03:00 PM</t>
  </si>
  <si>
    <t>118-62-1812</t>
  </si>
  <si>
    <t>5:56:00 PM</t>
  </si>
  <si>
    <t>430-53-4718</t>
  </si>
  <si>
    <t>3:46:00 PM</t>
  </si>
  <si>
    <t>651-96-5970</t>
  </si>
  <si>
    <t>8:06:00 PM</t>
  </si>
  <si>
    <t>816-72-8853</t>
  </si>
  <si>
    <t>3:48:00 PM</t>
  </si>
  <si>
    <t>234-36-2483</t>
  </si>
  <si>
    <t>1:51:00 PM</t>
  </si>
  <si>
    <t>333-23-2632</t>
  </si>
  <si>
    <t>8:14:00 PM</t>
  </si>
  <si>
    <t>484-22-8230</t>
  </si>
  <si>
    <t>8:08:00 PM</t>
  </si>
  <si>
    <t>605-72-4132</t>
  </si>
  <si>
    <t>232-16-2483</t>
  </si>
  <si>
    <t>699-01-4164</t>
  </si>
  <si>
    <t>7:58:00 PM</t>
  </si>
  <si>
    <t>744-09-5786</t>
  </si>
  <si>
    <t>6:50:00 PM</t>
  </si>
  <si>
    <t>802-70-5316</t>
  </si>
  <si>
    <t>8:34:00 PM</t>
  </si>
  <si>
    <t>305-03-2383</t>
  </si>
  <si>
    <t>10:36:00 AM</t>
  </si>
  <si>
    <t>428-83-5800</t>
  </si>
  <si>
    <t>400-45-1220</t>
  </si>
  <si>
    <t>11:06:00 AM</t>
  </si>
  <si>
    <t>860-73-6466</t>
  </si>
  <si>
    <t>4:16:00 PM</t>
  </si>
  <si>
    <t>120-06-4233</t>
  </si>
  <si>
    <t>8:36:00 PM</t>
  </si>
  <si>
    <t>556-86-3144</t>
  </si>
  <si>
    <t>13-01-2019</t>
  </si>
  <si>
    <t>7:30:00 PM</t>
  </si>
  <si>
    <t>198-84-7132</t>
  </si>
  <si>
    <t>1:40:00 PM</t>
  </si>
  <si>
    <t>390-80-5128</t>
  </si>
  <si>
    <t>5:58:00 PM</t>
  </si>
  <si>
    <t>602-80-9671</t>
  </si>
  <si>
    <t>5:15:00 PM</t>
  </si>
  <si>
    <t>189-55-2313</t>
  </si>
  <si>
    <t>10:33:00 AM</t>
  </si>
  <si>
    <t>548-48-3156</t>
  </si>
  <si>
    <t>1:37:00 PM</t>
  </si>
  <si>
    <t>727-17-0390</t>
  </si>
  <si>
    <t xml:space="preserve">FOOD AND BEVERAGES   </t>
  </si>
  <si>
    <t>12:43:00 PM</t>
  </si>
  <si>
    <t>142-63-6033</t>
  </si>
  <si>
    <t>7:17:00 PM</t>
  </si>
  <si>
    <t>175-54-2529</t>
  </si>
  <si>
    <t>710-46-4433</t>
  </si>
  <si>
    <t>2:15:00 PM</t>
  </si>
  <si>
    <t>636-17-0325</t>
  </si>
  <si>
    <t>6:37:00 PM</t>
  </si>
  <si>
    <t>871-39-9221</t>
  </si>
  <si>
    <t>1:11:00 PM</t>
  </si>
  <si>
    <t>460-35-4390</t>
  </si>
  <si>
    <t>11:00:00 AM</t>
  </si>
  <si>
    <t>133-77-3154</t>
  </si>
  <si>
    <t>6:04:00 PM</t>
  </si>
  <si>
    <t>620-02-2046</t>
  </si>
  <si>
    <t>236-27-1144</t>
  </si>
  <si>
    <t>10:31:00 AM</t>
  </si>
  <si>
    <t>857-67-9057</t>
  </si>
  <si>
    <t>7:20:00 PM</t>
  </si>
  <si>
    <t>423-57-2993</t>
  </si>
  <si>
    <t>7:18:00 PM</t>
  </si>
  <si>
    <t>898-04-2717</t>
  </si>
  <si>
    <t>3:49:00 PM</t>
  </si>
  <si>
    <t>744-16-7898</t>
  </si>
  <si>
    <t>1:48:00 PM</t>
  </si>
  <si>
    <t>376-02-8238</t>
  </si>
  <si>
    <t>6:42:00 PM</t>
  </si>
  <si>
    <t>308-39-1707</t>
  </si>
  <si>
    <t>26-01-2019</t>
  </si>
  <si>
    <t>6:19:00 PM</t>
  </si>
  <si>
    <t>767-05-1286</t>
  </si>
  <si>
    <t>12:10:00 PM</t>
  </si>
  <si>
    <t>501-61-1753</t>
  </si>
  <si>
    <t>8:24:00 PM</t>
  </si>
  <si>
    <t>241-11-2261</t>
  </si>
  <si>
    <t>340-66-0321</t>
  </si>
  <si>
    <t>152-68-2907</t>
  </si>
  <si>
    <t>1:30:00 PM</t>
  </si>
  <si>
    <t>716-39-1409</t>
  </si>
  <si>
    <t>289-65-5721</t>
  </si>
  <si>
    <t>7:28:00 PM</t>
  </si>
  <si>
    <t>430-02-3888</t>
  </si>
  <si>
    <t>3:55:00 PM</t>
  </si>
  <si>
    <t>870-54-3162</t>
  </si>
  <si>
    <t>1:26:00 PM</t>
  </si>
  <si>
    <t>875-46-5808</t>
  </si>
  <si>
    <t>2:51:00 PM</t>
  </si>
  <si>
    <t>778-89-7974</t>
  </si>
  <si>
    <t>2:58:00 PM</t>
  </si>
  <si>
    <t>115-99-4379</t>
  </si>
  <si>
    <t>7:02:00 PM</t>
  </si>
  <si>
    <t>635-40-6220</t>
  </si>
  <si>
    <t>11:28:00 AM</t>
  </si>
  <si>
    <t>647-50-1224</t>
  </si>
  <si>
    <t>4:23:00 PM</t>
  </si>
  <si>
    <t>764-44-8999</t>
  </si>
  <si>
    <t>2:42:00 PM</t>
  </si>
  <si>
    <t>157-13-5295</t>
  </si>
  <si>
    <t>6:24:00 PM</t>
  </si>
  <si>
    <t>320-49-6392</t>
  </si>
  <si>
    <t>04-03-2019</t>
  </si>
  <si>
    <t>3:44:00 PM</t>
  </si>
  <si>
    <t>534-53-3526</t>
  </si>
  <si>
    <t>4:06:00 PM</t>
  </si>
  <si>
    <t>702-83-5291</t>
  </si>
  <si>
    <t>27-03-2019</t>
  </si>
  <si>
    <t>446-47-6729</t>
  </si>
  <si>
    <t>6:09:00 PM</t>
  </si>
  <si>
    <t>278-86-2735</t>
  </si>
  <si>
    <t>2:03:00 PM</t>
  </si>
  <si>
    <t>457-12-0244</t>
  </si>
  <si>
    <t>1:49:00 PM</t>
  </si>
  <si>
    <t>779-06-0012</t>
  </si>
  <si>
    <t>10:21:00 AM</t>
  </si>
  <si>
    <t>749-81-8133</t>
  </si>
  <si>
    <t>12:04:00 PM</t>
  </si>
  <si>
    <t>670-79-6321</t>
  </si>
  <si>
    <t>3:27:00 PM</t>
  </si>
  <si>
    <t>658-66-3967</t>
  </si>
  <si>
    <t>3:42:00 PM</t>
  </si>
  <si>
    <t>470-32-9057</t>
  </si>
  <si>
    <t>3:31:00 PM</t>
  </si>
  <si>
    <t>269-10-8440</t>
  </si>
  <si>
    <t>6:01:00 PM</t>
  </si>
  <si>
    <t>241-72-9525</t>
  </si>
  <si>
    <t>12:21:00 PM</t>
  </si>
  <si>
    <t>151-16-1484</t>
  </si>
  <si>
    <t>12:38:00 PM</t>
  </si>
  <si>
    <t>314-23-4520</t>
  </si>
  <si>
    <t>8:44:00 PM</t>
  </si>
  <si>
    <t>746-04-1077</t>
  </si>
  <si>
    <t>11:36:00 AM</t>
  </si>
  <si>
    <t>421-95-9805</t>
  </si>
  <si>
    <t>10:18:00 AM</t>
  </si>
  <si>
    <t>322-02-2271</t>
  </si>
  <si>
    <t>11:46:00 AM</t>
  </si>
  <si>
    <t>250-81-7186</t>
  </si>
  <si>
    <t>192-98-7397</t>
  </si>
  <si>
    <t>2:11:00 PM</t>
  </si>
  <si>
    <t>786-94-2700</t>
  </si>
  <si>
    <t>8:18:00 PM</t>
  </si>
  <si>
    <t>443-59-0061</t>
  </si>
  <si>
    <t>11:25:00 AM</t>
  </si>
  <si>
    <t>886-18-2897</t>
  </si>
  <si>
    <t>751-15-6198</t>
  </si>
  <si>
    <t>4:45:00 PM</t>
  </si>
  <si>
    <t>301-81-8610</t>
  </si>
  <si>
    <t>545-07-8534</t>
  </si>
  <si>
    <t>12:42:00 PM</t>
  </si>
  <si>
    <t>659-65-8956</t>
  </si>
  <si>
    <t>3:26:00 PM</t>
  </si>
  <si>
    <t>662-72-2873</t>
  </si>
  <si>
    <t>431-66-2305</t>
  </si>
  <si>
    <t>8:51:00 PM</t>
  </si>
  <si>
    <t>29-01-2019</t>
  </si>
  <si>
    <t>726-29-6793</t>
  </si>
  <si>
    <t>154-87-7367</t>
  </si>
  <si>
    <t>2:04:00 PM</t>
  </si>
  <si>
    <t>541-89-9860</t>
  </si>
  <si>
    <t>12:31:00 PM</t>
  </si>
  <si>
    <t>124-31-1458</t>
  </si>
  <si>
    <t>2:30:00 PM</t>
  </si>
  <si>
    <t>627-95-3243</t>
  </si>
  <si>
    <t>1:21:00 PM</t>
  </si>
  <si>
    <t>505-02-0892</t>
  </si>
  <si>
    <t>2:12:00 PM</t>
  </si>
  <si>
    <t>280-35-5823</t>
  </si>
  <si>
    <t>6:45:00 PM</t>
  </si>
  <si>
    <t>211-05-0490</t>
  </si>
  <si>
    <t>1:42:00 PM</t>
  </si>
  <si>
    <t>316-66-3011</t>
  </si>
  <si>
    <t>12:35:00 PM</t>
  </si>
  <si>
    <t>399-69-4630</t>
  </si>
  <si>
    <t>859-71-0933</t>
  </si>
  <si>
    <t>3:10:00 PM</t>
  </si>
  <si>
    <t>604-70-6476</t>
  </si>
  <si>
    <t>655-07-2265</t>
  </si>
  <si>
    <t>700-81-1757</t>
  </si>
  <si>
    <t>18-01-2019</t>
  </si>
  <si>
    <t>8:59:00 PM</t>
  </si>
  <si>
    <t>420-11-4919</t>
  </si>
  <si>
    <t>848-24-9445</t>
  </si>
  <si>
    <t>364-34-2972</t>
  </si>
  <si>
    <t>8:37:00 PM</t>
  </si>
  <si>
    <t>796-12-2025</t>
  </si>
  <si>
    <t>4:19:00 PM</t>
  </si>
  <si>
    <t>101-17-6199</t>
  </si>
  <si>
    <t>7:44:00 PM</t>
  </si>
  <si>
    <t>214-17-6927</t>
  </si>
  <si>
    <t>6:23:00 PM</t>
  </si>
  <si>
    <t>641-62-7288</t>
  </si>
  <si>
    <t>1:33:00 PM</t>
  </si>
  <si>
    <t>291-55-6563</t>
  </si>
  <si>
    <t>12:45:00 PM</t>
  </si>
  <si>
    <t>866-99-7614</t>
  </si>
  <si>
    <t>210-57-1719</t>
  </si>
  <si>
    <t>05-02-2019</t>
  </si>
  <si>
    <t>12:34:00 PM</t>
  </si>
  <si>
    <t>468-99-7231</t>
  </si>
  <si>
    <t>5:36:00 PM</t>
  </si>
  <si>
    <t>466-61-5506</t>
  </si>
  <si>
    <t>607-65-2441</t>
  </si>
  <si>
    <t>12:39:00 PM</t>
  </si>
  <si>
    <t>272-65-1806</t>
  </si>
  <si>
    <t>5:17:00 PM</t>
  </si>
  <si>
    <t>120-54-2248</t>
  </si>
  <si>
    <t>6:08:00 PM</t>
  </si>
  <si>
    <t>196-01-2849</t>
  </si>
  <si>
    <t>1:56:00 PM</t>
  </si>
  <si>
    <t>584-86-7256</t>
  </si>
  <si>
    <t>4:07:00 PM</t>
  </si>
  <si>
    <t>608-05-3804</t>
  </si>
  <si>
    <t>8:19:00 PM</t>
  </si>
  <si>
    <t>360-39-5055</t>
  </si>
  <si>
    <t>10:17:00 AM</t>
  </si>
  <si>
    <t>715-20-1673</t>
  </si>
  <si>
    <t>8:57:00 PM</t>
  </si>
  <si>
    <t>563-47-4072</t>
  </si>
  <si>
    <t>11:52:00 AM</t>
  </si>
  <si>
    <t>182-88-2763</t>
  </si>
  <si>
    <t>612-36-5536</t>
  </si>
  <si>
    <t>11:12:00 AM</t>
  </si>
  <si>
    <t>336-78-2147</t>
  </si>
  <si>
    <t>7:52:00 PM</t>
  </si>
  <si>
    <t>731-14-2199</t>
  </si>
  <si>
    <t>1:34:00 PM</t>
  </si>
  <si>
    <t>870-76-1733</t>
  </si>
  <si>
    <t>10:08:00 AM</t>
  </si>
  <si>
    <t>122-61-9553</t>
  </si>
  <si>
    <t>7:33:00 PM</t>
  </si>
  <si>
    <t>588-01-7461</t>
  </si>
  <si>
    <t>24-03-2019</t>
  </si>
  <si>
    <t>856-66-2701</t>
  </si>
  <si>
    <t>837-55-7229</t>
  </si>
  <si>
    <t>558-60-5016</t>
  </si>
  <si>
    <t>242-11-3142</t>
  </si>
  <si>
    <t>756-49-0168</t>
  </si>
  <si>
    <t>648-83-1321</t>
  </si>
  <si>
    <t>5:59:00 PM</t>
  </si>
  <si>
    <t>266-76-6436</t>
  </si>
  <si>
    <t>1:57:00 PM</t>
  </si>
  <si>
    <t>388-76-2555</t>
  </si>
  <si>
    <t>1:59:00 PM</t>
  </si>
  <si>
    <t>607-76-6216</t>
  </si>
  <si>
    <t>4:35:00 PM</t>
  </si>
  <si>
    <t>130-67-4723</t>
  </si>
  <si>
    <t>380-60-5336</t>
  </si>
  <si>
    <t>6:06:00 PM</t>
  </si>
  <si>
    <t>303-96-2227</t>
  </si>
  <si>
    <t>5:16:00 PM</t>
  </si>
  <si>
    <t>880-35-0356</t>
  </si>
  <si>
    <t>11:51:00 AM</t>
  </si>
  <si>
    <t>585-90-0249</t>
  </si>
  <si>
    <t>394-41-0748</t>
  </si>
  <si>
    <t>2:55:00 PM</t>
  </si>
  <si>
    <t>150-89-8043</t>
  </si>
  <si>
    <t>3:04:00 PM</t>
  </si>
  <si>
    <t>407-63-8975</t>
  </si>
  <si>
    <t>7:16:00 PM</t>
  </si>
  <si>
    <t>816-57-2053</t>
  </si>
  <si>
    <t>12:37:00 PM</t>
  </si>
  <si>
    <t>334-64-2006</t>
  </si>
  <si>
    <t>2:22:00 PM</t>
  </si>
  <si>
    <t>794-42-3736</t>
  </si>
  <si>
    <t>2:41:00 PM</t>
  </si>
  <si>
    <t>416-13-5917</t>
  </si>
  <si>
    <t>4:24:00 PM</t>
  </si>
  <si>
    <t>759-29-9521</t>
  </si>
  <si>
    <t>11:27:00 AM</t>
  </si>
  <si>
    <t>575-30-8091</t>
  </si>
  <si>
    <t>7:25:00 PM</t>
  </si>
  <si>
    <t>737-88-5876</t>
  </si>
  <si>
    <t>176-78-1170</t>
  </si>
  <si>
    <t>3:11:00 PM</t>
  </si>
  <si>
    <t>636-98-3364</t>
  </si>
  <si>
    <t>12:36:00 PM</t>
  </si>
  <si>
    <t>315-22-5665</t>
  </si>
  <si>
    <t>11:38:00 AM</t>
  </si>
  <si>
    <t>605-03-2706</t>
  </si>
  <si>
    <t>6:02:00 PM</t>
  </si>
  <si>
    <t>852-62-7105</t>
  </si>
  <si>
    <t>271-77-8740</t>
  </si>
  <si>
    <t>11:40:00 AM</t>
  </si>
  <si>
    <t>750-57-9686</t>
  </si>
  <si>
    <t>438-01-4015</t>
  </si>
  <si>
    <t>3:25:00 PM</t>
  </si>
  <si>
    <t>556-72-8512</t>
  </si>
  <si>
    <t>8:47:00 PM</t>
  </si>
  <si>
    <t>679-22-6530</t>
  </si>
  <si>
    <t>17-01-2019</t>
  </si>
  <si>
    <t>10:01:00 AM</t>
  </si>
  <si>
    <t>195-06-0432</t>
  </si>
  <si>
    <t>12:55:00 PM</t>
  </si>
  <si>
    <t>503-21-4385</t>
  </si>
  <si>
    <t>12:40:00 PM</t>
  </si>
  <si>
    <t>134-75-2619</t>
  </si>
  <si>
    <t>6:51:00 PM</t>
  </si>
  <si>
    <t>218-59-9410</t>
  </si>
  <si>
    <t>4:54:00 PM</t>
  </si>
  <si>
    <t>342-65-4817</t>
  </si>
  <si>
    <t>4:47:00 PM</t>
  </si>
  <si>
    <t>288-62-1085</t>
  </si>
  <si>
    <t>354-25-5821</t>
  </si>
  <si>
    <t>1:03:00 PM</t>
  </si>
  <si>
    <t>283-79-9594</t>
  </si>
  <si>
    <t>233-67-5758</t>
  </si>
  <si>
    <t>787-15-1757</t>
  </si>
  <si>
    <t>213-32-1216</t>
  </si>
  <si>
    <t>10:28:00 AM</t>
  </si>
  <si>
    <t>443-60-9639</t>
  </si>
  <si>
    <t>1:24:00 PM</t>
  </si>
  <si>
    <t>598-47-9715</t>
  </si>
  <si>
    <t>483-71-1164</t>
  </si>
  <si>
    <t>4:43:00 PM</t>
  </si>
  <si>
    <t>616-24-2851</t>
  </si>
  <si>
    <t>380-94-4661</t>
  </si>
  <si>
    <t>07-02-2019</t>
  </si>
  <si>
    <t>1:05:00 PM</t>
  </si>
  <si>
    <t>889-04-9723</t>
  </si>
  <si>
    <t>07-01-2019</t>
  </si>
  <si>
    <t>12:20:00 PM</t>
  </si>
  <si>
    <t>406-46-7107</t>
  </si>
  <si>
    <t>284-54-4231</t>
  </si>
  <si>
    <t>701-69-8742</t>
  </si>
  <si>
    <t>549-84-7482</t>
  </si>
  <si>
    <t>674-15-9296</t>
  </si>
  <si>
    <t>656-16-1063</t>
  </si>
  <si>
    <t>573-98-8548</t>
  </si>
  <si>
    <t>522-57-8364</t>
  </si>
  <si>
    <t>544-55-9589</t>
  </si>
  <si>
    <t>198-66-9832</t>
  </si>
  <si>
    <t>608-04-3797</t>
  </si>
  <si>
    <t>355-34-6244</t>
  </si>
  <si>
    <t>7:55:00 PM</t>
  </si>
  <si>
    <t>574-31-8277</t>
  </si>
  <si>
    <t>451-28-5717</t>
  </si>
  <si>
    <t>701-23-5550</t>
  </si>
  <si>
    <t>695-51-0018</t>
  </si>
  <si>
    <t>6:36:00 PM</t>
  </si>
  <si>
    <t>324-92-3863</t>
  </si>
  <si>
    <t>219-61-4139</t>
  </si>
  <si>
    <t>689-05-1884</t>
  </si>
  <si>
    <t>12:44:00 PM</t>
  </si>
  <si>
    <t>838-78-4295</t>
  </si>
  <si>
    <t>3:43:00 PM</t>
  </si>
  <si>
    <t>238-49-0436</t>
  </si>
  <si>
    <t>182-69-8360</t>
  </si>
  <si>
    <t>490-95-0021</t>
  </si>
  <si>
    <t>2:25:00 PM</t>
  </si>
  <si>
    <t>190-59-3964</t>
  </si>
  <si>
    <t>2:35:00 PM</t>
  </si>
  <si>
    <t>488-25-4221</t>
  </si>
  <si>
    <t>735-32-9839</t>
  </si>
  <si>
    <t>373-09-4567</t>
  </si>
  <si>
    <t>821-07-3596</t>
  </si>
  <si>
    <t>2:53:00 PM</t>
  </si>
  <si>
    <t>155-45-3814</t>
  </si>
  <si>
    <t>586-25-0848</t>
  </si>
  <si>
    <t>11:19:00 AM</t>
  </si>
  <si>
    <t>173-57-2300</t>
  </si>
  <si>
    <t>12:51:00 PM</t>
  </si>
  <si>
    <t>263-12-5321</t>
  </si>
  <si>
    <t>423-80-0988</t>
  </si>
  <si>
    <t>125-45-2293</t>
  </si>
  <si>
    <t>132-32-9879</t>
  </si>
  <si>
    <t>6:00:00 PM</t>
  </si>
  <si>
    <t>102-77-2261</t>
  </si>
  <si>
    <t>835-16-0096</t>
  </si>
  <si>
    <t>638-60-7125</t>
  </si>
  <si>
    <t>650-98-6268</t>
  </si>
  <si>
    <t>1:53:00 PM</t>
  </si>
  <si>
    <t>318-68-5053</t>
  </si>
  <si>
    <t>5:55:00 PM</t>
  </si>
  <si>
    <t>852-82-2749</t>
  </si>
  <si>
    <t>1:35:00 PM</t>
  </si>
  <si>
    <t>390-31-6381</t>
  </si>
  <si>
    <t>630-74-5166</t>
  </si>
  <si>
    <t>279-74-2924</t>
  </si>
  <si>
    <t>788-21-5741</t>
  </si>
  <si>
    <t>726-27-2396</t>
  </si>
  <si>
    <t>808-65-0703</t>
  </si>
  <si>
    <t>5:22:00 PM</t>
  </si>
  <si>
    <t>146-09-5432</t>
  </si>
  <si>
    <t>288-38-3758</t>
  </si>
  <si>
    <t>6:30:00 PM</t>
  </si>
  <si>
    <t>359-90-3665</t>
  </si>
  <si>
    <t>785-13-7708</t>
  </si>
  <si>
    <t>562-12-5430</t>
  </si>
  <si>
    <t>197-77-7132</t>
  </si>
  <si>
    <t>6:22:00 PM</t>
  </si>
  <si>
    <t>445-30-9252</t>
  </si>
  <si>
    <t>727-75-6477</t>
  </si>
  <si>
    <t>2:44:00 PM</t>
  </si>
  <si>
    <t>731-81-9469</t>
  </si>
  <si>
    <t>1:00:00 PM</t>
  </si>
  <si>
    <t>307-04-2070</t>
  </si>
  <si>
    <t>2:14:00 PM</t>
  </si>
  <si>
    <t>745-74-0715</t>
  </si>
  <si>
    <t>8:46:00 PM</t>
  </si>
  <si>
    <t>397-25-8725</t>
  </si>
  <si>
    <t>5:54:00 PM</t>
  </si>
  <si>
    <t>233-34-0817</t>
  </si>
  <si>
    <t>11:21:00 AM</t>
  </si>
  <si>
    <t>587-03-7455</t>
  </si>
  <si>
    <t>5:30:00 PM</t>
  </si>
  <si>
    <t>608-96-3517</t>
  </si>
  <si>
    <t>534-01-4457</t>
  </si>
  <si>
    <t>2:36:00 PM</t>
  </si>
  <si>
    <t>733-01-9107</t>
  </si>
  <si>
    <t>6:14:00 PM</t>
  </si>
  <si>
    <t>735-06-4124</t>
  </si>
  <si>
    <t>709-58-4068</t>
  </si>
  <si>
    <t>268-27-6179</t>
  </si>
  <si>
    <t>2:57:00 PM</t>
  </si>
  <si>
    <t>509-29-3912</t>
  </si>
  <si>
    <t>12:24:00 PM</t>
  </si>
  <si>
    <t>531-80-1784</t>
  </si>
  <si>
    <t>280-17-4359</t>
  </si>
  <si>
    <t>841-18-8232</t>
  </si>
  <si>
    <t>8:40:00 PM</t>
  </si>
  <si>
    <t>371-85-5789</t>
  </si>
  <si>
    <t>10:40:00 AM</t>
  </si>
  <si>
    <t>400-80-4065</t>
  </si>
  <si>
    <t>8:21:00 PM</t>
  </si>
  <si>
    <t>788-07-8452</t>
  </si>
  <si>
    <t>374-38-5555</t>
  </si>
  <si>
    <t>574-22-5561</t>
  </si>
  <si>
    <t>19-03-2019</t>
  </si>
  <si>
    <t>149-15-7606</t>
  </si>
  <si>
    <t>857-16-3520</t>
  </si>
  <si>
    <t>471-06-8611</t>
  </si>
  <si>
    <t>10:22:00 AM</t>
  </si>
  <si>
    <t>641-96-3695</t>
  </si>
  <si>
    <t>326-78-5178</t>
  </si>
  <si>
    <t>10:19:00 AM</t>
  </si>
  <si>
    <t>563-91-7120</t>
  </si>
  <si>
    <t>414-12-7047</t>
  </si>
  <si>
    <t>815-11-1168</t>
  </si>
  <si>
    <t>7:09:00 PM</t>
  </si>
  <si>
    <t>503-07-0930</t>
  </si>
  <si>
    <t>243-55-8457</t>
  </si>
  <si>
    <t>800-09-8606</t>
  </si>
  <si>
    <t>7:45:00 PM</t>
  </si>
  <si>
    <t>283-26-5248</t>
  </si>
  <si>
    <t>605-83-1050</t>
  </si>
  <si>
    <t>4:26:00 PM</t>
  </si>
  <si>
    <t>649-29-6775</t>
  </si>
  <si>
    <t>373-14-0504</t>
  </si>
  <si>
    <t>2:33:00 PM</t>
  </si>
  <si>
    <t>290-68-2984</t>
  </si>
  <si>
    <t>11:22:00 AM</t>
  </si>
  <si>
    <t>291-59-1384</t>
  </si>
  <si>
    <t>477-59-2456</t>
  </si>
  <si>
    <t>797-88-0493</t>
  </si>
  <si>
    <t>1:54:00 PM</t>
  </si>
  <si>
    <t>525-88-7307</t>
  </si>
  <si>
    <t>1:19:00 PM</t>
  </si>
  <si>
    <t>881-41-7302</t>
  </si>
  <si>
    <t>10:06:00 AM</t>
  </si>
  <si>
    <t>616-87-0016</t>
  </si>
  <si>
    <t>126-54-1082</t>
  </si>
  <si>
    <t>11:44:00 AM</t>
  </si>
  <si>
    <t>575-67-1508</t>
  </si>
  <si>
    <t>11:26:00 AM</t>
  </si>
  <si>
    <t>540-11-4336</t>
  </si>
  <si>
    <t>4:49:00 PM</t>
  </si>
  <si>
    <t>805-86-0265</t>
  </si>
  <si>
    <t>532-59-7201</t>
  </si>
  <si>
    <t>778-71-5554</t>
  </si>
  <si>
    <t>441-94-7118</t>
  </si>
  <si>
    <t>12:14:00 PM</t>
  </si>
  <si>
    <t>779-42-2410</t>
  </si>
  <si>
    <t>1:06:00 PM</t>
  </si>
  <si>
    <t>885-17-6250</t>
  </si>
  <si>
    <t>443-82-0585</t>
  </si>
  <si>
    <t>7:54:00 PM</t>
  </si>
  <si>
    <t>489-64-4354</t>
  </si>
  <si>
    <t>3:36:00 PM</t>
  </si>
  <si>
    <t>689-16-9784</t>
  </si>
  <si>
    <t>172-42-8274</t>
  </si>
  <si>
    <t>6:18:00 PM</t>
  </si>
  <si>
    <t>498-41-1961</t>
  </si>
  <si>
    <t>633-09-3463</t>
  </si>
  <si>
    <t>12:58:00 PM</t>
  </si>
  <si>
    <t>873-14-6353</t>
  </si>
  <si>
    <t>418-02-5978</t>
  </si>
  <si>
    <t>782-95-9291</t>
  </si>
  <si>
    <t>537-72-0426</t>
  </si>
  <si>
    <t>188-55-0967</t>
  </si>
  <si>
    <t>3:01:00 PM</t>
  </si>
  <si>
    <t>30-03-2019</t>
  </si>
  <si>
    <t>569-71-4390</t>
  </si>
  <si>
    <t>2:29:00 PM</t>
  </si>
  <si>
    <t>134-54-4720</t>
  </si>
  <si>
    <t>409-33-9708</t>
  </si>
  <si>
    <t>628-90-8624</t>
  </si>
  <si>
    <t>286-01-5402</t>
  </si>
  <si>
    <t>1:22:00 PM</t>
  </si>
  <si>
    <t>633-91-1052</t>
  </si>
  <si>
    <t>3:51:00 PM</t>
  </si>
  <si>
    <t>804-38-3935</t>
  </si>
  <si>
    <t>347-34-2234</t>
  </si>
  <si>
    <t>384-59-6655</t>
  </si>
  <si>
    <t>369-82-2676</t>
  </si>
  <si>
    <t>635-28-5728</t>
  </si>
  <si>
    <t>457-13-1708</t>
  </si>
  <si>
    <t>554-53-3790</t>
  </si>
  <si>
    <t>6:33:00 PM</t>
  </si>
  <si>
    <t>593-14-4239</t>
  </si>
  <si>
    <t>320-32-8842</t>
  </si>
  <si>
    <t>434-35-9162</t>
  </si>
  <si>
    <t>6:53:00 PM</t>
  </si>
  <si>
    <t>210-67-5886</t>
  </si>
  <si>
    <t>10:41:00 AM</t>
  </si>
  <si>
    <t>482-17-1179</t>
  </si>
  <si>
    <t>131-15-8856</t>
  </si>
  <si>
    <t>7:26:00 PM</t>
  </si>
  <si>
    <t>267-62-7380</t>
  </si>
  <si>
    <t>7:12:00 PM</t>
  </si>
  <si>
    <t>449-16-6770</t>
  </si>
  <si>
    <t>210-74-9613</t>
  </si>
  <si>
    <t>3:33:00 PM</t>
  </si>
  <si>
    <t>664-14-2882</t>
  </si>
  <si>
    <t>30-01-2019</t>
  </si>
  <si>
    <t>2:43:00 PM</t>
  </si>
  <si>
    <t>287-83-1405</t>
  </si>
  <si>
    <t>7:01:00 PM</t>
  </si>
  <si>
    <t>257-60-7754</t>
  </si>
  <si>
    <t>5:12:00 PM</t>
  </si>
  <si>
    <t>767-97-4650</t>
  </si>
  <si>
    <t>11:59:00 AM</t>
  </si>
  <si>
    <t>453-12-7053</t>
  </si>
  <si>
    <t>162-65-8559</t>
  </si>
  <si>
    <t>276-54-0879</t>
  </si>
  <si>
    <t>7:53:00 PM</t>
  </si>
  <si>
    <t>856-22-8149</t>
  </si>
  <si>
    <t>868-06-0466</t>
  </si>
  <si>
    <t>232-11-3025</t>
  </si>
  <si>
    <t>10:04:00 AM</t>
  </si>
  <si>
    <t>405-31-3305</t>
  </si>
  <si>
    <t>6:31:00 PM</t>
  </si>
  <si>
    <t>595-27-4851</t>
  </si>
  <si>
    <t>6:05:00 PM</t>
  </si>
  <si>
    <t>641-51-2661</t>
  </si>
  <si>
    <t>2:45:00 PM</t>
  </si>
  <si>
    <t>842-40-8179</t>
  </si>
  <si>
    <t>186-09-3669</t>
  </si>
  <si>
    <t>565-91-4567</t>
  </si>
  <si>
    <t>372-26-1506</t>
  </si>
  <si>
    <t>7:24:00 PM</t>
  </si>
  <si>
    <t>732-04-5373</t>
  </si>
  <si>
    <t>10:53:00 AM</t>
  </si>
  <si>
    <t>316-01-3952</t>
  </si>
  <si>
    <t>511-54-3087</t>
  </si>
  <si>
    <t>624-01-8356</t>
  </si>
  <si>
    <t>10:44:00 AM</t>
  </si>
  <si>
    <t>740-22-2500</t>
  </si>
  <si>
    <t>868-81-1752</t>
  </si>
  <si>
    <t>6:48:00 PM</t>
  </si>
  <si>
    <t>873-95-4984</t>
  </si>
  <si>
    <t>225-98-1496</t>
  </si>
  <si>
    <t>651-88-7328</t>
  </si>
  <si>
    <t>1:55:00 PM</t>
  </si>
  <si>
    <t>462-67-9126</t>
  </si>
  <si>
    <t>5:44:00 PM</t>
  </si>
  <si>
    <t>423-64-4619</t>
  </si>
  <si>
    <t>592-34-6155</t>
  </si>
  <si>
    <t>156-95-3964</t>
  </si>
  <si>
    <t>3:19:00 PM</t>
  </si>
  <si>
    <t>450-28-2866</t>
  </si>
  <si>
    <t>831-07-6050</t>
  </si>
  <si>
    <t>11:30:00 AM</t>
  </si>
  <si>
    <t>246-55-6923</t>
  </si>
  <si>
    <t>3:06:00 PM</t>
  </si>
  <si>
    <t>453-33-6436</t>
  </si>
  <si>
    <t>10:09:00 AM</t>
  </si>
  <si>
    <t>372-62-5264</t>
  </si>
  <si>
    <t>213-72-6612</t>
  </si>
  <si>
    <t>3:56:00 PM</t>
  </si>
  <si>
    <t>785-96-0615</t>
  </si>
  <si>
    <t>3:28:00 PM</t>
  </si>
  <si>
    <t>162-48-8011</t>
  </si>
  <si>
    <t>846-10-0341</t>
  </si>
  <si>
    <t>142-72-4741</t>
  </si>
  <si>
    <t>732-94-0499</t>
  </si>
  <si>
    <t>5:04:00 PM</t>
  </si>
  <si>
    <t>790-29-1172</t>
  </si>
  <si>
    <t>6:59:00 PM</t>
  </si>
  <si>
    <t>389-25-3394</t>
  </si>
  <si>
    <t>603-07-0961</t>
  </si>
  <si>
    <t>11:34:00 AM</t>
  </si>
  <si>
    <t>207-73-1363</t>
  </si>
  <si>
    <t>12:15:00 PM</t>
  </si>
  <si>
    <t>237-44-6163</t>
  </si>
  <si>
    <t>578-80-7669</t>
  </si>
  <si>
    <t>4:58:00 PM</t>
  </si>
  <si>
    <t>420-97-3340</t>
  </si>
  <si>
    <t>3:30:00 PM</t>
  </si>
  <si>
    <t>254-31-0042</t>
  </si>
  <si>
    <t>12:46:00 PM</t>
  </si>
  <si>
    <t>842-29-4695</t>
  </si>
  <si>
    <t>452-04-8808</t>
  </si>
  <si>
    <t>3:17:00 PM</t>
  </si>
  <si>
    <t>373-73-7910</t>
  </si>
  <si>
    <t>10:37:00 AM</t>
  </si>
  <si>
    <t>490-29-1201</t>
  </si>
  <si>
    <t>11:09:00 AM</t>
  </si>
  <si>
    <t>355-53-5943</t>
  </si>
  <si>
    <t>807-14-7833</t>
  </si>
  <si>
    <t>12:30:00 PM</t>
  </si>
  <si>
    <t>663-86-9076</t>
  </si>
  <si>
    <t>3:57:00 PM</t>
  </si>
  <si>
    <t>799-71-1548</t>
  </si>
  <si>
    <t>4:11:00 PM</t>
  </si>
  <si>
    <t>411-77-0180</t>
  </si>
  <si>
    <t>296-11-7041</t>
  </si>
  <si>
    <t>8:07:00 PM</t>
  </si>
  <si>
    <t>299-46-1805</t>
  </si>
  <si>
    <t>521-18-7827</t>
  </si>
  <si>
    <t>278-97-7759</t>
  </si>
  <si>
    <t>556-41-6224</t>
  </si>
  <si>
    <t>5:10:00 PM</t>
  </si>
  <si>
    <t>632-32-4574</t>
  </si>
  <si>
    <t>186-43-8965</t>
  </si>
  <si>
    <t>10:10:00 AM</t>
  </si>
  <si>
    <t>152-08-9985</t>
  </si>
  <si>
    <t>12:09:00 PM</t>
  </si>
  <si>
    <t>704-20-4138</t>
  </si>
  <si>
    <t>439-54-7422</t>
  </si>
  <si>
    <t>401-18-8016</t>
  </si>
  <si>
    <t>720-72-2436</t>
  </si>
  <si>
    <t>263-10-3913</t>
  </si>
  <si>
    <t>2:20:00 PM</t>
  </si>
  <si>
    <t>106-35-6779</t>
  </si>
  <si>
    <t>153-58-4872</t>
  </si>
  <si>
    <t>3:32:00 PM</t>
  </si>
  <si>
    <t>554-42-2417</t>
  </si>
  <si>
    <t>347-72-6115</t>
  </si>
  <si>
    <t>760-90-2357</t>
  </si>
  <si>
    <t>3:08:00 PM</t>
  </si>
  <si>
    <t>249-42-3782</t>
  </si>
  <si>
    <t>809-69-9497</t>
  </si>
  <si>
    <t>114-35-5271</t>
  </si>
  <si>
    <t>305-14-0245</t>
  </si>
  <si>
    <t>03-03-2019</t>
  </si>
  <si>
    <t>7:00:00 PM</t>
  </si>
  <si>
    <t>351-62-0822</t>
  </si>
  <si>
    <t>6:07:00 PM</t>
  </si>
  <si>
    <t>665-63-9737</t>
  </si>
  <si>
    <t>433-08-7822</t>
  </si>
  <si>
    <t>727-02-1313</t>
  </si>
  <si>
    <t>593-65-1552</t>
  </si>
  <si>
    <t>8:50:00 PM</t>
  </si>
  <si>
    <t>291-32-1427</t>
  </si>
  <si>
    <t>12:29:00 PM</t>
  </si>
  <si>
    <t>728-88-7867</t>
  </si>
  <si>
    <t>643-38-7867</t>
  </si>
  <si>
    <t>729-06-2010</t>
  </si>
  <si>
    <t>11:18:00 AM</t>
  </si>
  <si>
    <t>669-54-1719</t>
  </si>
  <si>
    <t>668-90-8900</t>
  </si>
  <si>
    <t>370-41-7321</t>
  </si>
  <si>
    <t>5:24:00 PM</t>
  </si>
  <si>
    <t>366-93-0948</t>
  </si>
  <si>
    <t>10:46:00 AM</t>
  </si>
  <si>
    <t>366-43-6862</t>
  </si>
  <si>
    <t>4:32:00 PM</t>
  </si>
  <si>
    <t>883-69-1285</t>
  </si>
  <si>
    <t>11:55:00 AM</t>
  </si>
  <si>
    <t>448-34-8700</t>
  </si>
  <si>
    <t>656-95-9349</t>
  </si>
  <si>
    <t>11:03:00 AM</t>
  </si>
  <si>
    <t>487-79-6868</t>
  </si>
  <si>
    <t>882-40-4577</t>
  </si>
  <si>
    <t>247-11-2470</t>
  </si>
  <si>
    <t>727-46-3608</t>
  </si>
  <si>
    <t>3:47:00 PM</t>
  </si>
  <si>
    <t>307-85-2293</t>
  </si>
  <si>
    <t>569-76-2760</t>
  </si>
  <si>
    <t>6:15:00 PM</t>
  </si>
  <si>
    <t>470-31-3286</t>
  </si>
  <si>
    <t>550-84-8664</t>
  </si>
  <si>
    <t>343-87-0864</t>
  </si>
  <si>
    <t>10:30:00 AM</t>
  </si>
  <si>
    <t>868-52-7573</t>
  </si>
  <si>
    <t>549-03-9315</t>
  </si>
  <si>
    <t>748-45-2862</t>
  </si>
  <si>
    <t>474-33-8305</t>
  </si>
  <si>
    <t>1:23:00 PM</t>
  </si>
  <si>
    <t>565-80-5980</t>
  </si>
  <si>
    <t>585-11-6748</t>
  </si>
  <si>
    <t>438-23-1242</t>
  </si>
  <si>
    <t>242-55-6721</t>
  </si>
  <si>
    <t>11:49:00 AM</t>
  </si>
  <si>
    <t>510-79-0415</t>
  </si>
  <si>
    <t>533-33-5337</t>
  </si>
  <si>
    <t>313-66-9943</t>
  </si>
  <si>
    <t>189-08-9157</t>
  </si>
  <si>
    <t>4:17:00 PM</t>
  </si>
  <si>
    <t>861-77-0145</t>
  </si>
  <si>
    <t>493-65-6248</t>
  </si>
  <si>
    <t>228-96-1411</t>
  </si>
  <si>
    <t>8:39:00 PM</t>
  </si>
  <si>
    <t>271-88-8734</t>
  </si>
  <si>
    <t>08-02-2019</t>
  </si>
  <si>
    <t>725-67-2480</t>
  </si>
  <si>
    <t>109-86-4363</t>
  </si>
  <si>
    <t>404-91-5964</t>
  </si>
  <si>
    <t>4:09:00 PM</t>
  </si>
  <si>
    <t>408-66-6712</t>
  </si>
  <si>
    <t>238-45-6950</t>
  </si>
  <si>
    <t>152-03-4217</t>
  </si>
  <si>
    <t>458-41-1477</t>
  </si>
  <si>
    <t>5:11:00 PM</t>
  </si>
  <si>
    <t>859-97-6048</t>
  </si>
  <si>
    <t>2:13:00 PM</t>
  </si>
  <si>
    <t>851-98-3555</t>
  </si>
  <si>
    <t>784-21-9238</t>
  </si>
  <si>
    <t>794-32-2436</t>
  </si>
  <si>
    <t>430-60-3493</t>
  </si>
  <si>
    <t>105-10-6182</t>
  </si>
  <si>
    <t>12:22:00 PM</t>
  </si>
  <si>
    <t>174-36-3675</t>
  </si>
  <si>
    <t>5:29:00 PM</t>
  </si>
  <si>
    <t>560-49-6611</t>
  </si>
  <si>
    <t>746-19-0921</t>
  </si>
  <si>
    <t>865-92-6136</t>
  </si>
  <si>
    <t>10:16:00 AM</t>
  </si>
  <si>
    <t>836-82-5858</t>
  </si>
  <si>
    <t>891-01-7034</t>
  </si>
  <si>
    <t>462-78-5240</t>
  </si>
  <si>
    <t>497-37-6538</t>
  </si>
  <si>
    <t>3:15:00 PM</t>
  </si>
  <si>
    <t>234-03-4040</t>
  </si>
  <si>
    <t>12:25:00 PM</t>
  </si>
  <si>
    <t>838-02-1821</t>
  </si>
  <si>
    <t>376-56-3573</t>
  </si>
  <si>
    <t>622-20-1945</t>
  </si>
  <si>
    <t>840-76-5966</t>
  </si>
  <si>
    <t>386-27-7606</t>
  </si>
  <si>
    <t>3:59:00 PM</t>
  </si>
  <si>
    <t>305-18-3552</t>
  </si>
  <si>
    <t>138-17-5109</t>
  </si>
  <si>
    <t>282-35-2475</t>
  </si>
  <si>
    <t>5:53:00 PM</t>
  </si>
  <si>
    <t>339-18-7061</t>
  </si>
  <si>
    <t>13-02-2019</t>
  </si>
  <si>
    <t>518-17-2983</t>
  </si>
  <si>
    <t>273-84-2164</t>
  </si>
  <si>
    <t>458-61-0011</t>
  </si>
  <si>
    <t>6:43:00 PM</t>
  </si>
  <si>
    <t>742-04-5161</t>
  </si>
  <si>
    <t>321-49-7382</t>
  </si>
  <si>
    <t>190-14-3147</t>
  </si>
  <si>
    <t>8:43:00 PM</t>
  </si>
  <si>
    <t>318-12-0304</t>
  </si>
  <si>
    <t>400-60-7251</t>
  </si>
  <si>
    <t>674-56-6360</t>
  </si>
  <si>
    <t>2:00:00 PM</t>
  </si>
  <si>
    <t>686-41-0932</t>
  </si>
  <si>
    <t>722-13-2115</t>
  </si>
  <si>
    <t>219-22-9386</t>
  </si>
  <si>
    <t>5:26:00 PM</t>
  </si>
  <si>
    <t>692-92-5582</t>
  </si>
  <si>
    <t>1:27:00 PM</t>
  </si>
  <si>
    <t>592-46-1692</t>
  </si>
  <si>
    <t>8:10:00 PM</t>
  </si>
  <si>
    <t>548-46-9322</t>
  </si>
  <si>
    <t>3:24:00 PM</t>
  </si>
  <si>
    <t>189-98-2939</t>
  </si>
  <si>
    <t>528-14-9470</t>
  </si>
  <si>
    <t>834-61-8124</t>
  </si>
  <si>
    <t>382-25-8917</t>
  </si>
  <si>
    <t>343-61-3544</t>
  </si>
  <si>
    <t>174-75-0888</t>
  </si>
  <si>
    <t>12:32:00 PM</t>
  </si>
  <si>
    <t>699-88-1972</t>
  </si>
  <si>
    <t>584-66-4073</t>
  </si>
  <si>
    <t>3:45:00 PM</t>
  </si>
  <si>
    <t>478-06-7835</t>
  </si>
  <si>
    <t>11:20:00 AM</t>
  </si>
  <si>
    <t>365-16-4334</t>
  </si>
  <si>
    <t>279-62-1445</t>
  </si>
  <si>
    <t>528-87-5606</t>
  </si>
  <si>
    <t>220-28-1851</t>
  </si>
  <si>
    <t>725-54-0677</t>
  </si>
  <si>
    <t>1:50:00 PM</t>
  </si>
  <si>
    <t>639-76-1242</t>
  </si>
  <si>
    <t>181-94-6432</t>
  </si>
  <si>
    <t>7:05:00 PM</t>
  </si>
  <si>
    <t>329-62-1586</t>
  </si>
  <si>
    <t>437-58-8131</t>
  </si>
  <si>
    <t>696-90-2548</t>
  </si>
  <si>
    <t>6:55:00 PM</t>
  </si>
  <si>
    <t>549-23-9016</t>
  </si>
  <si>
    <t>896-34-0956</t>
  </si>
  <si>
    <t>420-18-8989</t>
  </si>
  <si>
    <t>730-61-8757</t>
  </si>
  <si>
    <t>750-67-8428</t>
  </si>
  <si>
    <t>239-48-4278</t>
  </si>
  <si>
    <t>864-24-7918</t>
  </si>
  <si>
    <t>811-03-8790</t>
  </si>
  <si>
    <t>374-17-3652</t>
  </si>
  <si>
    <t>851-28-6367</t>
  </si>
  <si>
    <t>10:55:00 AM</t>
  </si>
  <si>
    <t>148-82-2527</t>
  </si>
  <si>
    <t>1:44:00 PM</t>
  </si>
  <si>
    <t>261-12-8671</t>
  </si>
  <si>
    <t>7:39:00 PM</t>
  </si>
  <si>
    <t>766-85-7061</t>
  </si>
  <si>
    <t>399-46-5918</t>
  </si>
  <si>
    <t>860-79-0874</t>
  </si>
  <si>
    <t>777-82-7220</t>
  </si>
  <si>
    <t>609-81-8548</t>
  </si>
  <si>
    <t>186-71-5196</t>
  </si>
  <si>
    <t>343-75-9322</t>
  </si>
  <si>
    <t>4:34:00 PM</t>
  </si>
  <si>
    <t>396-90-2219</t>
  </si>
  <si>
    <t>802-43-8934</t>
  </si>
  <si>
    <t>3:05:00 PM</t>
  </si>
  <si>
    <t>307-83-9164</t>
  </si>
  <si>
    <t>25-01-2019</t>
  </si>
  <si>
    <t>3:54:00 PM</t>
  </si>
  <si>
    <t>308-81-0538</t>
  </si>
  <si>
    <t>587-73-4862</t>
  </si>
  <si>
    <t>755-12-3214</t>
  </si>
  <si>
    <t>5:07:00 PM</t>
  </si>
  <si>
    <t>843-01-4703</t>
  </si>
  <si>
    <t>7:50:00 PM</t>
  </si>
  <si>
    <t>504-35-8843</t>
  </si>
  <si>
    <t>4:57:00 PM</t>
  </si>
  <si>
    <t>189-40-5216</t>
  </si>
  <si>
    <t>827-77-7633</t>
  </si>
  <si>
    <t>7:41:00 PM</t>
  </si>
  <si>
    <t>151-33-7434</t>
  </si>
  <si>
    <t>144-51-6085</t>
  </si>
  <si>
    <t>4:05:00 PM</t>
  </si>
  <si>
    <t>333-73-7901</t>
  </si>
  <si>
    <t>746-94-0204</t>
  </si>
  <si>
    <t>11:56:00 AM</t>
  </si>
  <si>
    <t>756-01-7507</t>
  </si>
  <si>
    <t>6:56:00 PM</t>
  </si>
  <si>
    <t>325-77-6186</t>
  </si>
  <si>
    <t>448-81-5016</t>
  </si>
  <si>
    <t>12:01:00 PM</t>
  </si>
  <si>
    <t>756-93-1854</t>
  </si>
  <si>
    <t>2:05:00 PM</t>
  </si>
  <si>
    <t>135-84-8019</t>
  </si>
  <si>
    <t>4:10:00 PM</t>
  </si>
  <si>
    <t>533-66-5566</t>
  </si>
  <si>
    <t>387-49-4215</t>
  </si>
  <si>
    <t>775-72-1988</t>
  </si>
  <si>
    <t>549-59-1358</t>
  </si>
  <si>
    <t>275-28-0149</t>
  </si>
  <si>
    <t>4:21:00 PM</t>
  </si>
  <si>
    <t>131-70-8179</t>
  </si>
  <si>
    <t>4:27:00 PM</t>
  </si>
  <si>
    <t>458-10-8612</t>
  </si>
  <si>
    <t>12:27:00 PM</t>
  </si>
  <si>
    <t>378-24-2715</t>
  </si>
  <si>
    <t>20-01-2019</t>
  </si>
  <si>
    <t>8:38:00 PM</t>
  </si>
  <si>
    <t>817-48-8732</t>
  </si>
  <si>
    <t>655-85-5130</t>
  </si>
  <si>
    <t>13-03-2019</t>
  </si>
  <si>
    <t>7:22:00 PM</t>
  </si>
  <si>
    <t>834-83-1826</t>
  </si>
  <si>
    <t>796-32-9050</t>
  </si>
  <si>
    <t>4:31:00 PM</t>
  </si>
  <si>
    <t>847-38-7188</t>
  </si>
  <si>
    <t>7:56:00 PM</t>
  </si>
  <si>
    <t>182-52-7000</t>
  </si>
  <si>
    <t>8:26:00 PM</t>
  </si>
  <si>
    <t>831-81-6575</t>
  </si>
  <si>
    <t>468-01-2051</t>
  </si>
  <si>
    <t>577-34-7579</t>
  </si>
  <si>
    <t>865-41-9075</t>
  </si>
  <si>
    <t>5:35:00 PM</t>
  </si>
  <si>
    <t>787-87-2010</t>
  </si>
  <si>
    <t>201-63-8275</t>
  </si>
  <si>
    <t>4:50:00 PM</t>
  </si>
  <si>
    <t>704-10-4056</t>
  </si>
  <si>
    <t>787-56-0757</t>
  </si>
  <si>
    <t>873-51-0671</t>
  </si>
  <si>
    <t>4:42:00 PM</t>
  </si>
  <si>
    <t>573-10-3877</t>
  </si>
  <si>
    <t>4:46:00 PM</t>
  </si>
  <si>
    <t>319-50-3348</t>
  </si>
  <si>
    <t>712-39-0363</t>
  </si>
  <si>
    <t>895-66-0685</t>
  </si>
  <si>
    <t>583-72-1480</t>
  </si>
  <si>
    <t>817-69-8206</t>
  </si>
  <si>
    <t>442-48-3607</t>
  </si>
  <si>
    <t>544-32-5024</t>
  </si>
  <si>
    <t>28-03-2019</t>
  </si>
  <si>
    <t>339-38-9982</t>
  </si>
  <si>
    <t>545-46-3100</t>
  </si>
  <si>
    <t>1:52:00 PM</t>
  </si>
  <si>
    <t>291-21-5991</t>
  </si>
  <si>
    <t>741-73-3559</t>
  </si>
  <si>
    <t>227-07-4446</t>
  </si>
  <si>
    <t>733-29-1227</t>
  </si>
  <si>
    <t>12:41:00 PM</t>
  </si>
  <si>
    <t>840-19-2096</t>
  </si>
  <si>
    <t>6:10:00 PM</t>
  </si>
  <si>
    <t>582-52-8065</t>
  </si>
  <si>
    <t>10:49:00 AM</t>
  </si>
  <si>
    <t>489-82-1237</t>
  </si>
  <si>
    <t>346-84-3103</t>
  </si>
  <si>
    <t>354-39-5160</t>
  </si>
  <si>
    <t>3:39:00 PM</t>
  </si>
  <si>
    <t>227-03-5010</t>
  </si>
  <si>
    <t>886-77-9084</t>
  </si>
  <si>
    <t>11:33:00 AM</t>
  </si>
  <si>
    <t>378-07-7001</t>
  </si>
  <si>
    <t>803-83-5989</t>
  </si>
  <si>
    <t>803-17-8013</t>
  </si>
  <si>
    <t>5:09:00 PM</t>
  </si>
  <si>
    <t>743-04-1105</t>
  </si>
  <si>
    <t>133-14-7229</t>
  </si>
  <si>
    <t>11:43:00 AM</t>
  </si>
  <si>
    <t>340-21-9136</t>
  </si>
  <si>
    <t>765-26-6951</t>
  </si>
  <si>
    <t>10:39:00 AM</t>
  </si>
  <si>
    <t>880-46-5796</t>
  </si>
  <si>
    <t>109-28-2512</t>
  </si>
  <si>
    <t>200-16-5952</t>
  </si>
  <si>
    <t>210-30-7976</t>
  </si>
  <si>
    <t>11:16:00 AM</t>
  </si>
  <si>
    <t>678-79-0726</t>
  </si>
  <si>
    <t>227-78-1148</t>
  </si>
  <si>
    <t>497-36-0989</t>
  </si>
  <si>
    <t>3:21:00 PM</t>
  </si>
  <si>
    <t>149-14-0304</t>
  </si>
  <si>
    <t>2:24:00 PM</t>
  </si>
  <si>
    <t>828-46-6863</t>
  </si>
  <si>
    <t>425-85-2085</t>
  </si>
  <si>
    <t>4:48:00 PM</t>
  </si>
  <si>
    <t>361-85-2571</t>
  </si>
  <si>
    <t>551-21-3069</t>
  </si>
  <si>
    <t>268-03-6164</t>
  </si>
  <si>
    <t>652-43-6591</t>
  </si>
  <si>
    <t>1:18:00 PM</t>
  </si>
  <si>
    <t>795-49-7276</t>
  </si>
  <si>
    <t>731-59-7531</t>
  </si>
  <si>
    <t>451-73-2711</t>
  </si>
  <si>
    <t>3:20:00 PM</t>
  </si>
  <si>
    <t>770-42-8960</t>
  </si>
  <si>
    <t>7:31:00 PM</t>
  </si>
  <si>
    <t>558-80-4082</t>
  </si>
  <si>
    <t>5:20:00 PM</t>
  </si>
  <si>
    <t>447-15-7839</t>
  </si>
  <si>
    <t>662-47-5456</t>
  </si>
  <si>
    <t>830-58-2383</t>
  </si>
  <si>
    <t>642-61-4706</t>
  </si>
  <si>
    <t>618-34-8551</t>
  </si>
  <si>
    <t>6:41:00 PM</t>
  </si>
  <si>
    <t>790-38-4466</t>
  </si>
  <si>
    <t>226-31-3081</t>
  </si>
  <si>
    <t>10:29:00 AM</t>
  </si>
  <si>
    <t>667-23-5919</t>
  </si>
  <si>
    <t>305-89-2768</t>
  </si>
  <si>
    <t>416-17-9926</t>
  </si>
  <si>
    <t>468-88-0009</t>
  </si>
  <si>
    <t>236-86-3015</t>
  </si>
  <si>
    <t>1:38:00 PM</t>
  </si>
  <si>
    <t>648-94-3045</t>
  </si>
  <si>
    <t>2:27:00 PM</t>
  </si>
  <si>
    <t>869-11-3082</t>
  </si>
  <si>
    <t>631-41-3108</t>
  </si>
  <si>
    <t>594-34-4444</t>
  </si>
  <si>
    <t>583-41-4548</t>
  </si>
  <si>
    <t>556-97-7101</t>
  </si>
  <si>
    <t>427-45-9297</t>
  </si>
  <si>
    <t>11:01:00 AM</t>
  </si>
  <si>
    <t>595-94-9924</t>
  </si>
  <si>
    <t>565-17-3836</t>
  </si>
  <si>
    <t>677-11-0152</t>
  </si>
  <si>
    <t>244-08-0162</t>
  </si>
  <si>
    <t>706-36-6154</t>
  </si>
  <si>
    <t>608-27-6295</t>
  </si>
  <si>
    <t>5:34:00 PM</t>
  </si>
  <si>
    <t>226-71-3580</t>
  </si>
  <si>
    <t>759-98-4285</t>
  </si>
  <si>
    <t>338-65-2210</t>
  </si>
  <si>
    <t>132-23-6451</t>
  </si>
  <si>
    <t>286-43-6208</t>
  </si>
  <si>
    <t>651-61-0874</t>
  </si>
  <si>
    <t>8:04:00 PM</t>
  </si>
  <si>
    <t>721-86-6247</t>
  </si>
  <si>
    <t>459-45-2396</t>
  </si>
  <si>
    <t>250-17-5703</t>
  </si>
  <si>
    <t>319-74-2561</t>
  </si>
  <si>
    <t>4:55:00 PM</t>
  </si>
  <si>
    <t>123-35-4896</t>
  </si>
  <si>
    <t>7:11:00 PM</t>
  </si>
  <si>
    <t>400-89-4171</t>
  </si>
  <si>
    <t>28-01-2019</t>
  </si>
  <si>
    <t>286-75-7818</t>
  </si>
  <si>
    <t>831-64-0259</t>
  </si>
  <si>
    <t>434-83-9547</t>
  </si>
  <si>
    <t>23-01-2019</t>
  </si>
  <si>
    <t>527-09-6272</t>
  </si>
  <si>
    <t>574-80-1489</t>
  </si>
  <si>
    <t>287-21-9091</t>
  </si>
  <si>
    <t>472-15-9636</t>
  </si>
  <si>
    <t>7:36:00 PM</t>
  </si>
  <si>
    <t>751-69-0068</t>
  </si>
  <si>
    <t>135-13-8269</t>
  </si>
  <si>
    <t>4:04:00 PM</t>
  </si>
  <si>
    <t>695-09-5146</t>
  </si>
  <si>
    <t>8:00:00 PM</t>
  </si>
  <si>
    <t>269-04-5750</t>
  </si>
  <si>
    <t>300-71-4605</t>
  </si>
  <si>
    <t>11:24:00 AM</t>
  </si>
  <si>
    <t>888-02-0338</t>
  </si>
  <si>
    <t>886-54-6089</t>
  </si>
  <si>
    <t>811-35-1094</t>
  </si>
  <si>
    <t>349-97-8902</t>
  </si>
  <si>
    <t>227-50-3718</t>
  </si>
  <si>
    <t>12:23:00 PM</t>
  </si>
  <si>
    <t>871-79-8483</t>
  </si>
  <si>
    <t>139-20-0155</t>
  </si>
  <si>
    <t>5:37:00 PM</t>
  </si>
  <si>
    <t>883-17-4236</t>
  </si>
  <si>
    <t>382-03-4532</t>
  </si>
  <si>
    <t>633-44-8566</t>
  </si>
  <si>
    <t>237-01-6122</t>
  </si>
  <si>
    <t>539-21-7227</t>
  </si>
  <si>
    <t>5:45:00 PM</t>
  </si>
  <si>
    <t>225-32-0908</t>
  </si>
  <si>
    <t>878-30-2331</t>
  </si>
  <si>
    <t>885-56-0389</t>
  </si>
  <si>
    <t>5:49:00 PM</t>
  </si>
  <si>
    <t>760-27-5490</t>
  </si>
  <si>
    <t>687-47-8271</t>
  </si>
  <si>
    <t>4:20:00 PM</t>
  </si>
  <si>
    <t>725-32-9708</t>
  </si>
  <si>
    <t>327-40-9673</t>
  </si>
  <si>
    <t>7:51:00 PM</t>
  </si>
  <si>
    <t>649-11-3678</t>
  </si>
  <si>
    <t>235-06-8510</t>
  </si>
  <si>
    <t>24-01-2019</t>
  </si>
  <si>
    <t>127-47-6963</t>
  </si>
  <si>
    <t>381-20-0914</t>
  </si>
  <si>
    <t>640-48-5028</t>
  </si>
  <si>
    <t>718-57-9773</t>
  </si>
  <si>
    <t>4:40:00 PM</t>
  </si>
  <si>
    <t>435-13-4908</t>
  </si>
  <si>
    <t>258-69-7810</t>
  </si>
  <si>
    <t>394-55-6384</t>
  </si>
  <si>
    <t>729-09-9681</t>
  </si>
  <si>
    <t>110-48-7033</t>
  </si>
  <si>
    <t>174-64-0215</t>
  </si>
  <si>
    <t>825-94-5922</t>
  </si>
  <si>
    <t>186-79-9562</t>
  </si>
  <si>
    <t>2:06:00 PM</t>
  </si>
  <si>
    <t>862-59-8517</t>
  </si>
  <si>
    <t>11:17:00 AM</t>
  </si>
  <si>
    <t>191-10-6171</t>
  </si>
  <si>
    <t>518-71-6847</t>
  </si>
  <si>
    <t>163-56-7055</t>
  </si>
  <si>
    <t>316-55-4634</t>
  </si>
  <si>
    <t>784-08-0310</t>
  </si>
  <si>
    <t>191-29-0321</t>
  </si>
  <si>
    <t>27-02-2019</t>
  </si>
  <si>
    <t>6:57:00 PM</t>
  </si>
  <si>
    <t>884-80-6021</t>
  </si>
  <si>
    <t>1:14:00 PM</t>
  </si>
  <si>
    <t>568-88-3448</t>
  </si>
  <si>
    <t>3:09:00 PM</t>
  </si>
  <si>
    <t>652-49-6720</t>
  </si>
  <si>
    <t>169-52-4504</t>
  </si>
  <si>
    <t>593-08-5916</t>
  </si>
  <si>
    <t>3:23:00 PM</t>
  </si>
  <si>
    <t>606-80-4905</t>
  </si>
  <si>
    <t>426-39-2418</t>
  </si>
  <si>
    <t>14-01-2019</t>
  </si>
  <si>
    <t>183-21-3799</t>
  </si>
  <si>
    <t>3:14:00 PM</t>
  </si>
  <si>
    <t>760-53-9233</t>
  </si>
  <si>
    <t>629-42-4133</t>
  </si>
  <si>
    <t>767-54-1907</t>
  </si>
  <si>
    <t>4:59:00 PM</t>
  </si>
  <si>
    <t>420-04-7590</t>
  </si>
  <si>
    <t>11:29:00 AM</t>
  </si>
  <si>
    <t>734-91-1155</t>
  </si>
  <si>
    <t>10:34:00 AM</t>
  </si>
  <si>
    <t>491-38-3499</t>
  </si>
  <si>
    <t>5:46:00 PM</t>
  </si>
  <si>
    <t>408-26-9866</t>
  </si>
  <si>
    <t>595-86-2894</t>
  </si>
  <si>
    <t>834-45-5519</t>
  </si>
  <si>
    <t>8:48:00 PM</t>
  </si>
  <si>
    <t>783-09-1637</t>
  </si>
  <si>
    <t>6:13:00 PM</t>
  </si>
  <si>
    <t>559-98-9873</t>
  </si>
  <si>
    <t>12:56:00 PM</t>
  </si>
  <si>
    <t>199-75-8169</t>
  </si>
  <si>
    <t>308-47-4913</t>
  </si>
  <si>
    <t>393-65-2792</t>
  </si>
  <si>
    <t>892-05-6689</t>
  </si>
  <si>
    <t>1:28:00 PM</t>
  </si>
  <si>
    <t>687-15-1097</t>
  </si>
  <si>
    <t>243-47-2663</t>
  </si>
  <si>
    <t>102-06-2002</t>
  </si>
  <si>
    <t>5:52:00 PM</t>
  </si>
  <si>
    <t>894-41-5205</t>
  </si>
  <si>
    <t>460-93-5834</t>
  </si>
  <si>
    <t>10:03:00 AM</t>
  </si>
  <si>
    <t>105-31-1824</t>
  </si>
  <si>
    <t>129-29-8530</t>
  </si>
  <si>
    <t>7:15:00 PM</t>
  </si>
  <si>
    <t>217-58-1179</t>
  </si>
  <si>
    <t>480-63-2856</t>
  </si>
  <si>
    <t>850-41-9669</t>
  </si>
  <si>
    <t>1:25:00 PM</t>
  </si>
  <si>
    <t>848-95-6252</t>
  </si>
  <si>
    <t>730-70-9830</t>
  </si>
  <si>
    <t>156-20-0370</t>
  </si>
  <si>
    <t>273-16-6619</t>
  </si>
  <si>
    <t>692-27-8933</t>
  </si>
  <si>
    <t>512-98-1403</t>
  </si>
  <si>
    <t>602-16-6955</t>
  </si>
  <si>
    <t>585-86-8361</t>
  </si>
  <si>
    <t>862-17-9201</t>
  </si>
  <si>
    <t>10:48:00 AM</t>
  </si>
  <si>
    <t>239-36-3640</t>
  </si>
  <si>
    <t>252-56-2699</t>
  </si>
  <si>
    <t>148-41-7930</t>
  </si>
  <si>
    <t>576-31-4774</t>
  </si>
  <si>
    <t>1:10:00 PM</t>
  </si>
  <si>
    <t>375-72-3056</t>
  </si>
  <si>
    <t>3:58:00 PM</t>
  </si>
  <si>
    <t>209-61-0206</t>
  </si>
  <si>
    <t>139-52-2867</t>
  </si>
  <si>
    <t>526-86-8552</t>
  </si>
  <si>
    <t>761-49-0439</t>
  </si>
  <si>
    <t>541-48-8554</t>
  </si>
  <si>
    <t>12:08:00 PM</t>
  </si>
  <si>
    <t>660-29-7083</t>
  </si>
  <si>
    <t>821-14-9046</t>
  </si>
  <si>
    <t>485-30-8700</t>
  </si>
  <si>
    <t>746-68-6593</t>
  </si>
  <si>
    <t>589-02-8023</t>
  </si>
  <si>
    <t>560-30-5617</t>
  </si>
  <si>
    <t>848-62-7243</t>
  </si>
  <si>
    <t>626-43-7888</t>
  </si>
  <si>
    <t>776-68-1096</t>
  </si>
  <si>
    <t>670-71-7306</t>
  </si>
  <si>
    <t>130-98-8941</t>
  </si>
  <si>
    <t>390-17-5806</t>
  </si>
  <si>
    <t>4:33:00 PM</t>
  </si>
  <si>
    <t>777-67-2495</t>
  </si>
  <si>
    <t>729-46-7422</t>
  </si>
  <si>
    <t>4:52:00 PM</t>
  </si>
  <si>
    <t>717-96-4189</t>
  </si>
  <si>
    <t>02-02-2019</t>
  </si>
  <si>
    <t>274-05-5470</t>
  </si>
  <si>
    <t>364-33-8584</t>
  </si>
  <si>
    <t>676-39-6028</t>
  </si>
  <si>
    <t>154-74-7179</t>
  </si>
  <si>
    <t>853-23-2453</t>
  </si>
  <si>
    <t>500-02-2261</t>
  </si>
  <si>
    <t>891-58-8335</t>
  </si>
  <si>
    <t>256-58-3609</t>
  </si>
  <si>
    <t>781-84-8059</t>
  </si>
  <si>
    <t>843-73-4724</t>
  </si>
  <si>
    <t>11:05:00 AM</t>
  </si>
  <si>
    <t>827-26-2100</t>
  </si>
  <si>
    <t>793-10-3222</t>
  </si>
  <si>
    <t>509-10-0516</t>
  </si>
  <si>
    <t>733-33-4967</t>
  </si>
  <si>
    <t>566-71-1091</t>
  </si>
  <si>
    <t>640-49-2076</t>
  </si>
  <si>
    <t>149-71-6266</t>
  </si>
  <si>
    <t>345-68-9016</t>
  </si>
  <si>
    <t>645-78-8093</t>
  </si>
  <si>
    <t>422-29-8786</t>
  </si>
  <si>
    <t>760-54-1821</t>
  </si>
  <si>
    <t>256-08-8343</t>
  </si>
  <si>
    <t>751-41-9720</t>
  </si>
  <si>
    <t>4:18:00 PM</t>
  </si>
  <si>
    <t>241-96-5076</t>
  </si>
  <si>
    <t>848-07-1692</t>
  </si>
  <si>
    <t>5:13:00 PM</t>
  </si>
  <si>
    <t>596-42-3999</t>
  </si>
  <si>
    <t>809-46-1866</t>
  </si>
  <si>
    <t>499-27-7781</t>
  </si>
  <si>
    <t>14-03-2019</t>
  </si>
  <si>
    <t>747-58-7183</t>
  </si>
  <si>
    <t>253-12-6086</t>
  </si>
  <si>
    <t>214-30-2776</t>
  </si>
  <si>
    <t>829-34-3910</t>
  </si>
  <si>
    <t>7:21:00 PM</t>
  </si>
  <si>
    <t>512-91-0811</t>
  </si>
  <si>
    <t>06-02-2019</t>
  </si>
  <si>
    <t>8:05:00 PM</t>
  </si>
  <si>
    <t>827-44-5872</t>
  </si>
  <si>
    <t>173-82-9529</t>
  </si>
  <si>
    <t>866-70-2814</t>
  </si>
  <si>
    <t>11:58:00 AM</t>
  </si>
  <si>
    <t>299-29-0180</t>
  </si>
  <si>
    <t>324-41-6833</t>
  </si>
  <si>
    <t>226-34-0034</t>
  </si>
  <si>
    <t>11:10:00 AM</t>
  </si>
  <si>
    <t>887-42-0517</t>
  </si>
  <si>
    <t>829-49-1914</t>
  </si>
  <si>
    <t>642-30-6693</t>
  </si>
  <si>
    <t>725-56-0833</t>
  </si>
  <si>
    <t>824-88-3614</t>
  </si>
  <si>
    <t>3:00:00 PM</t>
  </si>
  <si>
    <t>449-27-2918</t>
  </si>
  <si>
    <t>11:02:00 AM</t>
  </si>
  <si>
    <t>289-15-7034</t>
  </si>
  <si>
    <t>807-34-3742</t>
  </si>
  <si>
    <t>510-09-5628</t>
  </si>
  <si>
    <t>6:20:00 PM</t>
  </si>
  <si>
    <t>457-94-0464</t>
  </si>
  <si>
    <t>8:32:00 PM</t>
  </si>
  <si>
    <t>284-34-9626</t>
  </si>
  <si>
    <t>436-54-4512</t>
  </si>
  <si>
    <t>272-27-9238</t>
  </si>
  <si>
    <t>631-34-1880</t>
  </si>
  <si>
    <t>597-78-7908</t>
  </si>
  <si>
    <t>18-02-2019</t>
  </si>
  <si>
    <t>530-90-9855</t>
  </si>
  <si>
    <t>2:47:00 PM</t>
  </si>
  <si>
    <t>115-38-7388</t>
  </si>
  <si>
    <t>477-24-6490</t>
  </si>
  <si>
    <t>568-90-5112</t>
  </si>
  <si>
    <t>704-48-3927</t>
  </si>
  <si>
    <t>2:50:00 PM</t>
  </si>
  <si>
    <t>585-03-5943</t>
  </si>
  <si>
    <t>746-54-5508</t>
  </si>
  <si>
    <t>12:48:00 PM</t>
  </si>
  <si>
    <t>707-32-7409</t>
  </si>
  <si>
    <t>401-09-4232</t>
  </si>
  <si>
    <t>6:38:00 PM</t>
  </si>
  <si>
    <t>358-88-9262</t>
  </si>
  <si>
    <t>266-20-6657</t>
  </si>
  <si>
    <t>12-03-2019</t>
  </si>
  <si>
    <t>166-19-2553</t>
  </si>
  <si>
    <t>752-23-3760</t>
  </si>
  <si>
    <t>7:29:00 PM</t>
  </si>
  <si>
    <t>479-26-8945</t>
  </si>
  <si>
    <t>377-79-7592</t>
  </si>
  <si>
    <t>221-25-5073</t>
  </si>
  <si>
    <t>711-31-1234</t>
  </si>
  <si>
    <t>222-42-0244</t>
  </si>
  <si>
    <t>699-14-3026</t>
  </si>
  <si>
    <t>744-82-9138</t>
  </si>
  <si>
    <t>239-10-7476</t>
  </si>
  <si>
    <t>4:37:00 PM</t>
  </si>
  <si>
    <t>212-62-1842</t>
  </si>
  <si>
    <t>4:44:00 PM</t>
  </si>
  <si>
    <t>409-49-6995</t>
  </si>
  <si>
    <t>235-46-8343</t>
  </si>
  <si>
    <t>554-53-8700</t>
  </si>
  <si>
    <t>471-41-2823</t>
  </si>
  <si>
    <t>740-11-5257</t>
  </si>
  <si>
    <t>743-88-1662</t>
  </si>
  <si>
    <t>704-11-6354</t>
  </si>
  <si>
    <t>685-64-1609</t>
  </si>
  <si>
    <t>318-81-2368</t>
  </si>
  <si>
    <t>12:16:00 PM</t>
  </si>
  <si>
    <t>362-58-8315</t>
  </si>
  <si>
    <t>728-47-9078</t>
  </si>
  <si>
    <t>173-50-1108</t>
  </si>
  <si>
    <t>574-57-9721</t>
  </si>
  <si>
    <t>4:53:00 PM</t>
  </si>
  <si>
    <t>877-22-3308</t>
  </si>
  <si>
    <t>258-92-7466</t>
  </si>
  <si>
    <t>749-24-1565</t>
  </si>
  <si>
    <t>617-15-4209</t>
  </si>
  <si>
    <t>7:47:00 PM</t>
  </si>
  <si>
    <t>189-17-4241</t>
  </si>
  <si>
    <t>10-03-2019</t>
  </si>
  <si>
    <t>12:17:00 PM</t>
  </si>
  <si>
    <t>870-72-4431</t>
  </si>
  <si>
    <t>21-01-2019</t>
  </si>
  <si>
    <t>849-09-3807</t>
  </si>
  <si>
    <t>345-08-4992</t>
  </si>
  <si>
    <t>3:37:00 PM</t>
  </si>
  <si>
    <t>645-44-1170</t>
  </si>
  <si>
    <t>151-27-8496</t>
  </si>
  <si>
    <t>394-43-4238</t>
  </si>
  <si>
    <t>600-38-9738</t>
  </si>
  <si>
    <t>418-05-0656</t>
  </si>
  <si>
    <t>8:42:00 PM</t>
  </si>
  <si>
    <t>588-47-8641</t>
  </si>
  <si>
    <t>598-06-7312</t>
  </si>
  <si>
    <t>867-47-1948</t>
  </si>
  <si>
    <t>546-80-2899</t>
  </si>
  <si>
    <t>665-32-9167</t>
  </si>
  <si>
    <t>841-35-6630</t>
  </si>
  <si>
    <t>6:21:00 PM</t>
  </si>
  <si>
    <t>110-05-6330</t>
  </si>
  <si>
    <t>642-32-2990</t>
  </si>
  <si>
    <t>347-56-2442</t>
  </si>
  <si>
    <t>176-64-7711</t>
  </si>
  <si>
    <t>672-51-8681</t>
  </si>
  <si>
    <t>101-81-4070</t>
  </si>
  <si>
    <t>Subtotal</t>
  </si>
  <si>
    <t>Tax Check</t>
  </si>
  <si>
    <t>Arithmetic Check</t>
  </si>
  <si>
    <t>Check tax</t>
  </si>
  <si>
    <t>Check sales</t>
  </si>
  <si>
    <t>Topic 2.1 lab solution: checks</t>
  </si>
  <si>
    <t>Every figure below is a live formula over RawSales. Nothing here is typed by hand.</t>
  </si>
  <si>
    <t>Check</t>
  </si>
  <si>
    <t>Live formula result</t>
  </si>
  <si>
    <t>Expected</t>
  </si>
  <si>
    <t>Rows</t>
  </si>
  <si>
    <t>1,025</t>
  </si>
  <si>
    <t>Sum of Subtotal</t>
  </si>
  <si>
    <t>₦31,307,024.00</t>
  </si>
  <si>
    <t>Sum of cogs</t>
  </si>
  <si>
    <t>₦31,577,888.00</t>
  </si>
  <si>
    <t>Difference</t>
  </si>
  <si>
    <t>₦270,864.00</t>
  </si>
  <si>
    <t>Sum of Tax Check</t>
  </si>
  <si>
    <t>₦1,565,351.20</t>
  </si>
  <si>
    <t>Sum of Tax 5%</t>
  </si>
  <si>
    <t>₦1,578,894.40</t>
  </si>
  <si>
    <t>Tax Check gap (5% of the Subtotal gap)</t>
  </si>
  <si>
    <t>₦13,543.20</t>
  </si>
  <si>
    <t>Sum of Sales</t>
  </si>
  <si>
    <t>₦33,156,782.40</t>
  </si>
  <si>
    <t>Rows failing the cogs check</t>
  </si>
  <si>
    <t>5</t>
  </si>
  <si>
    <t>Rows passing the cogs check</t>
  </si>
  <si>
    <t>1,020</t>
  </si>
  <si>
    <t>Rows passing the tax check</t>
  </si>
  <si>
    <t>Rows passing the sales check</t>
  </si>
  <si>
    <t>Tax Check is built on Subtotal, and Subtotal is negative on the five sign-flipped rows,</t>
  </si>
  <si>
    <t>so its total is 13,543.20 short of Tax 5%. That is exactly 5% of the 270,864.00 Subtotal gap,</t>
  </si>
  <si>
    <t>from exactly the same five rows. Row by row the two columns agree on 1,020 of the 1,025.</t>
  </si>
  <si>
    <t>Test: delete the value in B1 on the Raw Export sheet and Sum of Tax Check must fall to zero.</t>
  </si>
  <si>
    <t>That is what proves the absolute reference is real rather than a hard-coded number.</t>
  </si>
  <si>
    <t>Tier 2 and Tier 3 findings</t>
  </si>
  <si>
    <t>Tier 2: the five rows where Unit price x Quantity does not equal cogs.</t>
  </si>
  <si>
    <t>Shared fault: every one of the five has a negative Quantity, so the Subtotal comes out as the negative of the correct figure while cogs stayed positive and correct.</t>
  </si>
  <si>
    <t>The gap checks out: 2 x (9,338 + 39,546 + 13,524 + 30,456 + 42,568) = ₦270,864.00.</t>
  </si>
  <si>
    <t>Tier 3: how many rows satisfy each of the export's three arithmetic relationships.</t>
  </si>
  <si>
    <t>Relationship</t>
  </si>
  <si>
    <t>Rows where it holds</t>
  </si>
  <si>
    <t>Rows where it fails</t>
  </si>
  <si>
    <t>Sales = cogs + Tax 5%</t>
  </si>
  <si>
    <t>Tax 5% = cogs x 0.05</t>
  </si>
  <si>
    <t>cogs = Unit price x Quantity</t>
  </si>
  <si>
    <t>Conclusion: every money column is internally consistent on all 1,025 rows. The only relationship that breaks is the one involving Quantity, on five rows, so the fault was</t>
  </si>
  <si>
    <t>introduced into the Quantity column alone and no financial total is affected by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</si>
</sst>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49" fontId="0" fillId="0" borderId="0" xfId="0" applyNumberFormat="1"/>
    <xf numFmtId="22" fontId="0" fillId="0" borderId="0" xfId="0" applyNumberFormat="1"/>
    <xf numFmtId="164" fontId="0" fillId="0" borderId="0" xfId="0" applyNumberFormat="1"/>
    <xf numFmtId="3" fontId="0" fillId="0" borderId="0" xfId="0" applyNumberFormat="1"/>
    <xf numFmtId="0" fontId="3" fillId="0" borderId="0" xfId="0" applyFont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14"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3" formatCode="#,##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27" formatCode="m/d/yyyy\ h:mm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099F1-849B-4BA9-8318-CCE716CCCAB5}" name="RawSales" displayName="RawSales" ref="A3:V1028" totalsRowShown="0">
  <autoFilter ref="A3:V1028" xr:uid="{107099F1-849B-4BA9-8318-CCE716CCCAB5}"/>
  <tableColumns count="22">
    <tableColumn id="1" xr3:uid="{D68303A9-EA70-464C-B200-8C0D17FC8E57}" name="Invoice ID" dataDxfId="13"/>
    <tableColumn id="2" xr3:uid="{9F00DA5A-7B7B-4C83-8040-927D3E05D69F}" name="Branch"/>
    <tableColumn id="3" xr3:uid="{C788974F-526F-4C11-9BAC-C57E66E8F0D7}" name="City"/>
    <tableColumn id="4" xr3:uid="{DC4556EF-9118-4E15-8746-4B0AFB74B659}" name="Customer type"/>
    <tableColumn id="5" xr3:uid="{0C2FAA6A-2D0E-4387-AAC1-681DE5AD2B94}" name="Gender"/>
    <tableColumn id="6" xr3:uid="{4C303CDF-0A05-4840-90DF-874149B92F89}" name="Product line"/>
    <tableColumn id="7" xr3:uid="{EC5BE349-EF29-4336-97B9-0EB5F250136E}" name="Unit price" dataDxfId="7"/>
    <tableColumn id="8" xr3:uid="{5FD06992-FA3F-431B-8AB1-190874EA4F76}" name="Quantity" dataDxfId="5"/>
    <tableColumn id="9" xr3:uid="{E603D114-6406-4524-9F21-790D1DAE9756}" name="Tax 5%" dataDxfId="6"/>
    <tableColumn id="10" xr3:uid="{BDE5AA5A-5DD0-4FE2-AA34-B9FB3BD31FDA}" name="Sales" dataDxfId="10"/>
    <tableColumn id="11" xr3:uid="{58A4F13C-9E06-472A-A324-917E8BCB7327}" name="Date" dataDxfId="11"/>
    <tableColumn id="12" xr3:uid="{1DE2E215-3766-4237-A484-7CF00363D2A8}" name="Time" dataDxfId="12"/>
    <tableColumn id="13" xr3:uid="{765661D9-635E-43D8-8614-1BA8A179588E}" name="Payment"/>
    <tableColumn id="14" xr3:uid="{3DEE72EC-1156-49F9-9730-61C577E87436}" name="cogs" dataDxfId="9"/>
    <tableColumn id="15" xr3:uid="{B5A804AF-E43F-4038-B4BC-E016CB02EB7F}" name="gross margin percentage"/>
    <tableColumn id="16" xr3:uid="{72697509-9E02-4064-941B-83FB6BB2C5DF}" name="gross income" dataDxfId="8"/>
    <tableColumn id="17" xr3:uid="{043D3483-12B7-4C93-9B59-EDE5D62DCEFE}" name="Rating"/>
    <tableColumn id="18" xr3:uid="{E055DEAB-3EE0-453A-B0E4-A42464FFD7BF}" name="Subtotal" dataDxfId="4">
      <calculatedColumnFormula>RawSales[[#This Row],[Unit price]]*RawSales[[#This Row],[Quantity]]</calculatedColumnFormula>
    </tableColumn>
    <tableColumn id="19" xr3:uid="{B59143E4-F36D-448E-82F5-1C30E7C5B221}" name="Tax Check" dataDxfId="3">
      <calculatedColumnFormula>RawSales[[#This Row],[Subtotal]]*$B$1</calculatedColumnFormula>
    </tableColumn>
    <tableColumn id="20" xr3:uid="{16E7591F-9022-4AFC-9A10-33344F935579}" name="Arithmetic Check" dataDxfId="2">
      <calculatedColumnFormula>ROUND(RawSales[[#This Row],[Subtotal]],2)=ROUND(RawSales[[#This Row],[cogs]],2)</calculatedColumnFormula>
    </tableColumn>
    <tableColumn id="21" xr3:uid="{9C2E546A-1848-4258-9C84-2CCD0CC20BDE}" name="Check tax" dataDxfId="1">
      <calculatedColumnFormula>ROUND(RawSales[[#This Row],[cogs]]*0.05,2)=ROUND(RawSales[[#This Row],[Tax 5%]],2)</calculatedColumnFormula>
    </tableColumn>
    <tableColumn id="22" xr3:uid="{6AA7B4B7-71D0-41FD-B96F-610898783C15}" name="Check sales" dataDxfId="0">
      <calculatedColumnFormula>ROUND(RawSales[[#This Row],[cogs]]+RawSales[[#This Row],[Tax 5%]],2)=ROUND(RawSales[[#This Row],[Sales]],2)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9CB6-B7F9-426F-A3C6-9B14A7349008}">
  <dimension ref="A1:V1028"/>
  <sheetViews>
    <sheetView tabSelected="1" workbookViewId="0"/>
  </sheetViews>
  <sheetFormatPr defaultRowHeight="14.5" x14ac:dyDescent="0.35"/>
  <cols>
    <col min="1" max="1" width="11" customWidth="1"/>
    <col min="4" max="4" width="15.1796875" customWidth="1"/>
    <col min="5" max="5" width="9" customWidth="1"/>
    <col min="6" max="6" width="12.90625" customWidth="1"/>
    <col min="7" max="7" width="10.90625" customWidth="1"/>
    <col min="8" max="8" width="10.1796875" customWidth="1"/>
    <col min="9" max="9" width="9.08984375" bestFit="1" customWidth="1"/>
    <col min="10" max="10" width="11.08984375" bestFit="1" customWidth="1"/>
    <col min="13" max="13" width="10.26953125" customWidth="1"/>
    <col min="14" max="14" width="10.08984375" bestFit="1" customWidth="1"/>
    <col min="15" max="15" width="23.26953125" customWidth="1"/>
    <col min="16" max="16" width="13.7265625" customWidth="1"/>
    <col min="18" max="18" width="10.7265625" bestFit="1" customWidth="1"/>
    <col min="19" max="19" width="9.7265625" bestFit="1" customWidth="1"/>
  </cols>
  <sheetData>
    <row r="1" spans="1:22" x14ac:dyDescent="0.35">
      <c r="A1" s="1" t="s">
        <v>0</v>
      </c>
      <c r="B1" s="2">
        <v>0.05</v>
      </c>
      <c r="D1" s="3" t="s">
        <v>1</v>
      </c>
    </row>
    <row r="3" spans="1:22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1588</v>
      </c>
      <c r="S3" t="s">
        <v>1589</v>
      </c>
      <c r="T3" t="s">
        <v>1590</v>
      </c>
      <c r="U3" t="s">
        <v>1591</v>
      </c>
      <c r="V3" t="s">
        <v>1592</v>
      </c>
    </row>
    <row r="4" spans="1:22" x14ac:dyDescent="0.35">
      <c r="A4" s="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6">
        <v>3636</v>
      </c>
      <c r="H4" s="7">
        <v>2</v>
      </c>
      <c r="I4" s="6">
        <v>363.6</v>
      </c>
      <c r="J4" s="6">
        <v>7635.6</v>
      </c>
      <c r="K4" s="5">
        <v>43485.958333333336</v>
      </c>
      <c r="L4" s="4" t="s">
        <v>25</v>
      </c>
      <c r="M4" t="s">
        <v>26</v>
      </c>
      <c r="N4" s="6">
        <v>7272</v>
      </c>
      <c r="O4">
        <v>4.7619047620000003</v>
      </c>
      <c r="P4" s="6">
        <v>363.6</v>
      </c>
      <c r="Q4">
        <v>7.1</v>
      </c>
      <c r="R4" s="6">
        <f>RawSales[[#This Row],[Unit price]]*RawSales[[#This Row],[Quantity]]</f>
        <v>7272</v>
      </c>
      <c r="S4" s="6">
        <f>RawSales[[#This Row],[Subtotal]]*$B$1</f>
        <v>363.6</v>
      </c>
      <c r="T4" s="6" t="b">
        <f>ROUND(RawSales[[#This Row],[Subtotal]],2)=ROUND(RawSales[[#This Row],[cogs]],2)</f>
        <v>1</v>
      </c>
      <c r="U4" s="6" t="b">
        <f>ROUND(RawSales[[#This Row],[cogs]]*0.05,2)=ROUND(RawSales[[#This Row],[Tax 5%]],2)</f>
        <v>1</v>
      </c>
      <c r="V4" s="6" t="b">
        <f>ROUND(RawSales[[#This Row],[cogs]]+RawSales[[#This Row],[Tax 5%]],2)=ROUND(RawSales[[#This Row],[Sales]],2)</f>
        <v>1</v>
      </c>
    </row>
    <row r="5" spans="1:22" x14ac:dyDescent="0.35">
      <c r="A5" s="4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6">
        <v>6219</v>
      </c>
      <c r="H5" s="7">
        <v>4</v>
      </c>
      <c r="I5" s="6">
        <v>1243.8</v>
      </c>
      <c r="J5" s="6">
        <v>26119.8</v>
      </c>
      <c r="K5" s="5">
        <v>43470.958333333336</v>
      </c>
      <c r="L5" s="4" t="s">
        <v>33</v>
      </c>
      <c r="M5" t="s">
        <v>34</v>
      </c>
      <c r="N5" s="6">
        <v>24876</v>
      </c>
      <c r="O5">
        <v>4.7619047620000003</v>
      </c>
      <c r="P5" s="6">
        <v>1243.8</v>
      </c>
      <c r="Q5">
        <v>4.3</v>
      </c>
      <c r="R5" s="6">
        <f>RawSales[[#This Row],[Unit price]]*RawSales[[#This Row],[Quantity]]</f>
        <v>24876</v>
      </c>
      <c r="S5" s="6">
        <f>RawSales[[#This Row],[Subtotal]]*$B$1</f>
        <v>1243.8000000000002</v>
      </c>
      <c r="T5" s="6" t="b">
        <f>ROUND(RawSales[[#This Row],[Subtotal]],2)=ROUND(RawSales[[#This Row],[cogs]],2)</f>
        <v>1</v>
      </c>
      <c r="U5" s="6" t="b">
        <f>ROUND(RawSales[[#This Row],[cogs]]*0.05,2)=ROUND(RawSales[[#This Row],[Tax 5%]],2)</f>
        <v>1</v>
      </c>
      <c r="V5" s="6" t="b">
        <f>ROUND(RawSales[[#This Row],[cogs]]+RawSales[[#This Row],[Tax 5%]],2)=ROUND(RawSales[[#This Row],[Sales]],2)</f>
        <v>1</v>
      </c>
    </row>
    <row r="6" spans="1:22" x14ac:dyDescent="0.35">
      <c r="A6" s="4" t="s">
        <v>35</v>
      </c>
      <c r="B6" t="s">
        <v>28</v>
      </c>
      <c r="C6" t="s">
        <v>29</v>
      </c>
      <c r="D6" t="s">
        <v>22</v>
      </c>
      <c r="E6" t="s">
        <v>31</v>
      </c>
      <c r="F6" t="s">
        <v>32</v>
      </c>
      <c r="G6" s="6">
        <v>2700</v>
      </c>
      <c r="H6" s="7">
        <v>9</v>
      </c>
      <c r="I6" s="6">
        <v>1215</v>
      </c>
      <c r="J6" s="6">
        <v>25515</v>
      </c>
      <c r="K6" s="5">
        <v>43525.958333333336</v>
      </c>
      <c r="L6" s="4" t="s">
        <v>36</v>
      </c>
      <c r="M6" t="s">
        <v>26</v>
      </c>
      <c r="N6" s="6">
        <v>24300</v>
      </c>
      <c r="O6">
        <v>4.7619047620000003</v>
      </c>
      <c r="P6" s="6">
        <v>1215</v>
      </c>
      <c r="R6" s="6">
        <f>RawSales[[#This Row],[Unit price]]*RawSales[[#This Row],[Quantity]]</f>
        <v>24300</v>
      </c>
      <c r="S6" s="6">
        <f>RawSales[[#This Row],[Subtotal]]*$B$1</f>
        <v>1215</v>
      </c>
      <c r="T6" s="6" t="b">
        <f>ROUND(RawSales[[#This Row],[Subtotal]],2)=ROUND(RawSales[[#This Row],[cogs]],2)</f>
        <v>1</v>
      </c>
      <c r="U6" s="6" t="b">
        <f>ROUND(RawSales[[#This Row],[cogs]]*0.05,2)=ROUND(RawSales[[#This Row],[Tax 5%]],2)</f>
        <v>1</v>
      </c>
      <c r="V6" s="6" t="b">
        <f>ROUND(RawSales[[#This Row],[cogs]]+RawSales[[#This Row],[Tax 5%]],2)=ROUND(RawSales[[#This Row],[Sales]],2)</f>
        <v>1</v>
      </c>
    </row>
    <row r="7" spans="1:22" x14ac:dyDescent="0.35">
      <c r="A7" s="4" t="s">
        <v>37</v>
      </c>
      <c r="B7" t="s">
        <v>38</v>
      </c>
      <c r="C7" t="s">
        <v>39</v>
      </c>
      <c r="D7" t="s">
        <v>30</v>
      </c>
      <c r="E7" t="s">
        <v>23</v>
      </c>
      <c r="F7" t="s">
        <v>40</v>
      </c>
      <c r="G7" s="6">
        <v>3280</v>
      </c>
      <c r="H7" s="7">
        <v>10</v>
      </c>
      <c r="I7" s="6">
        <v>1640</v>
      </c>
      <c r="J7" s="6">
        <v>34440</v>
      </c>
      <c r="K7" s="5">
        <v>43510.958333333336</v>
      </c>
      <c r="L7" s="4" t="s">
        <v>41</v>
      </c>
      <c r="M7" t="s">
        <v>26</v>
      </c>
      <c r="N7" s="6">
        <v>32800</v>
      </c>
      <c r="O7">
        <v>4.7619047620000003</v>
      </c>
      <c r="P7" s="6">
        <v>1640</v>
      </c>
      <c r="Q7">
        <v>6.2</v>
      </c>
      <c r="R7" s="6">
        <f>RawSales[[#This Row],[Unit price]]*RawSales[[#This Row],[Quantity]]</f>
        <v>32800</v>
      </c>
      <c r="S7" s="6">
        <f>RawSales[[#This Row],[Subtotal]]*$B$1</f>
        <v>1640</v>
      </c>
      <c r="T7" s="6" t="b">
        <f>ROUND(RawSales[[#This Row],[Subtotal]],2)=ROUND(RawSales[[#This Row],[cogs]],2)</f>
        <v>1</v>
      </c>
      <c r="U7" s="6" t="b">
        <f>ROUND(RawSales[[#This Row],[cogs]]*0.05,2)=ROUND(RawSales[[#This Row],[Tax 5%]],2)</f>
        <v>1</v>
      </c>
      <c r="V7" s="6" t="b">
        <f>ROUND(RawSales[[#This Row],[cogs]]+RawSales[[#This Row],[Tax 5%]],2)=ROUND(RawSales[[#This Row],[Sales]],2)</f>
        <v>1</v>
      </c>
    </row>
    <row r="8" spans="1:22" x14ac:dyDescent="0.35">
      <c r="A8" s="4" t="s">
        <v>42</v>
      </c>
      <c r="B8" t="s">
        <v>20</v>
      </c>
      <c r="C8" t="s">
        <v>21</v>
      </c>
      <c r="D8" t="s">
        <v>30</v>
      </c>
      <c r="E8" t="s">
        <v>23</v>
      </c>
      <c r="F8" t="s">
        <v>43</v>
      </c>
      <c r="G8" s="6">
        <v>6871</v>
      </c>
      <c r="H8" s="7">
        <v>3</v>
      </c>
      <c r="I8" s="6">
        <v>1030.6500000000001</v>
      </c>
      <c r="J8" s="6">
        <v>21643.65</v>
      </c>
      <c r="K8" s="5">
        <v>43527.958333333336</v>
      </c>
      <c r="L8" s="4" t="s">
        <v>44</v>
      </c>
      <c r="M8" t="s">
        <v>26</v>
      </c>
      <c r="N8" s="6">
        <v>20613</v>
      </c>
      <c r="O8">
        <v>4.7619047620000003</v>
      </c>
      <c r="P8" s="6">
        <v>1030.6500000000001</v>
      </c>
      <c r="Q8">
        <v>8.6999999999999993</v>
      </c>
      <c r="R8" s="6">
        <f>RawSales[[#This Row],[Unit price]]*RawSales[[#This Row],[Quantity]]</f>
        <v>20613</v>
      </c>
      <c r="S8" s="6">
        <f>RawSales[[#This Row],[Subtotal]]*$B$1</f>
        <v>1030.6500000000001</v>
      </c>
      <c r="T8" s="6" t="b">
        <f>ROUND(RawSales[[#This Row],[Subtotal]],2)=ROUND(RawSales[[#This Row],[cogs]],2)</f>
        <v>1</v>
      </c>
      <c r="U8" s="6" t="b">
        <f>ROUND(RawSales[[#This Row],[cogs]]*0.05,2)=ROUND(RawSales[[#This Row],[Tax 5%]],2)</f>
        <v>1</v>
      </c>
      <c r="V8" s="6" t="b">
        <f>ROUND(RawSales[[#This Row],[cogs]]+RawSales[[#This Row],[Tax 5%]],2)=ROUND(RawSales[[#This Row],[Sales]],2)</f>
        <v>1</v>
      </c>
    </row>
    <row r="9" spans="1:22" x14ac:dyDescent="0.35">
      <c r="A9" s="4" t="s">
        <v>45</v>
      </c>
      <c r="B9" t="s">
        <v>38</v>
      </c>
      <c r="C9" t="s">
        <v>39</v>
      </c>
      <c r="D9" t="s">
        <v>30</v>
      </c>
      <c r="E9" t="s">
        <v>23</v>
      </c>
      <c r="F9" t="s">
        <v>46</v>
      </c>
      <c r="G9" s="6">
        <v>7395</v>
      </c>
      <c r="H9" s="7">
        <v>4</v>
      </c>
      <c r="I9" s="6">
        <v>1479</v>
      </c>
      <c r="J9" s="6">
        <v>31059</v>
      </c>
      <c r="K9" s="5">
        <v>43498.958333333336</v>
      </c>
      <c r="L9" s="4" t="s">
        <v>47</v>
      </c>
      <c r="M9" t="s">
        <v>26</v>
      </c>
      <c r="N9" s="6">
        <v>29580</v>
      </c>
      <c r="O9">
        <v>4.7619047620000003</v>
      </c>
      <c r="P9" s="6">
        <v>1479</v>
      </c>
      <c r="Q9">
        <v>6.1</v>
      </c>
      <c r="R9" s="6">
        <f>RawSales[[#This Row],[Unit price]]*RawSales[[#This Row],[Quantity]]</f>
        <v>29580</v>
      </c>
      <c r="S9" s="6">
        <f>RawSales[[#This Row],[Subtotal]]*$B$1</f>
        <v>1479</v>
      </c>
      <c r="T9" s="6" t="b">
        <f>ROUND(RawSales[[#This Row],[Subtotal]],2)=ROUND(RawSales[[#This Row],[cogs]],2)</f>
        <v>1</v>
      </c>
      <c r="U9" s="6" t="b">
        <f>ROUND(RawSales[[#This Row],[cogs]]*0.05,2)=ROUND(RawSales[[#This Row],[Tax 5%]],2)</f>
        <v>1</v>
      </c>
      <c r="V9" s="6" t="b">
        <f>ROUND(RawSales[[#This Row],[cogs]]+RawSales[[#This Row],[Tax 5%]],2)=ROUND(RawSales[[#This Row],[Sales]],2)</f>
        <v>1</v>
      </c>
    </row>
    <row r="10" spans="1:22" x14ac:dyDescent="0.35">
      <c r="A10" s="4" t="s">
        <v>48</v>
      </c>
      <c r="B10" t="s">
        <v>28</v>
      </c>
      <c r="C10" t="s">
        <v>29</v>
      </c>
      <c r="D10" t="s">
        <v>22</v>
      </c>
      <c r="E10" t="s">
        <v>23</v>
      </c>
      <c r="F10" t="s">
        <v>49</v>
      </c>
      <c r="G10" s="6">
        <v>7396</v>
      </c>
      <c r="H10" s="7">
        <v>1</v>
      </c>
      <c r="I10" s="6">
        <v>369.8</v>
      </c>
      <c r="J10" s="6">
        <v>7765.8</v>
      </c>
      <c r="K10" s="5">
        <v>43469.958333333336</v>
      </c>
      <c r="L10" s="4" t="s">
        <v>50</v>
      </c>
      <c r="M10" t="s">
        <v>51</v>
      </c>
      <c r="N10" s="6">
        <v>7396</v>
      </c>
      <c r="O10">
        <v>4.7619047620000003</v>
      </c>
      <c r="P10" s="6">
        <v>369.8</v>
      </c>
      <c r="Q10">
        <v>5</v>
      </c>
      <c r="R10" s="6">
        <f>RawSales[[#This Row],[Unit price]]*RawSales[[#This Row],[Quantity]]</f>
        <v>7396</v>
      </c>
      <c r="S10" s="6">
        <f>RawSales[[#This Row],[Subtotal]]*$B$1</f>
        <v>369.8</v>
      </c>
      <c r="T10" s="6" t="b">
        <f>ROUND(RawSales[[#This Row],[Subtotal]],2)=ROUND(RawSales[[#This Row],[cogs]],2)</f>
        <v>1</v>
      </c>
      <c r="U10" s="6" t="b">
        <f>ROUND(RawSales[[#This Row],[cogs]]*0.05,2)=ROUND(RawSales[[#This Row],[Tax 5%]],2)</f>
        <v>1</v>
      </c>
      <c r="V10" s="6" t="b">
        <f>ROUND(RawSales[[#This Row],[cogs]]+RawSales[[#This Row],[Tax 5%]],2)=ROUND(RawSales[[#This Row],[Sales]],2)</f>
        <v>1</v>
      </c>
    </row>
    <row r="11" spans="1:22" x14ac:dyDescent="0.35">
      <c r="A11" s="4" t="s">
        <v>52</v>
      </c>
      <c r="B11" t="s">
        <v>38</v>
      </c>
      <c r="C11" t="s">
        <v>39</v>
      </c>
      <c r="D11" t="s">
        <v>22</v>
      </c>
      <c r="E11" t="s">
        <v>31</v>
      </c>
      <c r="F11" t="s">
        <v>24</v>
      </c>
      <c r="G11" s="6">
        <v>1704</v>
      </c>
      <c r="H11" s="7">
        <v>4</v>
      </c>
      <c r="I11" s="6">
        <v>340.8</v>
      </c>
      <c r="J11" s="6">
        <v>7156.8</v>
      </c>
      <c r="K11" s="5">
        <v>43531.958333333336</v>
      </c>
      <c r="L11" s="4" t="s">
        <v>53</v>
      </c>
      <c r="M11" t="s">
        <v>34</v>
      </c>
      <c r="N11" s="6">
        <v>6816</v>
      </c>
      <c r="O11">
        <v>4.7619047620000003</v>
      </c>
      <c r="P11" s="6">
        <v>340.8</v>
      </c>
      <c r="Q11">
        <v>7</v>
      </c>
      <c r="R11" s="6">
        <f>RawSales[[#This Row],[Unit price]]*RawSales[[#This Row],[Quantity]]</f>
        <v>6816</v>
      </c>
      <c r="S11" s="6">
        <f>RawSales[[#This Row],[Subtotal]]*$B$1</f>
        <v>340.8</v>
      </c>
      <c r="T11" s="6" t="b">
        <f>ROUND(RawSales[[#This Row],[Subtotal]],2)=ROUND(RawSales[[#This Row],[cogs]],2)</f>
        <v>1</v>
      </c>
      <c r="U11" s="6" t="b">
        <f>ROUND(RawSales[[#This Row],[cogs]]*0.05,2)=ROUND(RawSales[[#This Row],[Tax 5%]],2)</f>
        <v>1</v>
      </c>
      <c r="V11" s="6" t="b">
        <f>ROUND(RawSales[[#This Row],[cogs]]+RawSales[[#This Row],[Tax 5%]],2)=ROUND(RawSales[[#This Row],[Sales]],2)</f>
        <v>1</v>
      </c>
    </row>
    <row r="12" spans="1:22" x14ac:dyDescent="0.35">
      <c r="A12" s="4" t="s">
        <v>54</v>
      </c>
      <c r="B12" t="s">
        <v>38</v>
      </c>
      <c r="C12" t="s">
        <v>39</v>
      </c>
      <c r="D12" t="s">
        <v>22</v>
      </c>
      <c r="E12" t="s">
        <v>23</v>
      </c>
      <c r="F12" t="s">
        <v>55</v>
      </c>
      <c r="G12" s="6">
        <v>8925</v>
      </c>
      <c r="H12" s="7">
        <v>8</v>
      </c>
      <c r="I12" s="6">
        <v>3570</v>
      </c>
      <c r="J12" s="6">
        <v>74970</v>
      </c>
      <c r="K12" s="5">
        <v>43484.958333333336</v>
      </c>
      <c r="L12" s="4" t="s">
        <v>56</v>
      </c>
      <c r="M12" t="s">
        <v>26</v>
      </c>
      <c r="N12" s="6">
        <v>71400</v>
      </c>
      <c r="O12">
        <v>4.7619047620000003</v>
      </c>
      <c r="P12" s="6">
        <v>3570</v>
      </c>
      <c r="Q12">
        <v>4.7</v>
      </c>
      <c r="R12" s="6">
        <f>RawSales[[#This Row],[Unit price]]*RawSales[[#This Row],[Quantity]]</f>
        <v>71400</v>
      </c>
      <c r="S12" s="6">
        <f>RawSales[[#This Row],[Subtotal]]*$B$1</f>
        <v>3570</v>
      </c>
      <c r="T12" s="6" t="b">
        <f>ROUND(RawSales[[#This Row],[Subtotal]],2)=ROUND(RawSales[[#This Row],[cogs]],2)</f>
        <v>1</v>
      </c>
      <c r="U12" s="6" t="b">
        <f>ROUND(RawSales[[#This Row],[cogs]]*0.05,2)=ROUND(RawSales[[#This Row],[Tax 5%]],2)</f>
        <v>1</v>
      </c>
      <c r="V12" s="6" t="b">
        <f>ROUND(RawSales[[#This Row],[cogs]]+RawSales[[#This Row],[Tax 5%]],2)=ROUND(RawSales[[#This Row],[Sales]],2)</f>
        <v>1</v>
      </c>
    </row>
    <row r="13" spans="1:22" x14ac:dyDescent="0.35">
      <c r="A13" s="4" t="s">
        <v>57</v>
      </c>
      <c r="B13" t="s">
        <v>28</v>
      </c>
      <c r="C13" t="s">
        <v>29</v>
      </c>
      <c r="D13" t="s">
        <v>22</v>
      </c>
      <c r="E13" t="s">
        <v>31</v>
      </c>
      <c r="F13" t="s">
        <v>32</v>
      </c>
      <c r="G13" s="6">
        <v>7186</v>
      </c>
      <c r="H13" s="7">
        <v>8</v>
      </c>
      <c r="I13" s="6">
        <v>2874.4</v>
      </c>
      <c r="J13" s="6">
        <v>60362.400000000001</v>
      </c>
      <c r="K13" s="5">
        <v>43529.958333333336</v>
      </c>
      <c r="L13" s="4" t="s">
        <v>58</v>
      </c>
      <c r="M13" t="s">
        <v>51</v>
      </c>
      <c r="N13" s="6">
        <v>57488</v>
      </c>
      <c r="O13">
        <v>4.7619047620000003</v>
      </c>
      <c r="P13" s="6">
        <v>2874.4</v>
      </c>
      <c r="Q13">
        <v>6.2</v>
      </c>
      <c r="R13" s="6">
        <f>RawSales[[#This Row],[Unit price]]*RawSales[[#This Row],[Quantity]]</f>
        <v>57488</v>
      </c>
      <c r="S13" s="6">
        <f>RawSales[[#This Row],[Subtotal]]*$B$1</f>
        <v>2874.4</v>
      </c>
      <c r="T13" s="6" t="b">
        <f>ROUND(RawSales[[#This Row],[Subtotal]],2)=ROUND(RawSales[[#This Row],[cogs]],2)</f>
        <v>1</v>
      </c>
      <c r="U13" s="6" t="b">
        <f>ROUND(RawSales[[#This Row],[cogs]]*0.05,2)=ROUND(RawSales[[#This Row],[Tax 5%]],2)</f>
        <v>1</v>
      </c>
      <c r="V13" s="6" t="b">
        <f>ROUND(RawSales[[#This Row],[cogs]]+RawSales[[#This Row],[Tax 5%]],2)=ROUND(RawSales[[#This Row],[Sales]],2)</f>
        <v>1</v>
      </c>
    </row>
    <row r="14" spans="1:22" x14ac:dyDescent="0.35">
      <c r="A14" s="4" t="s">
        <v>59</v>
      </c>
      <c r="B14" t="s">
        <v>28</v>
      </c>
      <c r="C14" t="s">
        <v>29</v>
      </c>
      <c r="D14" t="s">
        <v>30</v>
      </c>
      <c r="E14" t="s">
        <v>23</v>
      </c>
      <c r="F14" t="s">
        <v>49</v>
      </c>
      <c r="G14" s="6">
        <v>3037</v>
      </c>
      <c r="H14" s="7">
        <v>3</v>
      </c>
      <c r="I14" s="6">
        <v>455.55</v>
      </c>
      <c r="J14" s="6">
        <v>9566.5499999999993</v>
      </c>
      <c r="K14" s="5">
        <v>43551.958333333336</v>
      </c>
      <c r="L14" s="4" t="s">
        <v>60</v>
      </c>
      <c r="M14" t="s">
        <v>34</v>
      </c>
      <c r="N14" s="6">
        <v>9111</v>
      </c>
      <c r="O14">
        <v>4.7619047620000003</v>
      </c>
      <c r="P14" s="6">
        <v>455.55</v>
      </c>
      <c r="Q14">
        <v>5.0999999999999996</v>
      </c>
      <c r="R14" s="6">
        <f>RawSales[[#This Row],[Unit price]]*RawSales[[#This Row],[Quantity]]</f>
        <v>9111</v>
      </c>
      <c r="S14" s="6">
        <f>RawSales[[#This Row],[Subtotal]]*$B$1</f>
        <v>455.55</v>
      </c>
      <c r="T14" s="6" t="b">
        <f>ROUND(RawSales[[#This Row],[Subtotal]],2)=ROUND(RawSales[[#This Row],[cogs]],2)</f>
        <v>1</v>
      </c>
      <c r="U14" s="6" t="b">
        <f>ROUND(RawSales[[#This Row],[cogs]]*0.05,2)=ROUND(RawSales[[#This Row],[Tax 5%]],2)</f>
        <v>1</v>
      </c>
      <c r="V14" s="6" t="b">
        <f>ROUND(RawSales[[#This Row],[cogs]]+RawSales[[#This Row],[Tax 5%]],2)=ROUND(RawSales[[#This Row],[Sales]],2)</f>
        <v>1</v>
      </c>
    </row>
    <row r="15" spans="1:22" x14ac:dyDescent="0.35">
      <c r="A15" s="4" t="s">
        <v>61</v>
      </c>
      <c r="B15" t="s">
        <v>38</v>
      </c>
      <c r="C15" t="s">
        <v>39</v>
      </c>
      <c r="D15" t="s">
        <v>30</v>
      </c>
      <c r="E15" t="s">
        <v>23</v>
      </c>
      <c r="F15" t="s">
        <v>62</v>
      </c>
      <c r="G15" s="6">
        <v>9880</v>
      </c>
      <c r="H15" s="7">
        <v>2</v>
      </c>
      <c r="I15" s="6">
        <v>988</v>
      </c>
      <c r="J15" s="6">
        <v>20748</v>
      </c>
      <c r="K15" s="5">
        <v>43516.958333333336</v>
      </c>
      <c r="L15" s="4" t="s">
        <v>63</v>
      </c>
      <c r="M15" t="s">
        <v>26</v>
      </c>
      <c r="N15" s="6">
        <v>19760</v>
      </c>
      <c r="O15">
        <v>4.7619047620000003</v>
      </c>
      <c r="P15" s="6">
        <v>988</v>
      </c>
      <c r="Q15">
        <v>7.7</v>
      </c>
      <c r="R15" s="6">
        <f>RawSales[[#This Row],[Unit price]]*RawSales[[#This Row],[Quantity]]</f>
        <v>19760</v>
      </c>
      <c r="S15" s="6">
        <f>RawSales[[#This Row],[Subtotal]]*$B$1</f>
        <v>988</v>
      </c>
      <c r="T15" s="6" t="b">
        <f>ROUND(RawSales[[#This Row],[Subtotal]],2)=ROUND(RawSales[[#This Row],[cogs]],2)</f>
        <v>1</v>
      </c>
      <c r="U15" s="6" t="b">
        <f>ROUND(RawSales[[#This Row],[cogs]]*0.05,2)=ROUND(RawSales[[#This Row],[Tax 5%]],2)</f>
        <v>1</v>
      </c>
      <c r="V15" s="6" t="b">
        <f>ROUND(RawSales[[#This Row],[cogs]]+RawSales[[#This Row],[Tax 5%]],2)=ROUND(RawSales[[#This Row],[Sales]],2)</f>
        <v>1</v>
      </c>
    </row>
    <row r="16" spans="1:22" x14ac:dyDescent="0.35">
      <c r="A16" s="4" t="s">
        <v>64</v>
      </c>
      <c r="B16" t="s">
        <v>28</v>
      </c>
      <c r="C16" t="s">
        <v>29</v>
      </c>
      <c r="D16" t="s">
        <v>22</v>
      </c>
      <c r="E16" t="s">
        <v>31</v>
      </c>
      <c r="F16" t="s">
        <v>49</v>
      </c>
      <c r="G16" s="6">
        <v>8131</v>
      </c>
      <c r="H16" s="7">
        <v>7</v>
      </c>
      <c r="I16" s="6">
        <v>2845.85</v>
      </c>
      <c r="J16" s="6">
        <v>59762.85</v>
      </c>
      <c r="K16" s="5">
        <v>43524.958333333336</v>
      </c>
      <c r="L16" s="4" t="s">
        <v>65</v>
      </c>
      <c r="M16" t="s">
        <v>34</v>
      </c>
      <c r="N16" s="6">
        <v>56917</v>
      </c>
      <c r="O16">
        <v>4.7619047620000003</v>
      </c>
      <c r="P16" s="6">
        <v>2845.85</v>
      </c>
      <c r="Q16">
        <v>6.3</v>
      </c>
      <c r="R16" s="6">
        <f>RawSales[[#This Row],[Unit price]]*RawSales[[#This Row],[Quantity]]</f>
        <v>56917</v>
      </c>
      <c r="S16" s="6">
        <f>RawSales[[#This Row],[Subtotal]]*$B$1</f>
        <v>2845.8500000000004</v>
      </c>
      <c r="T16" s="6" t="b">
        <f>ROUND(RawSales[[#This Row],[Subtotal]],2)=ROUND(RawSales[[#This Row],[cogs]],2)</f>
        <v>1</v>
      </c>
      <c r="U16" s="6" t="b">
        <f>ROUND(RawSales[[#This Row],[cogs]]*0.05,2)=ROUND(RawSales[[#This Row],[Tax 5%]],2)</f>
        <v>1</v>
      </c>
      <c r="V16" s="6" t="b">
        <f>ROUND(RawSales[[#This Row],[cogs]]+RawSales[[#This Row],[Tax 5%]],2)=ROUND(RawSales[[#This Row],[Sales]],2)</f>
        <v>1</v>
      </c>
    </row>
    <row r="17" spans="1:22" x14ac:dyDescent="0.35">
      <c r="A17" s="4" t="s">
        <v>66</v>
      </c>
      <c r="B17" t="s">
        <v>38</v>
      </c>
      <c r="C17" t="s">
        <v>39</v>
      </c>
      <c r="D17" t="s">
        <v>22</v>
      </c>
      <c r="E17" t="s">
        <v>23</v>
      </c>
      <c r="F17" t="s">
        <v>43</v>
      </c>
      <c r="G17" s="6">
        <v>3715</v>
      </c>
      <c r="H17" s="7">
        <v>7</v>
      </c>
      <c r="I17" s="6">
        <v>1300.25</v>
      </c>
      <c r="J17" s="6">
        <v>27305.25</v>
      </c>
      <c r="K17" s="5">
        <v>43503.958333333336</v>
      </c>
      <c r="L17" s="4" t="s">
        <v>67</v>
      </c>
      <c r="M17" t="s">
        <v>51</v>
      </c>
      <c r="N17" s="6">
        <v>26005</v>
      </c>
      <c r="O17">
        <v>4.7619047620000003</v>
      </c>
      <c r="P17" s="6">
        <v>1300.25</v>
      </c>
      <c r="Q17">
        <v>7.7</v>
      </c>
      <c r="R17" s="6">
        <f>RawSales[[#This Row],[Unit price]]*RawSales[[#This Row],[Quantity]]</f>
        <v>26005</v>
      </c>
      <c r="S17" s="6">
        <f>RawSales[[#This Row],[Subtotal]]*$B$1</f>
        <v>1300.25</v>
      </c>
      <c r="T17" s="6" t="b">
        <f>ROUND(RawSales[[#This Row],[Subtotal]],2)=ROUND(RawSales[[#This Row],[cogs]],2)</f>
        <v>1</v>
      </c>
      <c r="U17" s="6" t="b">
        <f>ROUND(RawSales[[#This Row],[cogs]]*0.05,2)=ROUND(RawSales[[#This Row],[Tax 5%]],2)</f>
        <v>1</v>
      </c>
      <c r="V17" s="6" t="b">
        <f>ROUND(RawSales[[#This Row],[cogs]]+RawSales[[#This Row],[Tax 5%]],2)=ROUND(RawSales[[#This Row],[Sales]],2)</f>
        <v>1</v>
      </c>
    </row>
    <row r="18" spans="1:22" x14ac:dyDescent="0.35">
      <c r="A18" s="4" t="s">
        <v>68</v>
      </c>
      <c r="B18" t="s">
        <v>38</v>
      </c>
      <c r="C18" t="s">
        <v>39</v>
      </c>
      <c r="D18" t="s">
        <v>30</v>
      </c>
      <c r="E18" t="s">
        <v>31</v>
      </c>
      <c r="F18" t="s">
        <v>43</v>
      </c>
      <c r="G18" s="6">
        <v>1741</v>
      </c>
      <c r="H18" s="7">
        <v>5</v>
      </c>
      <c r="I18" s="6">
        <v>435.25</v>
      </c>
      <c r="J18" s="6">
        <v>9140.25</v>
      </c>
      <c r="K18" s="5">
        <v>43492.958333333336</v>
      </c>
      <c r="L18" s="4" t="s">
        <v>69</v>
      </c>
      <c r="M18" t="s">
        <v>51</v>
      </c>
      <c r="N18" s="6">
        <v>8705</v>
      </c>
      <c r="O18">
        <v>4.7619047620000003</v>
      </c>
      <c r="P18" s="6">
        <v>435.25</v>
      </c>
      <c r="Q18">
        <v>4.9000000000000004</v>
      </c>
      <c r="R18" s="6">
        <f>RawSales[[#This Row],[Unit price]]*RawSales[[#This Row],[Quantity]]</f>
        <v>8705</v>
      </c>
      <c r="S18" s="6">
        <f>RawSales[[#This Row],[Subtotal]]*$B$1</f>
        <v>435.25</v>
      </c>
      <c r="T18" s="6" t="b">
        <f>ROUND(RawSales[[#This Row],[Subtotal]],2)=ROUND(RawSales[[#This Row],[cogs]],2)</f>
        <v>1</v>
      </c>
      <c r="U18" s="6" t="b">
        <f>ROUND(RawSales[[#This Row],[cogs]]*0.05,2)=ROUND(RawSales[[#This Row],[Tax 5%]],2)</f>
        <v>1</v>
      </c>
      <c r="V18" s="6" t="b">
        <f>ROUND(RawSales[[#This Row],[cogs]]+RawSales[[#This Row],[Tax 5%]],2)=ROUND(RawSales[[#This Row],[Sales]],2)</f>
        <v>1</v>
      </c>
    </row>
    <row r="19" spans="1:22" x14ac:dyDescent="0.35">
      <c r="A19" s="4" t="s">
        <v>70</v>
      </c>
      <c r="B19" t="s">
        <v>38</v>
      </c>
      <c r="C19" t="s">
        <v>39</v>
      </c>
      <c r="D19" t="s">
        <v>22</v>
      </c>
      <c r="E19" t="s">
        <v>23</v>
      </c>
      <c r="F19" t="s">
        <v>24</v>
      </c>
      <c r="G19" s="6">
        <v>9942</v>
      </c>
      <c r="H19" s="7">
        <v>4</v>
      </c>
      <c r="I19" s="6">
        <v>1988.4</v>
      </c>
      <c r="J19" s="6">
        <v>41756.400000000001</v>
      </c>
      <c r="K19" s="5">
        <v>43501.958333333336</v>
      </c>
      <c r="L19" s="4" t="s">
        <v>71</v>
      </c>
      <c r="M19" t="s">
        <v>34</v>
      </c>
      <c r="N19" s="6">
        <v>39768</v>
      </c>
      <c r="O19">
        <v>4.7619047620000003</v>
      </c>
      <c r="P19" s="6">
        <v>1988.4</v>
      </c>
      <c r="Q19">
        <v>7.5</v>
      </c>
      <c r="R19" s="6">
        <f>RawSales[[#This Row],[Unit price]]*RawSales[[#This Row],[Quantity]]</f>
        <v>39768</v>
      </c>
      <c r="S19" s="6">
        <f>RawSales[[#This Row],[Subtotal]]*$B$1</f>
        <v>1988.4</v>
      </c>
      <c r="T19" s="6" t="b">
        <f>ROUND(RawSales[[#This Row],[Subtotal]],2)=ROUND(RawSales[[#This Row],[cogs]],2)</f>
        <v>1</v>
      </c>
      <c r="U19" s="6" t="b">
        <f>ROUND(RawSales[[#This Row],[cogs]]*0.05,2)=ROUND(RawSales[[#This Row],[Tax 5%]],2)</f>
        <v>1</v>
      </c>
      <c r="V19" s="6" t="b">
        <f>ROUND(RawSales[[#This Row],[cogs]]+RawSales[[#This Row],[Tax 5%]],2)=ROUND(RawSales[[#This Row],[Sales]],2)</f>
        <v>1</v>
      </c>
    </row>
    <row r="20" spans="1:22" x14ac:dyDescent="0.35">
      <c r="A20" s="4" t="s">
        <v>72</v>
      </c>
      <c r="B20" t="s">
        <v>28</v>
      </c>
      <c r="C20" t="s">
        <v>29</v>
      </c>
      <c r="D20" t="s">
        <v>22</v>
      </c>
      <c r="E20" t="s">
        <v>23</v>
      </c>
      <c r="F20" t="s">
        <v>40</v>
      </c>
      <c r="G20" s="6">
        <v>2551</v>
      </c>
      <c r="H20" s="7">
        <v>4</v>
      </c>
      <c r="I20" s="6">
        <v>510.2</v>
      </c>
      <c r="J20" s="6">
        <v>10714.2</v>
      </c>
      <c r="K20" s="5">
        <v>43532.958333333336</v>
      </c>
      <c r="L20" s="4" t="s">
        <v>73</v>
      </c>
      <c r="M20" t="s">
        <v>26</v>
      </c>
      <c r="N20" s="6">
        <v>10204</v>
      </c>
      <c r="O20">
        <v>4.7619047620000003</v>
      </c>
      <c r="P20" s="6">
        <v>510.2</v>
      </c>
      <c r="Q20">
        <v>6.8</v>
      </c>
      <c r="R20" s="6">
        <f>RawSales[[#This Row],[Unit price]]*RawSales[[#This Row],[Quantity]]</f>
        <v>10204</v>
      </c>
      <c r="S20" s="6">
        <f>RawSales[[#This Row],[Subtotal]]*$B$1</f>
        <v>510.20000000000005</v>
      </c>
      <c r="T20" s="6" t="b">
        <f>ROUND(RawSales[[#This Row],[Subtotal]],2)=ROUND(RawSales[[#This Row],[cogs]],2)</f>
        <v>1</v>
      </c>
      <c r="U20" s="6" t="b">
        <f>ROUND(RawSales[[#This Row],[cogs]]*0.05,2)=ROUND(RawSales[[#This Row],[Tax 5%]],2)</f>
        <v>1</v>
      </c>
      <c r="V20" s="6" t="b">
        <f>ROUND(RawSales[[#This Row],[cogs]]+RawSales[[#This Row],[Tax 5%]],2)=ROUND(RawSales[[#This Row],[Sales]],2)</f>
        <v>1</v>
      </c>
    </row>
    <row r="21" spans="1:22" x14ac:dyDescent="0.35">
      <c r="A21" s="4" t="s">
        <v>74</v>
      </c>
      <c r="B21" t="s">
        <v>20</v>
      </c>
      <c r="C21" t="s">
        <v>21</v>
      </c>
      <c r="D21" t="s">
        <v>30</v>
      </c>
      <c r="E21" t="s">
        <v>23</v>
      </c>
      <c r="F21" t="s">
        <v>62</v>
      </c>
      <c r="G21" s="6">
        <v>1910</v>
      </c>
      <c r="H21" s="7">
        <v>7</v>
      </c>
      <c r="I21" s="6">
        <v>668.5</v>
      </c>
      <c r="J21" s="6">
        <v>14038.5</v>
      </c>
      <c r="K21" s="5">
        <v>43479.958333333336</v>
      </c>
      <c r="L21" s="4" t="s">
        <v>75</v>
      </c>
      <c r="M21" t="s">
        <v>26</v>
      </c>
      <c r="N21" s="6">
        <v>13370</v>
      </c>
      <c r="O21">
        <v>4.7619047620000003</v>
      </c>
      <c r="P21" s="6">
        <v>668.5</v>
      </c>
      <c r="Q21">
        <v>9.6999999999999993</v>
      </c>
      <c r="R21" s="6">
        <f>RawSales[[#This Row],[Unit price]]*RawSales[[#This Row],[Quantity]]</f>
        <v>13370</v>
      </c>
      <c r="S21" s="6">
        <f>RawSales[[#This Row],[Subtotal]]*$B$1</f>
        <v>668.5</v>
      </c>
      <c r="T21" s="6" t="b">
        <f>ROUND(RawSales[[#This Row],[Subtotal]],2)=ROUND(RawSales[[#This Row],[cogs]],2)</f>
        <v>1</v>
      </c>
      <c r="U21" s="6" t="b">
        <f>ROUND(RawSales[[#This Row],[cogs]]*0.05,2)=ROUND(RawSales[[#This Row],[Tax 5%]],2)</f>
        <v>1</v>
      </c>
      <c r="V21" s="6" t="b">
        <f>ROUND(RawSales[[#This Row],[cogs]]+RawSales[[#This Row],[Tax 5%]],2)=ROUND(RawSales[[#This Row],[Sales]],2)</f>
        <v>1</v>
      </c>
    </row>
    <row r="22" spans="1:22" x14ac:dyDescent="0.35">
      <c r="A22" s="4" t="s">
        <v>76</v>
      </c>
      <c r="B22" t="s">
        <v>38</v>
      </c>
      <c r="C22" t="s">
        <v>39</v>
      </c>
      <c r="D22" t="s">
        <v>22</v>
      </c>
      <c r="E22" t="s">
        <v>31</v>
      </c>
      <c r="F22" t="s">
        <v>43</v>
      </c>
      <c r="G22" s="6">
        <v>4653</v>
      </c>
      <c r="H22" s="7">
        <v>6</v>
      </c>
      <c r="I22" s="6">
        <v>1395.9</v>
      </c>
      <c r="J22" s="6">
        <v>29313.9</v>
      </c>
      <c r="K22" s="5">
        <v>43526.958333333336</v>
      </c>
      <c r="L22" s="4" t="s">
        <v>77</v>
      </c>
      <c r="M22" t="s">
        <v>51</v>
      </c>
      <c r="N22" s="6">
        <v>27918</v>
      </c>
      <c r="O22">
        <v>4.7619047620000003</v>
      </c>
      <c r="P22" s="6">
        <v>1395.9</v>
      </c>
      <c r="Q22">
        <v>4.3</v>
      </c>
      <c r="R22" s="6">
        <f>RawSales[[#This Row],[Unit price]]*RawSales[[#This Row],[Quantity]]</f>
        <v>27918</v>
      </c>
      <c r="S22" s="6">
        <f>RawSales[[#This Row],[Subtotal]]*$B$1</f>
        <v>1395.9</v>
      </c>
      <c r="T22" s="6" t="b">
        <f>ROUND(RawSales[[#This Row],[Subtotal]],2)=ROUND(RawSales[[#This Row],[cogs]],2)</f>
        <v>1</v>
      </c>
      <c r="U22" s="6" t="b">
        <f>ROUND(RawSales[[#This Row],[cogs]]*0.05,2)=ROUND(RawSales[[#This Row],[Tax 5%]],2)</f>
        <v>1</v>
      </c>
      <c r="V22" s="6" t="b">
        <f>ROUND(RawSales[[#This Row],[cogs]]+RawSales[[#This Row],[Tax 5%]],2)=ROUND(RawSales[[#This Row],[Sales]],2)</f>
        <v>1</v>
      </c>
    </row>
    <row r="23" spans="1:22" x14ac:dyDescent="0.35">
      <c r="A23" s="4" t="s">
        <v>78</v>
      </c>
      <c r="B23" t="s">
        <v>38</v>
      </c>
      <c r="C23" t="s">
        <v>39</v>
      </c>
      <c r="D23" t="s">
        <v>22</v>
      </c>
      <c r="E23" t="s">
        <v>23</v>
      </c>
      <c r="F23" t="s">
        <v>49</v>
      </c>
      <c r="G23" s="6">
        <v>5147</v>
      </c>
      <c r="H23" s="7">
        <v>1</v>
      </c>
      <c r="I23" s="6">
        <v>257.35000000000002</v>
      </c>
      <c r="J23" s="6">
        <v>5404.35</v>
      </c>
      <c r="K23" s="5">
        <v>43541.958333333336</v>
      </c>
      <c r="L23" s="4" t="s">
        <v>79</v>
      </c>
      <c r="M23" t="s">
        <v>34</v>
      </c>
      <c r="N23" s="6">
        <v>5147</v>
      </c>
      <c r="O23">
        <v>4.7619047620000003</v>
      </c>
      <c r="P23" s="6">
        <v>257.35000000000002</v>
      </c>
      <c r="Q23">
        <v>8.5</v>
      </c>
      <c r="R23" s="6">
        <f>RawSales[[#This Row],[Unit price]]*RawSales[[#This Row],[Quantity]]</f>
        <v>5147</v>
      </c>
      <c r="S23" s="6">
        <f>RawSales[[#This Row],[Subtotal]]*$B$1</f>
        <v>257.35000000000002</v>
      </c>
      <c r="T23" s="6" t="b">
        <f>ROUND(RawSales[[#This Row],[Subtotal]],2)=ROUND(RawSales[[#This Row],[cogs]],2)</f>
        <v>1</v>
      </c>
      <c r="U23" s="6" t="b">
        <f>ROUND(RawSales[[#This Row],[cogs]]*0.05,2)=ROUND(RawSales[[#This Row],[Tax 5%]],2)</f>
        <v>1</v>
      </c>
      <c r="V23" s="6" t="b">
        <f>ROUND(RawSales[[#This Row],[cogs]]+RawSales[[#This Row],[Tax 5%]],2)=ROUND(RawSales[[#This Row],[Sales]],2)</f>
        <v>1</v>
      </c>
    </row>
    <row r="24" spans="1:22" x14ac:dyDescent="0.35">
      <c r="A24" s="4" t="s">
        <v>80</v>
      </c>
      <c r="B24" t="s">
        <v>28</v>
      </c>
      <c r="C24" t="s">
        <v>29</v>
      </c>
      <c r="D24" t="s">
        <v>22</v>
      </c>
      <c r="E24" t="s">
        <v>23</v>
      </c>
      <c r="F24" t="s">
        <v>40</v>
      </c>
      <c r="G24" s="6">
        <v>8745</v>
      </c>
      <c r="H24" s="7">
        <v>6</v>
      </c>
      <c r="I24" s="6">
        <v>2623.5</v>
      </c>
      <c r="J24" s="6">
        <v>55093.5</v>
      </c>
      <c r="K24" s="4" t="s">
        <v>81</v>
      </c>
      <c r="L24" s="4" t="s">
        <v>82</v>
      </c>
      <c r="M24" t="s">
        <v>51</v>
      </c>
      <c r="N24" s="6">
        <v>52470</v>
      </c>
      <c r="O24">
        <v>4.7619047620000003</v>
      </c>
      <c r="P24" s="6">
        <v>2623.5</v>
      </c>
      <c r="Q24">
        <v>8.8000000000000007</v>
      </c>
      <c r="R24" s="6">
        <f>RawSales[[#This Row],[Unit price]]*RawSales[[#This Row],[Quantity]]</f>
        <v>52470</v>
      </c>
      <c r="S24" s="6">
        <f>RawSales[[#This Row],[Subtotal]]*$B$1</f>
        <v>2623.5</v>
      </c>
      <c r="T24" s="6" t="b">
        <f>ROUND(RawSales[[#This Row],[Subtotal]],2)=ROUND(RawSales[[#This Row],[cogs]],2)</f>
        <v>1</v>
      </c>
      <c r="U24" s="6" t="b">
        <f>ROUND(RawSales[[#This Row],[cogs]]*0.05,2)=ROUND(RawSales[[#This Row],[Tax 5%]],2)</f>
        <v>1</v>
      </c>
      <c r="V24" s="6" t="b">
        <f>ROUND(RawSales[[#This Row],[cogs]]+RawSales[[#This Row],[Tax 5%]],2)=ROUND(RawSales[[#This Row],[Sales]],2)</f>
        <v>1</v>
      </c>
    </row>
    <row r="25" spans="1:22" x14ac:dyDescent="0.35">
      <c r="A25" s="4" t="s">
        <v>83</v>
      </c>
      <c r="B25" t="s">
        <v>38</v>
      </c>
      <c r="C25" t="s">
        <v>39</v>
      </c>
      <c r="D25" t="s">
        <v>22</v>
      </c>
      <c r="E25" t="s">
        <v>31</v>
      </c>
      <c r="F25" t="s">
        <v>55</v>
      </c>
      <c r="G25" s="6">
        <v>7486</v>
      </c>
      <c r="H25" s="7">
        <v>1</v>
      </c>
      <c r="I25" s="6">
        <v>374.3</v>
      </c>
      <c r="J25" s="6">
        <v>7860.3</v>
      </c>
      <c r="K25" s="5">
        <v>43547.958333333336</v>
      </c>
      <c r="L25" s="4" t="s">
        <v>84</v>
      </c>
      <c r="M25" t="s">
        <v>26</v>
      </c>
      <c r="N25" s="6">
        <v>7486</v>
      </c>
      <c r="O25">
        <v>4.7619047620000003</v>
      </c>
      <c r="P25" s="6">
        <v>374.3</v>
      </c>
      <c r="Q25">
        <v>6.9</v>
      </c>
      <c r="R25" s="6">
        <f>RawSales[[#This Row],[Unit price]]*RawSales[[#This Row],[Quantity]]</f>
        <v>7486</v>
      </c>
      <c r="S25" s="6">
        <f>RawSales[[#This Row],[Subtotal]]*$B$1</f>
        <v>374.3</v>
      </c>
      <c r="T25" s="6" t="b">
        <f>ROUND(RawSales[[#This Row],[Subtotal]],2)=ROUND(RawSales[[#This Row],[cogs]],2)</f>
        <v>1</v>
      </c>
      <c r="U25" s="6" t="b">
        <f>ROUND(RawSales[[#This Row],[cogs]]*0.05,2)=ROUND(RawSales[[#This Row],[Tax 5%]],2)</f>
        <v>1</v>
      </c>
      <c r="V25" s="6" t="b">
        <f>ROUND(RawSales[[#This Row],[cogs]]+RawSales[[#This Row],[Tax 5%]],2)=ROUND(RawSales[[#This Row],[Sales]],2)</f>
        <v>1</v>
      </c>
    </row>
    <row r="26" spans="1:22" x14ac:dyDescent="0.35">
      <c r="A26" s="4" t="s">
        <v>85</v>
      </c>
      <c r="B26" t="s">
        <v>28</v>
      </c>
      <c r="C26" t="s">
        <v>29</v>
      </c>
      <c r="D26" t="s">
        <v>30</v>
      </c>
      <c r="E26" t="s">
        <v>31</v>
      </c>
      <c r="F26" t="s">
        <v>62</v>
      </c>
      <c r="G26" s="6">
        <v>9338</v>
      </c>
      <c r="H26" s="7">
        <v>-1</v>
      </c>
      <c r="I26" s="6">
        <v>466.9</v>
      </c>
      <c r="J26" s="6">
        <v>9804.9</v>
      </c>
      <c r="K26" s="5">
        <v>43467.958333333336</v>
      </c>
      <c r="L26" s="4" t="s">
        <v>86</v>
      </c>
      <c r="M26" t="s">
        <v>26</v>
      </c>
      <c r="N26" s="6">
        <v>9338</v>
      </c>
      <c r="O26">
        <v>4.7619047620000003</v>
      </c>
      <c r="P26" s="6">
        <v>466.9</v>
      </c>
      <c r="Q26">
        <v>9.6</v>
      </c>
      <c r="R26" s="6">
        <f>RawSales[[#This Row],[Unit price]]*RawSales[[#This Row],[Quantity]]</f>
        <v>-9338</v>
      </c>
      <c r="S26" s="6">
        <f>RawSales[[#This Row],[Subtotal]]*$B$1</f>
        <v>-466.90000000000003</v>
      </c>
      <c r="T26" s="6" t="b">
        <f>ROUND(RawSales[[#This Row],[Subtotal]],2)=ROUND(RawSales[[#This Row],[cogs]],2)</f>
        <v>0</v>
      </c>
      <c r="U26" s="6" t="b">
        <f>ROUND(RawSales[[#This Row],[cogs]]*0.05,2)=ROUND(RawSales[[#This Row],[Tax 5%]],2)</f>
        <v>1</v>
      </c>
      <c r="V26" s="6" t="b">
        <f>ROUND(RawSales[[#This Row],[cogs]]+RawSales[[#This Row],[Tax 5%]],2)=ROUND(RawSales[[#This Row],[Sales]],2)</f>
        <v>1</v>
      </c>
    </row>
    <row r="27" spans="1:22" x14ac:dyDescent="0.35">
      <c r="A27" s="4" t="s">
        <v>87</v>
      </c>
      <c r="B27" t="s">
        <v>20</v>
      </c>
      <c r="C27" t="s">
        <v>21</v>
      </c>
      <c r="D27" t="s">
        <v>22</v>
      </c>
      <c r="E27" t="s">
        <v>23</v>
      </c>
      <c r="F27" t="s">
        <v>43</v>
      </c>
      <c r="G27" s="6">
        <v>9658</v>
      </c>
      <c r="H27" s="7">
        <v>2</v>
      </c>
      <c r="I27" s="6">
        <v>965.8</v>
      </c>
      <c r="J27" s="6">
        <v>20281.8</v>
      </c>
      <c r="K27" s="5">
        <v>43538.958333333336</v>
      </c>
      <c r="L27" s="4" t="s">
        <v>88</v>
      </c>
      <c r="M27" t="s">
        <v>51</v>
      </c>
      <c r="N27" s="6">
        <v>19316</v>
      </c>
      <c r="O27">
        <v>4.7619047620000003</v>
      </c>
      <c r="P27" s="6">
        <v>965.8</v>
      </c>
      <c r="Q27">
        <v>5.0999999999999996</v>
      </c>
      <c r="R27" s="6">
        <f>RawSales[[#This Row],[Unit price]]*RawSales[[#This Row],[Quantity]]</f>
        <v>19316</v>
      </c>
      <c r="S27" s="6">
        <f>RawSales[[#This Row],[Subtotal]]*$B$1</f>
        <v>965.80000000000007</v>
      </c>
      <c r="T27" s="6" t="b">
        <f>ROUND(RawSales[[#This Row],[Subtotal]],2)=ROUND(RawSales[[#This Row],[cogs]],2)</f>
        <v>1</v>
      </c>
      <c r="U27" s="6" t="b">
        <f>ROUND(RawSales[[#This Row],[cogs]]*0.05,2)=ROUND(RawSales[[#This Row],[Tax 5%]],2)</f>
        <v>1</v>
      </c>
      <c r="V27" s="6" t="b">
        <f>ROUND(RawSales[[#This Row],[cogs]]+RawSales[[#This Row],[Tax 5%]],2)=ROUND(RawSales[[#This Row],[Sales]],2)</f>
        <v>1</v>
      </c>
    </row>
    <row r="28" spans="1:22" x14ac:dyDescent="0.35">
      <c r="A28" s="4" t="s">
        <v>89</v>
      </c>
      <c r="B28" t="s">
        <v>38</v>
      </c>
      <c r="C28" t="s">
        <v>39</v>
      </c>
      <c r="D28" t="s">
        <v>30</v>
      </c>
      <c r="E28" t="s">
        <v>31</v>
      </c>
      <c r="F28" t="s">
        <v>40</v>
      </c>
      <c r="G28" s="6">
        <v>5876</v>
      </c>
      <c r="H28" s="7">
        <v>10</v>
      </c>
      <c r="I28" s="6">
        <v>2938</v>
      </c>
      <c r="J28" s="6">
        <v>61698</v>
      </c>
      <c r="K28" s="5">
        <v>43493.958333333336</v>
      </c>
      <c r="L28" s="4" t="s">
        <v>90</v>
      </c>
      <c r="M28" t="s">
        <v>34</v>
      </c>
      <c r="N28" s="6">
        <v>58760</v>
      </c>
      <c r="O28">
        <v>4.7619047620000003</v>
      </c>
      <c r="P28" s="6">
        <v>2938</v>
      </c>
      <c r="Q28">
        <v>9</v>
      </c>
      <c r="R28" s="6">
        <f>RawSales[[#This Row],[Unit price]]*RawSales[[#This Row],[Quantity]]</f>
        <v>58760</v>
      </c>
      <c r="S28" s="6">
        <f>RawSales[[#This Row],[Subtotal]]*$B$1</f>
        <v>2938</v>
      </c>
      <c r="T28" s="6" t="b">
        <f>ROUND(RawSales[[#This Row],[Subtotal]],2)=ROUND(RawSales[[#This Row],[cogs]],2)</f>
        <v>1</v>
      </c>
      <c r="U28" s="6" t="b">
        <f>ROUND(RawSales[[#This Row],[cogs]]*0.05,2)=ROUND(RawSales[[#This Row],[Tax 5%]],2)</f>
        <v>1</v>
      </c>
      <c r="V28" s="6" t="b">
        <f>ROUND(RawSales[[#This Row],[cogs]]+RawSales[[#This Row],[Tax 5%]],2)=ROUND(RawSales[[#This Row],[Sales]],2)</f>
        <v>1</v>
      </c>
    </row>
    <row r="29" spans="1:22" x14ac:dyDescent="0.35">
      <c r="A29" s="4" t="s">
        <v>91</v>
      </c>
      <c r="B29" t="s">
        <v>38</v>
      </c>
      <c r="C29" t="s">
        <v>39</v>
      </c>
      <c r="D29" t="s">
        <v>30</v>
      </c>
      <c r="E29" t="s">
        <v>23</v>
      </c>
      <c r="F29" t="s">
        <v>49</v>
      </c>
      <c r="G29" s="6">
        <v>7606</v>
      </c>
      <c r="H29" s="7">
        <v>3</v>
      </c>
      <c r="I29" s="6">
        <v>1140.9000000000001</v>
      </c>
      <c r="J29" s="6">
        <v>23958.9</v>
      </c>
      <c r="K29" s="5">
        <v>43469.958333333336</v>
      </c>
      <c r="L29" s="4" t="s">
        <v>92</v>
      </c>
      <c r="M29" t="s">
        <v>51</v>
      </c>
      <c r="N29" s="6">
        <v>22818</v>
      </c>
      <c r="O29">
        <v>4.7619047620000003</v>
      </c>
      <c r="P29" s="6">
        <v>1140.9000000000001</v>
      </c>
      <c r="Q29">
        <v>9.8000000000000007</v>
      </c>
      <c r="R29" s="6">
        <f>RawSales[[#This Row],[Unit price]]*RawSales[[#This Row],[Quantity]]</f>
        <v>22818</v>
      </c>
      <c r="S29" s="6">
        <f>RawSales[[#This Row],[Subtotal]]*$B$1</f>
        <v>1140.9000000000001</v>
      </c>
      <c r="T29" s="6" t="b">
        <f>ROUND(RawSales[[#This Row],[Subtotal]],2)=ROUND(RawSales[[#This Row],[cogs]],2)</f>
        <v>1</v>
      </c>
      <c r="U29" s="6" t="b">
        <f>ROUND(RawSales[[#This Row],[cogs]]*0.05,2)=ROUND(RawSales[[#This Row],[Tax 5%]],2)</f>
        <v>1</v>
      </c>
      <c r="V29" s="6" t="b">
        <f>ROUND(RawSales[[#This Row],[cogs]]+RawSales[[#This Row],[Tax 5%]],2)=ROUND(RawSales[[#This Row],[Sales]],2)</f>
        <v>1</v>
      </c>
    </row>
    <row r="30" spans="1:22" x14ac:dyDescent="0.35">
      <c r="A30" s="4" t="s">
        <v>93</v>
      </c>
      <c r="B30" t="s">
        <v>20</v>
      </c>
      <c r="C30" t="s">
        <v>21</v>
      </c>
      <c r="D30" t="s">
        <v>22</v>
      </c>
      <c r="E30" t="s">
        <v>23</v>
      </c>
      <c r="F30" t="s">
        <v>40</v>
      </c>
      <c r="G30" s="6">
        <v>2522</v>
      </c>
      <c r="H30" s="7">
        <v>7</v>
      </c>
      <c r="I30" s="6">
        <v>882.7</v>
      </c>
      <c r="J30" s="6">
        <v>18536.7</v>
      </c>
      <c r="K30" s="5">
        <v>43499.958333333336</v>
      </c>
      <c r="L30" s="4" t="s">
        <v>94</v>
      </c>
      <c r="M30" t="s">
        <v>26</v>
      </c>
      <c r="N30" s="6">
        <v>17654</v>
      </c>
      <c r="O30">
        <v>4.7619047620000003</v>
      </c>
      <c r="P30" s="6">
        <v>882.7</v>
      </c>
      <c r="Q30">
        <v>8.1999999999999993</v>
      </c>
      <c r="R30" s="6">
        <f>RawSales[[#This Row],[Unit price]]*RawSales[[#This Row],[Quantity]]</f>
        <v>17654</v>
      </c>
      <c r="S30" s="6">
        <f>RawSales[[#This Row],[Subtotal]]*$B$1</f>
        <v>882.7</v>
      </c>
      <c r="T30" s="6" t="b">
        <f>ROUND(RawSales[[#This Row],[Subtotal]],2)=ROUND(RawSales[[#This Row],[cogs]],2)</f>
        <v>1</v>
      </c>
      <c r="U30" s="6" t="b">
        <f>ROUND(RawSales[[#This Row],[cogs]]*0.05,2)=ROUND(RawSales[[#This Row],[Tax 5%]],2)</f>
        <v>1</v>
      </c>
      <c r="V30" s="6" t="b">
        <f>ROUND(RawSales[[#This Row],[cogs]]+RawSales[[#This Row],[Tax 5%]],2)=ROUND(RawSales[[#This Row],[Sales]],2)</f>
        <v>1</v>
      </c>
    </row>
    <row r="31" spans="1:22" x14ac:dyDescent="0.35">
      <c r="A31" s="4" t="s">
        <v>95</v>
      </c>
      <c r="B31" t="s">
        <v>38</v>
      </c>
      <c r="C31" t="s">
        <v>39</v>
      </c>
      <c r="D31" t="s">
        <v>22</v>
      </c>
      <c r="E31" t="s">
        <v>23</v>
      </c>
      <c r="F31" t="s">
        <v>40</v>
      </c>
      <c r="G31" s="6">
        <v>4657</v>
      </c>
      <c r="H31" s="7">
        <v>10</v>
      </c>
      <c r="I31" s="6">
        <v>2328.5</v>
      </c>
      <c r="J31" s="6">
        <v>48898.5</v>
      </c>
      <c r="K31" s="5">
        <v>43491.958333333336</v>
      </c>
      <c r="L31" s="4" t="s">
        <v>96</v>
      </c>
      <c r="M31" t="s">
        <v>26</v>
      </c>
      <c r="N31" s="6">
        <v>46570</v>
      </c>
      <c r="O31">
        <v>4.7619047620000003</v>
      </c>
      <c r="P31" s="6">
        <v>2328.5</v>
      </c>
      <c r="Q31">
        <v>7.6</v>
      </c>
      <c r="R31" s="6">
        <f>RawSales[[#This Row],[Unit price]]*RawSales[[#This Row],[Quantity]]</f>
        <v>46570</v>
      </c>
      <c r="S31" s="6">
        <f>RawSales[[#This Row],[Subtotal]]*$B$1</f>
        <v>2328.5</v>
      </c>
      <c r="T31" s="6" t="b">
        <f>ROUND(RawSales[[#This Row],[Subtotal]],2)=ROUND(RawSales[[#This Row],[cogs]],2)</f>
        <v>1</v>
      </c>
      <c r="U31" s="6" t="b">
        <f>ROUND(RawSales[[#This Row],[cogs]]*0.05,2)=ROUND(RawSales[[#This Row],[Tax 5%]],2)</f>
        <v>1</v>
      </c>
      <c r="V31" s="6" t="b">
        <f>ROUND(RawSales[[#This Row],[cogs]]+RawSales[[#This Row],[Tax 5%]],2)=ROUND(RawSales[[#This Row],[Sales]],2)</f>
        <v>1</v>
      </c>
    </row>
    <row r="32" spans="1:22" x14ac:dyDescent="0.35">
      <c r="A32" s="4" t="s">
        <v>97</v>
      </c>
      <c r="B32" t="s">
        <v>20</v>
      </c>
      <c r="C32" t="s">
        <v>21</v>
      </c>
      <c r="D32" t="s">
        <v>30</v>
      </c>
      <c r="E32" t="s">
        <v>23</v>
      </c>
      <c r="F32" t="s">
        <v>40</v>
      </c>
      <c r="G32" s="6">
        <v>9002</v>
      </c>
      <c r="H32" s="7">
        <v>8</v>
      </c>
      <c r="I32" s="6">
        <v>3600.8</v>
      </c>
      <c r="J32" s="6">
        <v>75616.800000000003</v>
      </c>
      <c r="K32" s="5">
        <v>43544.958333333336</v>
      </c>
      <c r="L32" s="4" t="s">
        <v>98</v>
      </c>
      <c r="M32" t="s">
        <v>51</v>
      </c>
      <c r="N32" s="6">
        <v>72016</v>
      </c>
      <c r="O32">
        <v>4.7619047620000003</v>
      </c>
      <c r="P32" s="6">
        <v>3600.8</v>
      </c>
      <c r="Q32">
        <v>4.5</v>
      </c>
      <c r="R32" s="6">
        <f>RawSales[[#This Row],[Unit price]]*RawSales[[#This Row],[Quantity]]</f>
        <v>72016</v>
      </c>
      <c r="S32" s="6">
        <f>RawSales[[#This Row],[Subtotal]]*$B$1</f>
        <v>3600.8</v>
      </c>
      <c r="T32" s="6" t="b">
        <f>ROUND(RawSales[[#This Row],[Subtotal]],2)=ROUND(RawSales[[#This Row],[cogs]],2)</f>
        <v>1</v>
      </c>
      <c r="U32" s="6" t="b">
        <f>ROUND(RawSales[[#This Row],[cogs]]*0.05,2)=ROUND(RawSales[[#This Row],[Tax 5%]],2)</f>
        <v>1</v>
      </c>
      <c r="V32" s="6" t="b">
        <f>ROUND(RawSales[[#This Row],[cogs]]+RawSales[[#This Row],[Tax 5%]],2)=ROUND(RawSales[[#This Row],[Sales]],2)</f>
        <v>1</v>
      </c>
    </row>
    <row r="33" spans="1:22" x14ac:dyDescent="0.35">
      <c r="A33" s="4" t="s">
        <v>99</v>
      </c>
      <c r="B33" t="s">
        <v>38</v>
      </c>
      <c r="C33" t="s">
        <v>39</v>
      </c>
      <c r="D33" t="s">
        <v>30</v>
      </c>
      <c r="E33" t="s">
        <v>31</v>
      </c>
      <c r="F33" t="s">
        <v>100</v>
      </c>
      <c r="G33" s="6">
        <v>8461</v>
      </c>
      <c r="H33" s="7">
        <v>10</v>
      </c>
      <c r="I33" s="6">
        <v>4230.5</v>
      </c>
      <c r="J33" s="6">
        <v>88840.5</v>
      </c>
      <c r="K33" s="5">
        <v>43504.958333333336</v>
      </c>
      <c r="L33" s="4" t="s">
        <v>101</v>
      </c>
      <c r="M33" t="s">
        <v>51</v>
      </c>
      <c r="N33" s="6">
        <v>84610</v>
      </c>
      <c r="O33">
        <v>4.7619047620000003</v>
      </c>
      <c r="P33" s="6">
        <v>4230.5</v>
      </c>
      <c r="Q33">
        <v>8.8000000000000007</v>
      </c>
      <c r="R33" s="6">
        <f>RawSales[[#This Row],[Unit price]]*RawSales[[#This Row],[Quantity]]</f>
        <v>84610</v>
      </c>
      <c r="S33" s="6">
        <f>RawSales[[#This Row],[Subtotal]]*$B$1</f>
        <v>4230.5</v>
      </c>
      <c r="T33" s="6" t="b">
        <f>ROUND(RawSales[[#This Row],[Subtotal]],2)=ROUND(RawSales[[#This Row],[cogs]],2)</f>
        <v>1</v>
      </c>
      <c r="U33" s="6" t="b">
        <f>ROUND(RawSales[[#This Row],[cogs]]*0.05,2)=ROUND(RawSales[[#This Row],[Tax 5%]],2)</f>
        <v>1</v>
      </c>
      <c r="V33" s="6" t="b">
        <f>ROUND(RawSales[[#This Row],[cogs]]+RawSales[[#This Row],[Tax 5%]],2)=ROUND(RawSales[[#This Row],[Sales]],2)</f>
        <v>1</v>
      </c>
    </row>
    <row r="34" spans="1:22" x14ac:dyDescent="0.35">
      <c r="A34" s="4" t="s">
        <v>102</v>
      </c>
      <c r="B34" t="s">
        <v>28</v>
      </c>
      <c r="C34" t="s">
        <v>29</v>
      </c>
      <c r="D34" t="s">
        <v>22</v>
      </c>
      <c r="E34" t="s">
        <v>23</v>
      </c>
      <c r="F34" t="s">
        <v>62</v>
      </c>
      <c r="G34" s="6">
        <v>8843</v>
      </c>
      <c r="H34" s="7">
        <v>8</v>
      </c>
      <c r="I34" s="6">
        <v>3537.2</v>
      </c>
      <c r="J34" s="6">
        <v>74281.2</v>
      </c>
      <c r="K34" s="5">
        <v>43545.958333333336</v>
      </c>
      <c r="L34" s="4" t="s">
        <v>103</v>
      </c>
      <c r="M34" t="s">
        <v>51</v>
      </c>
      <c r="N34" s="6">
        <v>70744</v>
      </c>
      <c r="O34">
        <v>4.7619047620000003</v>
      </c>
      <c r="P34" s="6">
        <v>3537.2</v>
      </c>
      <c r="Q34">
        <v>4.3</v>
      </c>
      <c r="R34" s="6">
        <f>RawSales[[#This Row],[Unit price]]*RawSales[[#This Row],[Quantity]]</f>
        <v>70744</v>
      </c>
      <c r="S34" s="6">
        <f>RawSales[[#This Row],[Subtotal]]*$B$1</f>
        <v>3537.2000000000003</v>
      </c>
      <c r="T34" s="6" t="b">
        <f>ROUND(RawSales[[#This Row],[Subtotal]],2)=ROUND(RawSales[[#This Row],[cogs]],2)</f>
        <v>1</v>
      </c>
      <c r="U34" s="6" t="b">
        <f>ROUND(RawSales[[#This Row],[cogs]]*0.05,2)=ROUND(RawSales[[#This Row],[Tax 5%]],2)</f>
        <v>1</v>
      </c>
      <c r="V34" s="6" t="b">
        <f>ROUND(RawSales[[#This Row],[cogs]]+RawSales[[#This Row],[Tax 5%]],2)=ROUND(RawSales[[#This Row],[Sales]],2)</f>
        <v>1</v>
      </c>
    </row>
    <row r="35" spans="1:22" x14ac:dyDescent="0.35">
      <c r="A35" s="4" t="s">
        <v>104</v>
      </c>
      <c r="B35" t="s">
        <v>38</v>
      </c>
      <c r="C35" t="s">
        <v>39</v>
      </c>
      <c r="D35" t="s">
        <v>30</v>
      </c>
      <c r="E35" t="s">
        <v>31</v>
      </c>
      <c r="F35" t="s">
        <v>49</v>
      </c>
      <c r="G35" s="6">
        <v>5961</v>
      </c>
      <c r="H35" s="7">
        <v>10</v>
      </c>
      <c r="I35" s="6">
        <v>2980.5</v>
      </c>
      <c r="J35" s="6">
        <v>62590.5</v>
      </c>
      <c r="K35" s="5">
        <v>43537.958333333336</v>
      </c>
      <c r="L35" s="4" t="s">
        <v>105</v>
      </c>
      <c r="M35" t="s">
        <v>26</v>
      </c>
      <c r="N35" s="6">
        <v>59610</v>
      </c>
      <c r="O35">
        <v>4.7619047620000003</v>
      </c>
      <c r="P35" s="6">
        <v>2980.5</v>
      </c>
      <c r="Q35">
        <v>5.3</v>
      </c>
      <c r="R35" s="6">
        <f>RawSales[[#This Row],[Unit price]]*RawSales[[#This Row],[Quantity]]</f>
        <v>59610</v>
      </c>
      <c r="S35" s="6">
        <f>RawSales[[#This Row],[Subtotal]]*$B$1</f>
        <v>2980.5</v>
      </c>
      <c r="T35" s="6" t="b">
        <f>ROUND(RawSales[[#This Row],[Subtotal]],2)=ROUND(RawSales[[#This Row],[cogs]],2)</f>
        <v>1</v>
      </c>
      <c r="U35" s="6" t="b">
        <f>ROUND(RawSales[[#This Row],[cogs]]*0.05,2)=ROUND(RawSales[[#This Row],[Tax 5%]],2)</f>
        <v>1</v>
      </c>
      <c r="V35" s="6" t="b">
        <f>ROUND(RawSales[[#This Row],[cogs]]+RawSales[[#This Row],[Tax 5%]],2)=ROUND(RawSales[[#This Row],[Sales]],2)</f>
        <v>1</v>
      </c>
    </row>
    <row r="36" spans="1:22" x14ac:dyDescent="0.35">
      <c r="A36" s="4" t="s">
        <v>106</v>
      </c>
      <c r="B36" t="s">
        <v>20</v>
      </c>
      <c r="C36" t="s">
        <v>21</v>
      </c>
      <c r="D36" t="s">
        <v>22</v>
      </c>
      <c r="E36" t="s">
        <v>31</v>
      </c>
      <c r="F36" t="s">
        <v>62</v>
      </c>
      <c r="G36" s="6">
        <v>4402</v>
      </c>
      <c r="H36" s="7">
        <v>10</v>
      </c>
      <c r="I36" s="6">
        <v>2201</v>
      </c>
      <c r="J36" s="6">
        <v>46221</v>
      </c>
      <c r="K36" s="5">
        <v>43543.958333333336</v>
      </c>
      <c r="L36" s="4" t="s">
        <v>107</v>
      </c>
      <c r="M36" t="s">
        <v>51</v>
      </c>
      <c r="N36" s="6">
        <v>44020</v>
      </c>
      <c r="O36">
        <v>4.7619047620000003</v>
      </c>
      <c r="P36" s="6">
        <v>2201</v>
      </c>
      <c r="Q36">
        <v>9.6</v>
      </c>
      <c r="R36" s="6">
        <f>RawSales[[#This Row],[Unit price]]*RawSales[[#This Row],[Quantity]]</f>
        <v>44020</v>
      </c>
      <c r="S36" s="6">
        <f>RawSales[[#This Row],[Subtotal]]*$B$1</f>
        <v>2201</v>
      </c>
      <c r="T36" s="6" t="b">
        <f>ROUND(RawSales[[#This Row],[Subtotal]],2)=ROUND(RawSales[[#This Row],[cogs]],2)</f>
        <v>1</v>
      </c>
      <c r="U36" s="6" t="b">
        <f>ROUND(RawSales[[#This Row],[cogs]]*0.05,2)=ROUND(RawSales[[#This Row],[Tax 5%]],2)</f>
        <v>1</v>
      </c>
      <c r="V36" s="6" t="b">
        <f>ROUND(RawSales[[#This Row],[cogs]]+RawSales[[#This Row],[Tax 5%]],2)=ROUND(RawSales[[#This Row],[Sales]],2)</f>
        <v>1</v>
      </c>
    </row>
    <row r="37" spans="1:22" x14ac:dyDescent="0.35">
      <c r="A37" s="4" t="s">
        <v>108</v>
      </c>
      <c r="B37" t="s">
        <v>28</v>
      </c>
      <c r="C37" t="s">
        <v>29</v>
      </c>
      <c r="D37" t="s">
        <v>30</v>
      </c>
      <c r="E37" t="s">
        <v>31</v>
      </c>
      <c r="F37" t="s">
        <v>43</v>
      </c>
      <c r="G37" s="6">
        <v>9278</v>
      </c>
      <c r="H37" s="7">
        <v>1</v>
      </c>
      <c r="I37" s="6">
        <v>463.9</v>
      </c>
      <c r="J37" s="6">
        <v>9741.9</v>
      </c>
      <c r="K37" s="5">
        <v>43538.958333333336</v>
      </c>
      <c r="L37" s="4" t="s">
        <v>109</v>
      </c>
      <c r="M37" t="s">
        <v>51</v>
      </c>
      <c r="N37" s="6">
        <v>9278</v>
      </c>
      <c r="O37">
        <v>4.7619047620000003</v>
      </c>
      <c r="P37" s="6">
        <v>463.9</v>
      </c>
      <c r="Q37">
        <v>9.8000000000000007</v>
      </c>
      <c r="R37" s="6">
        <f>RawSales[[#This Row],[Unit price]]*RawSales[[#This Row],[Quantity]]</f>
        <v>9278</v>
      </c>
      <c r="S37" s="6">
        <f>RawSales[[#This Row],[Subtotal]]*$B$1</f>
        <v>463.90000000000003</v>
      </c>
      <c r="T37" s="6" t="b">
        <f>ROUND(RawSales[[#This Row],[Subtotal]],2)=ROUND(RawSales[[#This Row],[cogs]],2)</f>
        <v>1</v>
      </c>
      <c r="U37" s="6" t="b">
        <f>ROUND(RawSales[[#This Row],[cogs]]*0.05,2)=ROUND(RawSales[[#This Row],[Tax 5%]],2)</f>
        <v>1</v>
      </c>
      <c r="V37" s="6" t="b">
        <f>ROUND(RawSales[[#This Row],[cogs]]+RawSales[[#This Row],[Tax 5%]],2)=ROUND(RawSales[[#This Row],[Sales]],2)</f>
        <v>1</v>
      </c>
    </row>
    <row r="38" spans="1:22" x14ac:dyDescent="0.35">
      <c r="A38" s="4" t="s">
        <v>110</v>
      </c>
      <c r="B38" t="s">
        <v>20</v>
      </c>
      <c r="C38" t="s">
        <v>21</v>
      </c>
      <c r="D38" t="s">
        <v>22</v>
      </c>
      <c r="E38" t="s">
        <v>31</v>
      </c>
      <c r="F38" t="s">
        <v>32</v>
      </c>
      <c r="G38" s="6">
        <v>7838</v>
      </c>
      <c r="H38" s="7">
        <v>6</v>
      </c>
      <c r="I38" s="6">
        <v>2351.4</v>
      </c>
      <c r="J38" s="6">
        <v>49379.4</v>
      </c>
      <c r="K38" s="5">
        <v>43474.958333333336</v>
      </c>
      <c r="L38" s="4" t="s">
        <v>36</v>
      </c>
      <c r="M38" t="s">
        <v>34</v>
      </c>
      <c r="N38" s="6">
        <v>47028</v>
      </c>
      <c r="O38">
        <v>4.7619047620000003</v>
      </c>
      <c r="P38" s="6">
        <v>2351.4</v>
      </c>
      <c r="Q38">
        <v>5.8</v>
      </c>
      <c r="R38" s="6">
        <f>RawSales[[#This Row],[Unit price]]*RawSales[[#This Row],[Quantity]]</f>
        <v>47028</v>
      </c>
      <c r="S38" s="6">
        <f>RawSales[[#This Row],[Subtotal]]*$B$1</f>
        <v>2351.4</v>
      </c>
      <c r="T38" s="6" t="b">
        <f>ROUND(RawSales[[#This Row],[Subtotal]],2)=ROUND(RawSales[[#This Row],[cogs]],2)</f>
        <v>1</v>
      </c>
      <c r="U38" s="6" t="b">
        <f>ROUND(RawSales[[#This Row],[cogs]]*0.05,2)=ROUND(RawSales[[#This Row],[Tax 5%]],2)</f>
        <v>1</v>
      </c>
      <c r="V38" s="6" t="b">
        <f>ROUND(RawSales[[#This Row],[cogs]]+RawSales[[#This Row],[Tax 5%]],2)=ROUND(RawSales[[#This Row],[Sales]],2)</f>
        <v>1</v>
      </c>
    </row>
    <row r="39" spans="1:22" x14ac:dyDescent="0.35">
      <c r="A39" s="4" t="s">
        <v>111</v>
      </c>
      <c r="B39" t="s">
        <v>28</v>
      </c>
      <c r="C39" t="s">
        <v>29</v>
      </c>
      <c r="D39" t="s">
        <v>22</v>
      </c>
      <c r="E39" t="s">
        <v>23</v>
      </c>
      <c r="F39" t="s">
        <v>40</v>
      </c>
      <c r="G39" s="6">
        <v>5749</v>
      </c>
      <c r="H39" s="7">
        <v>4</v>
      </c>
      <c r="I39" s="6">
        <v>1149.8</v>
      </c>
      <c r="J39" s="6">
        <v>24145.8</v>
      </c>
      <c r="K39" s="5">
        <v>43538.958333333336</v>
      </c>
      <c r="L39" s="4" t="s">
        <v>112</v>
      </c>
      <c r="M39" t="s">
        <v>26</v>
      </c>
      <c r="N39" s="6">
        <v>22996</v>
      </c>
      <c r="O39">
        <v>4.7619047620000003</v>
      </c>
      <c r="P39" s="6">
        <v>1149.8</v>
      </c>
      <c r="Q39">
        <v>6.6</v>
      </c>
      <c r="R39" s="6">
        <f>RawSales[[#This Row],[Unit price]]*RawSales[[#This Row],[Quantity]]</f>
        <v>22996</v>
      </c>
      <c r="S39" s="6">
        <f>RawSales[[#This Row],[Subtotal]]*$B$1</f>
        <v>1149.8</v>
      </c>
      <c r="T39" s="6" t="b">
        <f>ROUND(RawSales[[#This Row],[Subtotal]],2)=ROUND(RawSales[[#This Row],[cogs]],2)</f>
        <v>1</v>
      </c>
      <c r="U39" s="6" t="b">
        <f>ROUND(RawSales[[#This Row],[cogs]]*0.05,2)=ROUND(RawSales[[#This Row],[Tax 5%]],2)</f>
        <v>1</v>
      </c>
      <c r="V39" s="6" t="b">
        <f>ROUND(RawSales[[#This Row],[cogs]]+RawSales[[#This Row],[Tax 5%]],2)=ROUND(RawSales[[#This Row],[Sales]],2)</f>
        <v>1</v>
      </c>
    </row>
    <row r="40" spans="1:22" x14ac:dyDescent="0.35">
      <c r="A40" s="4" t="s">
        <v>113</v>
      </c>
      <c r="B40" t="s">
        <v>20</v>
      </c>
      <c r="C40" t="s">
        <v>21</v>
      </c>
      <c r="D40" t="s">
        <v>22</v>
      </c>
      <c r="E40" t="s">
        <v>23</v>
      </c>
      <c r="F40" t="s">
        <v>43</v>
      </c>
      <c r="G40" s="6">
        <v>9595</v>
      </c>
      <c r="H40" s="7">
        <v>5</v>
      </c>
      <c r="I40" s="6">
        <v>2398.75</v>
      </c>
      <c r="J40" s="6">
        <v>50373.75</v>
      </c>
      <c r="K40" s="5">
        <v>43487.958333333336</v>
      </c>
      <c r="L40" s="4" t="s">
        <v>114</v>
      </c>
      <c r="M40" t="s">
        <v>34</v>
      </c>
      <c r="N40" s="6">
        <v>47975</v>
      </c>
      <c r="O40">
        <v>4.7619047620000003</v>
      </c>
      <c r="P40" s="6">
        <v>2398.75</v>
      </c>
      <c r="Q40">
        <v>8.8000000000000007</v>
      </c>
      <c r="R40" s="6">
        <f>RawSales[[#This Row],[Unit price]]*RawSales[[#This Row],[Quantity]]</f>
        <v>47975</v>
      </c>
      <c r="S40" s="6">
        <f>RawSales[[#This Row],[Subtotal]]*$B$1</f>
        <v>2398.75</v>
      </c>
      <c r="T40" s="6" t="b">
        <f>ROUND(RawSales[[#This Row],[Subtotal]],2)=ROUND(RawSales[[#This Row],[cogs]],2)</f>
        <v>1</v>
      </c>
      <c r="U40" s="6" t="b">
        <f>ROUND(RawSales[[#This Row],[cogs]]*0.05,2)=ROUND(RawSales[[#This Row],[Tax 5%]],2)</f>
        <v>1</v>
      </c>
      <c r="V40" s="6" t="b">
        <f>ROUND(RawSales[[#This Row],[cogs]]+RawSales[[#This Row],[Tax 5%]],2)=ROUND(RawSales[[#This Row],[Sales]],2)</f>
        <v>1</v>
      </c>
    </row>
    <row r="41" spans="1:22" x14ac:dyDescent="0.35">
      <c r="A41" s="4" t="s">
        <v>115</v>
      </c>
      <c r="B41" t="s">
        <v>28</v>
      </c>
      <c r="C41" t="s">
        <v>29</v>
      </c>
      <c r="D41" t="s">
        <v>22</v>
      </c>
      <c r="E41" t="s">
        <v>23</v>
      </c>
      <c r="F41" t="s">
        <v>43</v>
      </c>
      <c r="G41" s="6">
        <v>5597</v>
      </c>
      <c r="H41" s="7">
        <v>7</v>
      </c>
      <c r="I41" s="6">
        <v>1958.95</v>
      </c>
      <c r="J41" s="6">
        <v>41137.949999999997</v>
      </c>
      <c r="K41" s="5">
        <v>43528.958333333336</v>
      </c>
      <c r="L41" s="4" t="s">
        <v>116</v>
      </c>
      <c r="M41" t="s">
        <v>34</v>
      </c>
      <c r="N41" s="6">
        <v>39179</v>
      </c>
      <c r="O41">
        <v>4.7619047620000003</v>
      </c>
      <c r="P41" s="6">
        <v>1958.95</v>
      </c>
      <c r="Q41">
        <v>8.9</v>
      </c>
      <c r="R41" s="6">
        <f>RawSales[[#This Row],[Unit price]]*RawSales[[#This Row],[Quantity]]</f>
        <v>39179</v>
      </c>
      <c r="S41" s="6">
        <f>RawSales[[#This Row],[Subtotal]]*$B$1</f>
        <v>1958.95</v>
      </c>
      <c r="T41" s="6" t="b">
        <f>ROUND(RawSales[[#This Row],[Subtotal]],2)=ROUND(RawSales[[#This Row],[cogs]],2)</f>
        <v>1</v>
      </c>
      <c r="U41" s="6" t="b">
        <f>ROUND(RawSales[[#This Row],[cogs]]*0.05,2)=ROUND(RawSales[[#This Row],[Tax 5%]],2)</f>
        <v>1</v>
      </c>
      <c r="V41" s="6" t="b">
        <f>ROUND(RawSales[[#This Row],[cogs]]+RawSales[[#This Row],[Tax 5%]],2)=ROUND(RawSales[[#This Row],[Sales]],2)</f>
        <v>1</v>
      </c>
    </row>
    <row r="42" spans="1:22" x14ac:dyDescent="0.35">
      <c r="A42" s="4" t="s">
        <v>117</v>
      </c>
      <c r="B42" t="s">
        <v>38</v>
      </c>
      <c r="C42" t="s">
        <v>39</v>
      </c>
      <c r="D42" t="s">
        <v>22</v>
      </c>
      <c r="E42" t="s">
        <v>31</v>
      </c>
      <c r="F42" t="s">
        <v>62</v>
      </c>
      <c r="G42" s="6">
        <v>8293</v>
      </c>
      <c r="H42" s="7">
        <v>4</v>
      </c>
      <c r="I42" s="6">
        <v>1658.6</v>
      </c>
      <c r="J42" s="6">
        <v>34830.6</v>
      </c>
      <c r="K42" s="5">
        <v>43484.958333333336</v>
      </c>
      <c r="L42" s="4" t="s">
        <v>118</v>
      </c>
      <c r="M42" t="s">
        <v>34</v>
      </c>
      <c r="N42" s="6">
        <v>33172</v>
      </c>
      <c r="O42">
        <v>4.7619047620000003</v>
      </c>
      <c r="P42" s="6">
        <v>1658.6</v>
      </c>
      <c r="Q42">
        <v>9.6</v>
      </c>
      <c r="R42" s="6">
        <f>RawSales[[#This Row],[Unit price]]*RawSales[[#This Row],[Quantity]]</f>
        <v>33172</v>
      </c>
      <c r="S42" s="6">
        <f>RawSales[[#This Row],[Subtotal]]*$B$1</f>
        <v>1658.6000000000001</v>
      </c>
      <c r="T42" s="6" t="b">
        <f>ROUND(RawSales[[#This Row],[Subtotal]],2)=ROUND(RawSales[[#This Row],[cogs]],2)</f>
        <v>1</v>
      </c>
      <c r="U42" s="6" t="b">
        <f>ROUND(RawSales[[#This Row],[cogs]]*0.05,2)=ROUND(RawSales[[#This Row],[Tax 5%]],2)</f>
        <v>1</v>
      </c>
      <c r="V42" s="6" t="b">
        <f>ROUND(RawSales[[#This Row],[cogs]]+RawSales[[#This Row],[Tax 5%]],2)=ROUND(RawSales[[#This Row],[Sales]],2)</f>
        <v>1</v>
      </c>
    </row>
    <row r="43" spans="1:22" x14ac:dyDescent="0.35">
      <c r="A43" s="4" t="s">
        <v>119</v>
      </c>
      <c r="B43" t="s">
        <v>20</v>
      </c>
      <c r="C43" t="s">
        <v>21</v>
      </c>
      <c r="D43" t="s">
        <v>22</v>
      </c>
      <c r="E43" t="s">
        <v>23</v>
      </c>
      <c r="F43" t="s">
        <v>43</v>
      </c>
      <c r="G43" s="6">
        <v>5822</v>
      </c>
      <c r="H43" s="7">
        <v>8</v>
      </c>
      <c r="I43" s="6">
        <v>2328.8000000000002</v>
      </c>
      <c r="J43" s="6">
        <v>48904.800000000003</v>
      </c>
      <c r="K43" s="5">
        <v>43491.958333333336</v>
      </c>
      <c r="L43" s="4" t="s">
        <v>120</v>
      </c>
      <c r="M43" t="s">
        <v>34</v>
      </c>
      <c r="N43" s="6">
        <v>46576</v>
      </c>
      <c r="O43">
        <v>4.7619047620000003</v>
      </c>
      <c r="P43" s="6">
        <v>2328.8000000000002</v>
      </c>
      <c r="Q43">
        <v>8.4</v>
      </c>
      <c r="R43" s="6">
        <f>RawSales[[#This Row],[Unit price]]*RawSales[[#This Row],[Quantity]]</f>
        <v>46576</v>
      </c>
      <c r="S43" s="6">
        <f>RawSales[[#This Row],[Subtotal]]*$B$1</f>
        <v>2328.8000000000002</v>
      </c>
      <c r="T43" s="6" t="b">
        <f>ROUND(RawSales[[#This Row],[Subtotal]],2)=ROUND(RawSales[[#This Row],[cogs]],2)</f>
        <v>1</v>
      </c>
      <c r="U43" s="6" t="b">
        <f>ROUND(RawSales[[#This Row],[cogs]]*0.05,2)=ROUND(RawSales[[#This Row],[Tax 5%]],2)</f>
        <v>1</v>
      </c>
      <c r="V43" s="6" t="b">
        <f>ROUND(RawSales[[#This Row],[cogs]]+RawSales[[#This Row],[Tax 5%]],2)=ROUND(RawSales[[#This Row],[Sales]],2)</f>
        <v>1</v>
      </c>
    </row>
    <row r="44" spans="1:22" x14ac:dyDescent="0.35">
      <c r="A44" s="4" t="s">
        <v>121</v>
      </c>
      <c r="B44" t="s">
        <v>38</v>
      </c>
      <c r="C44" t="s">
        <v>39</v>
      </c>
      <c r="D44" t="s">
        <v>30</v>
      </c>
      <c r="E44" t="s">
        <v>23</v>
      </c>
      <c r="F44" t="s">
        <v>49</v>
      </c>
      <c r="G44" s="6">
        <v>8168</v>
      </c>
      <c r="H44" s="7">
        <v>4</v>
      </c>
      <c r="I44" s="6">
        <v>1633.6</v>
      </c>
      <c r="J44" s="6">
        <v>34305.599999999999</v>
      </c>
      <c r="K44" s="5">
        <v>43470.958333333336</v>
      </c>
      <c r="L44" s="4" t="s">
        <v>41</v>
      </c>
      <c r="M44" t="s">
        <v>26</v>
      </c>
      <c r="N44" s="6">
        <v>32672</v>
      </c>
      <c r="O44">
        <v>4.7619047620000003</v>
      </c>
      <c r="P44" s="6">
        <v>1633.6</v>
      </c>
      <c r="Q44">
        <v>9.1</v>
      </c>
      <c r="R44" s="6">
        <f>RawSales[[#This Row],[Unit price]]*RawSales[[#This Row],[Quantity]]</f>
        <v>32672</v>
      </c>
      <c r="S44" s="6">
        <f>RawSales[[#This Row],[Subtotal]]*$B$1</f>
        <v>1633.6000000000001</v>
      </c>
      <c r="T44" s="6" t="b">
        <f>ROUND(RawSales[[#This Row],[Subtotal]],2)=ROUND(RawSales[[#This Row],[cogs]],2)</f>
        <v>1</v>
      </c>
      <c r="U44" s="6" t="b">
        <f>ROUND(RawSales[[#This Row],[cogs]]*0.05,2)=ROUND(RawSales[[#This Row],[Tax 5%]],2)</f>
        <v>1</v>
      </c>
      <c r="V44" s="6" t="b">
        <f>ROUND(RawSales[[#This Row],[cogs]]+RawSales[[#This Row],[Tax 5%]],2)=ROUND(RawSales[[#This Row],[Sales]],2)</f>
        <v>1</v>
      </c>
    </row>
    <row r="45" spans="1:22" x14ac:dyDescent="0.35">
      <c r="A45" s="4" t="s">
        <v>122</v>
      </c>
      <c r="B45" t="s">
        <v>38</v>
      </c>
      <c r="C45" t="s">
        <v>39</v>
      </c>
      <c r="D45" t="s">
        <v>22</v>
      </c>
      <c r="E45" t="s">
        <v>31</v>
      </c>
      <c r="F45" t="s">
        <v>32</v>
      </c>
      <c r="G45" s="6">
        <v>3581</v>
      </c>
      <c r="H45" s="7">
        <v>5</v>
      </c>
      <c r="I45" s="6">
        <v>895.25</v>
      </c>
      <c r="J45" s="6">
        <v>18800.25</v>
      </c>
      <c r="K45" s="5">
        <v>43501.958333333336</v>
      </c>
      <c r="L45" s="4" t="s">
        <v>123</v>
      </c>
      <c r="M45" t="s">
        <v>34</v>
      </c>
      <c r="N45" s="6">
        <v>17905</v>
      </c>
      <c r="O45">
        <v>4.7619047620000003</v>
      </c>
      <c r="P45" s="6">
        <v>895.25</v>
      </c>
      <c r="Q45">
        <v>7.9</v>
      </c>
      <c r="R45" s="6">
        <f>RawSales[[#This Row],[Unit price]]*RawSales[[#This Row],[Quantity]]</f>
        <v>17905</v>
      </c>
      <c r="S45" s="6">
        <f>RawSales[[#This Row],[Subtotal]]*$B$1</f>
        <v>895.25</v>
      </c>
      <c r="T45" s="6" t="b">
        <f>ROUND(RawSales[[#This Row],[Subtotal]],2)=ROUND(RawSales[[#This Row],[cogs]],2)</f>
        <v>1</v>
      </c>
      <c r="U45" s="6" t="b">
        <f>ROUND(RawSales[[#This Row],[cogs]]*0.05,2)=ROUND(RawSales[[#This Row],[Tax 5%]],2)</f>
        <v>1</v>
      </c>
      <c r="V45" s="6" t="b">
        <f>ROUND(RawSales[[#This Row],[cogs]]+RawSales[[#This Row],[Tax 5%]],2)=ROUND(RawSales[[#This Row],[Sales]],2)</f>
        <v>1</v>
      </c>
    </row>
    <row r="46" spans="1:22" x14ac:dyDescent="0.35">
      <c r="A46" s="4" t="s">
        <v>124</v>
      </c>
      <c r="B46" t="s">
        <v>28</v>
      </c>
      <c r="C46" t="s">
        <v>29</v>
      </c>
      <c r="D46" t="s">
        <v>30</v>
      </c>
      <c r="E46" t="s">
        <v>23</v>
      </c>
      <c r="F46" t="s">
        <v>62</v>
      </c>
      <c r="G46" s="6">
        <v>3481</v>
      </c>
      <c r="H46" s="7">
        <v>1</v>
      </c>
      <c r="I46" s="6">
        <v>174.05</v>
      </c>
      <c r="J46" s="6">
        <v>3655.05</v>
      </c>
      <c r="K46" s="5">
        <v>43478.958333333336</v>
      </c>
      <c r="L46" s="4" t="s">
        <v>125</v>
      </c>
      <c r="M46" t="s">
        <v>51</v>
      </c>
      <c r="N46" s="6">
        <v>3481</v>
      </c>
      <c r="O46">
        <v>4.7619047620000003</v>
      </c>
      <c r="P46" s="6">
        <v>174.05</v>
      </c>
      <c r="Q46">
        <v>7</v>
      </c>
      <c r="R46" s="6">
        <f>RawSales[[#This Row],[Unit price]]*RawSales[[#This Row],[Quantity]]</f>
        <v>3481</v>
      </c>
      <c r="S46" s="6">
        <f>RawSales[[#This Row],[Subtotal]]*$B$1</f>
        <v>174.05</v>
      </c>
      <c r="T46" s="6" t="b">
        <f>ROUND(RawSales[[#This Row],[Subtotal]],2)=ROUND(RawSales[[#This Row],[cogs]],2)</f>
        <v>1</v>
      </c>
      <c r="U46" s="6" t="b">
        <f>ROUND(RawSales[[#This Row],[cogs]]*0.05,2)=ROUND(RawSales[[#This Row],[Tax 5%]],2)</f>
        <v>1</v>
      </c>
      <c r="V46" s="6" t="b">
        <f>ROUND(RawSales[[#This Row],[cogs]]+RawSales[[#This Row],[Tax 5%]],2)=ROUND(RawSales[[#This Row],[Sales]],2)</f>
        <v>1</v>
      </c>
    </row>
    <row r="47" spans="1:22" x14ac:dyDescent="0.35">
      <c r="A47" s="4" t="s">
        <v>126</v>
      </c>
      <c r="B47" t="s">
        <v>20</v>
      </c>
      <c r="C47" t="s">
        <v>21</v>
      </c>
      <c r="D47" t="s">
        <v>22</v>
      </c>
      <c r="E47" t="s">
        <v>31</v>
      </c>
      <c r="F47" t="s">
        <v>40</v>
      </c>
      <c r="G47" s="6">
        <v>2077</v>
      </c>
      <c r="H47" s="7">
        <v>4</v>
      </c>
      <c r="I47" s="6">
        <v>415.4</v>
      </c>
      <c r="J47" s="6">
        <v>8723.4</v>
      </c>
      <c r="K47" s="5">
        <v>43495.958333333336</v>
      </c>
      <c r="L47" s="4" t="s">
        <v>127</v>
      </c>
      <c r="M47" t="s">
        <v>26</v>
      </c>
      <c r="N47" s="6">
        <v>8308</v>
      </c>
      <c r="O47">
        <v>4.7619047620000003</v>
      </c>
      <c r="P47" s="6">
        <v>415.4</v>
      </c>
      <c r="Q47">
        <v>4.7</v>
      </c>
      <c r="R47" s="6">
        <f>RawSales[[#This Row],[Unit price]]*RawSales[[#This Row],[Quantity]]</f>
        <v>8308</v>
      </c>
      <c r="S47" s="6">
        <f>RawSales[[#This Row],[Subtotal]]*$B$1</f>
        <v>415.40000000000003</v>
      </c>
      <c r="T47" s="6" t="b">
        <f>ROUND(RawSales[[#This Row],[Subtotal]],2)=ROUND(RawSales[[#This Row],[cogs]],2)</f>
        <v>1</v>
      </c>
      <c r="U47" s="6" t="b">
        <f>ROUND(RawSales[[#This Row],[cogs]]*0.05,2)=ROUND(RawSales[[#This Row],[Tax 5%]],2)</f>
        <v>1</v>
      </c>
      <c r="V47" s="6" t="b">
        <f>ROUND(RawSales[[#This Row],[cogs]]+RawSales[[#This Row],[Tax 5%]],2)=ROUND(RawSales[[#This Row],[Sales]],2)</f>
        <v>1</v>
      </c>
    </row>
    <row r="48" spans="1:22" x14ac:dyDescent="0.35">
      <c r="A48" s="4" t="s">
        <v>128</v>
      </c>
      <c r="B48" t="s">
        <v>38</v>
      </c>
      <c r="C48" t="s">
        <v>39</v>
      </c>
      <c r="D48" t="s">
        <v>30</v>
      </c>
      <c r="E48" t="s">
        <v>31</v>
      </c>
      <c r="F48" t="s">
        <v>40</v>
      </c>
      <c r="G48" s="6">
        <v>6495</v>
      </c>
      <c r="H48" s="7">
        <v>10</v>
      </c>
      <c r="I48" s="6">
        <v>3247.5</v>
      </c>
      <c r="J48" s="6">
        <v>68197.5</v>
      </c>
      <c r="K48" s="5">
        <v>43547.958333333336</v>
      </c>
      <c r="L48" s="4" t="s">
        <v>129</v>
      </c>
      <c r="M48" t="s">
        <v>26</v>
      </c>
      <c r="N48" s="6">
        <v>64950</v>
      </c>
      <c r="O48">
        <v>4.7619047620000003</v>
      </c>
      <c r="P48" s="6">
        <v>3247.5</v>
      </c>
      <c r="Q48">
        <v>5.2</v>
      </c>
      <c r="R48" s="6">
        <f>RawSales[[#This Row],[Unit price]]*RawSales[[#This Row],[Quantity]]</f>
        <v>64950</v>
      </c>
      <c r="S48" s="6">
        <f>RawSales[[#This Row],[Subtotal]]*$B$1</f>
        <v>3247.5</v>
      </c>
      <c r="T48" s="6" t="b">
        <f>ROUND(RawSales[[#This Row],[Subtotal]],2)=ROUND(RawSales[[#This Row],[cogs]],2)</f>
        <v>1</v>
      </c>
      <c r="U48" s="6" t="b">
        <f>ROUND(RawSales[[#This Row],[cogs]]*0.05,2)=ROUND(RawSales[[#This Row],[Tax 5%]],2)</f>
        <v>1</v>
      </c>
      <c r="V48" s="6" t="b">
        <f>ROUND(RawSales[[#This Row],[cogs]]+RawSales[[#This Row],[Tax 5%]],2)=ROUND(RawSales[[#This Row],[Sales]],2)</f>
        <v>1</v>
      </c>
    </row>
    <row r="49" spans="1:22" x14ac:dyDescent="0.35">
      <c r="A49" s="4" t="s">
        <v>130</v>
      </c>
      <c r="B49" t="s">
        <v>38</v>
      </c>
      <c r="C49" t="s">
        <v>39</v>
      </c>
      <c r="D49" t="s">
        <v>30</v>
      </c>
      <c r="E49" t="s">
        <v>31</v>
      </c>
      <c r="F49" t="s">
        <v>32</v>
      </c>
      <c r="G49" s="6">
        <v>9558</v>
      </c>
      <c r="H49" s="7">
        <v>10</v>
      </c>
      <c r="I49" s="6">
        <v>4779</v>
      </c>
      <c r="J49" s="6">
        <v>100359</v>
      </c>
      <c r="K49" s="5">
        <v>43480.958333333336</v>
      </c>
      <c r="L49" s="4" t="s">
        <v>131</v>
      </c>
      <c r="M49" t="s">
        <v>26</v>
      </c>
      <c r="N49" s="6">
        <v>95580</v>
      </c>
      <c r="O49">
        <v>4.7619047620000003</v>
      </c>
      <c r="P49" s="6">
        <v>4779</v>
      </c>
      <c r="Q49">
        <v>4.8</v>
      </c>
      <c r="R49" s="6">
        <f>RawSales[[#This Row],[Unit price]]*RawSales[[#This Row],[Quantity]]</f>
        <v>95580</v>
      </c>
      <c r="S49" s="6">
        <f>RawSales[[#This Row],[Subtotal]]*$B$1</f>
        <v>4779</v>
      </c>
      <c r="T49" s="6" t="b">
        <f>ROUND(RawSales[[#This Row],[Subtotal]],2)=ROUND(RawSales[[#This Row],[cogs]],2)</f>
        <v>1</v>
      </c>
      <c r="U49" s="6" t="b">
        <f>ROUND(RawSales[[#This Row],[cogs]]*0.05,2)=ROUND(RawSales[[#This Row],[Tax 5%]],2)</f>
        <v>1</v>
      </c>
      <c r="V49" s="6" t="b">
        <f>ROUND(RawSales[[#This Row],[cogs]]+RawSales[[#This Row],[Tax 5%]],2)=ROUND(RawSales[[#This Row],[Sales]],2)</f>
        <v>1</v>
      </c>
    </row>
    <row r="50" spans="1:22" x14ac:dyDescent="0.35">
      <c r="A50" s="4" t="s">
        <v>132</v>
      </c>
      <c r="B50" t="s">
        <v>20</v>
      </c>
      <c r="C50" t="s">
        <v>21</v>
      </c>
      <c r="D50" t="s">
        <v>30</v>
      </c>
      <c r="E50" t="s">
        <v>23</v>
      </c>
      <c r="F50" t="s">
        <v>40</v>
      </c>
      <c r="G50" s="6">
        <v>2346</v>
      </c>
      <c r="H50" s="7">
        <v>6</v>
      </c>
      <c r="I50" s="6">
        <v>703.8</v>
      </c>
      <c r="J50" s="6">
        <v>14779.8</v>
      </c>
      <c r="K50" s="5">
        <v>43477.958333333336</v>
      </c>
      <c r="L50" s="4" t="s">
        <v>133</v>
      </c>
      <c r="M50" t="s">
        <v>34</v>
      </c>
      <c r="N50" s="6">
        <v>14076</v>
      </c>
      <c r="O50">
        <v>4.7619047620000003</v>
      </c>
      <c r="P50" s="6">
        <v>703.8</v>
      </c>
      <c r="Q50">
        <v>6.4</v>
      </c>
      <c r="R50" s="6">
        <f>RawSales[[#This Row],[Unit price]]*RawSales[[#This Row],[Quantity]]</f>
        <v>14076</v>
      </c>
      <c r="S50" s="6">
        <f>RawSales[[#This Row],[Subtotal]]*$B$1</f>
        <v>703.80000000000007</v>
      </c>
      <c r="T50" s="6" t="b">
        <f>ROUND(RawSales[[#This Row],[Subtotal]],2)=ROUND(RawSales[[#This Row],[cogs]],2)</f>
        <v>1</v>
      </c>
      <c r="U50" s="6" t="b">
        <f>ROUND(RawSales[[#This Row],[cogs]]*0.05,2)=ROUND(RawSales[[#This Row],[Tax 5%]],2)</f>
        <v>1</v>
      </c>
      <c r="V50" s="6" t="b">
        <f>ROUND(RawSales[[#This Row],[cogs]]+RawSales[[#This Row],[Tax 5%]],2)=ROUND(RawSales[[#This Row],[Sales]],2)</f>
        <v>1</v>
      </c>
    </row>
    <row r="51" spans="1:22" x14ac:dyDescent="0.35">
      <c r="A51" s="4" t="s">
        <v>134</v>
      </c>
      <c r="B51" t="s">
        <v>38</v>
      </c>
      <c r="C51" t="s">
        <v>39</v>
      </c>
      <c r="D51" t="s">
        <v>30</v>
      </c>
      <c r="E51" t="s">
        <v>31</v>
      </c>
      <c r="F51" t="s">
        <v>55</v>
      </c>
      <c r="G51" s="6">
        <v>3700</v>
      </c>
      <c r="H51" s="7">
        <v>1</v>
      </c>
      <c r="I51" s="6">
        <v>185</v>
      </c>
      <c r="J51" s="6">
        <v>3885</v>
      </c>
      <c r="K51" s="5">
        <v>43529.958333333336</v>
      </c>
      <c r="L51" s="4" t="s">
        <v>135</v>
      </c>
      <c r="M51" t="s">
        <v>51</v>
      </c>
      <c r="N51" s="6">
        <v>3700</v>
      </c>
      <c r="O51">
        <v>4.7619047620000003</v>
      </c>
      <c r="P51" s="6">
        <v>185</v>
      </c>
      <c r="Q51">
        <v>7.9</v>
      </c>
      <c r="R51" s="6">
        <f>RawSales[[#This Row],[Unit price]]*RawSales[[#This Row],[Quantity]]</f>
        <v>3700</v>
      </c>
      <c r="S51" s="6">
        <f>RawSales[[#This Row],[Subtotal]]*$B$1</f>
        <v>185</v>
      </c>
      <c r="T51" s="6" t="b">
        <f>ROUND(RawSales[[#This Row],[Subtotal]],2)=ROUND(RawSales[[#This Row],[cogs]],2)</f>
        <v>1</v>
      </c>
      <c r="U51" s="6" t="b">
        <f>ROUND(RawSales[[#This Row],[cogs]]*0.05,2)=ROUND(RawSales[[#This Row],[Tax 5%]],2)</f>
        <v>1</v>
      </c>
      <c r="V51" s="6" t="b">
        <f>ROUND(RawSales[[#This Row],[cogs]]+RawSales[[#This Row],[Tax 5%]],2)=ROUND(RawSales[[#This Row],[Sales]],2)</f>
        <v>1</v>
      </c>
    </row>
    <row r="52" spans="1:22" x14ac:dyDescent="0.35">
      <c r="A52" s="4" t="s">
        <v>136</v>
      </c>
      <c r="B52" t="s">
        <v>38</v>
      </c>
      <c r="C52" t="s">
        <v>39</v>
      </c>
      <c r="D52" t="s">
        <v>22</v>
      </c>
      <c r="E52" t="s">
        <v>23</v>
      </c>
      <c r="F52" t="s">
        <v>32</v>
      </c>
      <c r="G52" s="6">
        <v>2853</v>
      </c>
      <c r="H52" s="7">
        <v>10</v>
      </c>
      <c r="I52" s="6">
        <v>1426.5</v>
      </c>
      <c r="J52" s="6">
        <v>29956.5</v>
      </c>
      <c r="K52" s="4" t="s">
        <v>137</v>
      </c>
      <c r="L52" s="4" t="s">
        <v>138</v>
      </c>
      <c r="M52" t="s">
        <v>34</v>
      </c>
      <c r="N52" s="6">
        <v>28530</v>
      </c>
      <c r="O52">
        <v>4.7619047620000003</v>
      </c>
      <c r="P52" s="6">
        <v>1426.5</v>
      </c>
      <c r="Q52">
        <v>7.8</v>
      </c>
      <c r="R52" s="6">
        <f>RawSales[[#This Row],[Unit price]]*RawSales[[#This Row],[Quantity]]</f>
        <v>28530</v>
      </c>
      <c r="S52" s="6">
        <f>RawSales[[#This Row],[Subtotal]]*$B$1</f>
        <v>1426.5</v>
      </c>
      <c r="T52" s="6" t="b">
        <f>ROUND(RawSales[[#This Row],[Subtotal]],2)=ROUND(RawSales[[#This Row],[cogs]],2)</f>
        <v>1</v>
      </c>
      <c r="U52" s="6" t="b">
        <f>ROUND(RawSales[[#This Row],[cogs]]*0.05,2)=ROUND(RawSales[[#This Row],[Tax 5%]],2)</f>
        <v>1</v>
      </c>
      <c r="V52" s="6" t="b">
        <f>ROUND(RawSales[[#This Row],[cogs]]+RawSales[[#This Row],[Tax 5%]],2)=ROUND(RawSales[[#This Row],[Sales]],2)</f>
        <v>1</v>
      </c>
    </row>
    <row r="53" spans="1:22" x14ac:dyDescent="0.35">
      <c r="A53" s="4" t="s">
        <v>139</v>
      </c>
      <c r="B53" t="s">
        <v>20</v>
      </c>
      <c r="C53" t="s">
        <v>21</v>
      </c>
      <c r="D53" t="s">
        <v>30</v>
      </c>
      <c r="E53" t="s">
        <v>23</v>
      </c>
      <c r="F53" t="s">
        <v>140</v>
      </c>
      <c r="G53" s="6">
        <v>4661</v>
      </c>
      <c r="H53" s="7">
        <v>2</v>
      </c>
      <c r="I53" s="6">
        <v>466.1</v>
      </c>
      <c r="J53" s="6">
        <v>9788.1</v>
      </c>
      <c r="K53" s="5">
        <v>43521.958333333336</v>
      </c>
      <c r="L53" s="4" t="s">
        <v>141</v>
      </c>
      <c r="M53" t="s">
        <v>51</v>
      </c>
      <c r="N53" s="6">
        <v>9322</v>
      </c>
      <c r="O53">
        <v>4.7619047620000003</v>
      </c>
      <c r="P53" s="6">
        <v>466.1</v>
      </c>
      <c r="Q53">
        <v>6.6</v>
      </c>
      <c r="R53" s="6">
        <f>RawSales[[#This Row],[Unit price]]*RawSales[[#This Row],[Quantity]]</f>
        <v>9322</v>
      </c>
      <c r="S53" s="6">
        <f>RawSales[[#This Row],[Subtotal]]*$B$1</f>
        <v>466.1</v>
      </c>
      <c r="T53" s="6" t="b">
        <f>ROUND(RawSales[[#This Row],[Subtotal]],2)=ROUND(RawSales[[#This Row],[cogs]],2)</f>
        <v>1</v>
      </c>
      <c r="U53" s="6" t="b">
        <f>ROUND(RawSales[[#This Row],[cogs]]*0.05,2)=ROUND(RawSales[[#This Row],[Tax 5%]],2)</f>
        <v>1</v>
      </c>
      <c r="V53" s="6" t="b">
        <f>ROUND(RawSales[[#This Row],[cogs]]+RawSales[[#This Row],[Tax 5%]],2)=ROUND(RawSales[[#This Row],[Sales]],2)</f>
        <v>1</v>
      </c>
    </row>
    <row r="54" spans="1:22" x14ac:dyDescent="0.35">
      <c r="A54" s="4" t="s">
        <v>142</v>
      </c>
      <c r="B54" t="s">
        <v>28</v>
      </c>
      <c r="C54" t="s">
        <v>29</v>
      </c>
      <c r="D54" t="s">
        <v>30</v>
      </c>
      <c r="E54" t="s">
        <v>31</v>
      </c>
      <c r="F54" t="s">
        <v>49</v>
      </c>
      <c r="G54" s="6">
        <v>9925</v>
      </c>
      <c r="H54" s="7">
        <v>2</v>
      </c>
      <c r="I54" s="6">
        <v>992.5</v>
      </c>
      <c r="J54" s="6">
        <v>20842.5</v>
      </c>
      <c r="K54" s="5">
        <v>43543.958333333336</v>
      </c>
      <c r="L54" s="4" t="s">
        <v>143</v>
      </c>
      <c r="M54" t="s">
        <v>26</v>
      </c>
      <c r="N54" s="6">
        <v>19850</v>
      </c>
      <c r="O54">
        <v>4.7619047620000003</v>
      </c>
      <c r="P54" s="6">
        <v>992.5</v>
      </c>
      <c r="Q54">
        <v>9</v>
      </c>
      <c r="R54" s="6">
        <f>RawSales[[#This Row],[Unit price]]*RawSales[[#This Row],[Quantity]]</f>
        <v>19850</v>
      </c>
      <c r="S54" s="6">
        <f>RawSales[[#This Row],[Subtotal]]*$B$1</f>
        <v>992.5</v>
      </c>
      <c r="T54" s="6" t="b">
        <f>ROUND(RawSales[[#This Row],[Subtotal]],2)=ROUND(RawSales[[#This Row],[cogs]],2)</f>
        <v>1</v>
      </c>
      <c r="U54" s="6" t="b">
        <f>ROUND(RawSales[[#This Row],[cogs]]*0.05,2)=ROUND(RawSales[[#This Row],[Tax 5%]],2)</f>
        <v>1</v>
      </c>
      <c r="V54" s="6" t="b">
        <f>ROUND(RawSales[[#This Row],[cogs]]+RawSales[[#This Row],[Tax 5%]],2)=ROUND(RawSales[[#This Row],[Sales]],2)</f>
        <v>1</v>
      </c>
    </row>
    <row r="55" spans="1:22" x14ac:dyDescent="0.35">
      <c r="A55" s="4" t="s">
        <v>144</v>
      </c>
      <c r="B55" t="s">
        <v>28</v>
      </c>
      <c r="C55" t="s">
        <v>29</v>
      </c>
      <c r="D55" t="s">
        <v>22</v>
      </c>
      <c r="E55" t="s">
        <v>31</v>
      </c>
      <c r="F55" t="s">
        <v>40</v>
      </c>
      <c r="G55" s="6">
        <v>1924</v>
      </c>
      <c r="H55" s="7">
        <v>9</v>
      </c>
      <c r="I55" s="6">
        <v>865.8</v>
      </c>
      <c r="J55" s="6">
        <v>18181.8</v>
      </c>
      <c r="K55" s="5">
        <v>43527.958333333336</v>
      </c>
      <c r="L55" s="4" t="s">
        <v>145</v>
      </c>
      <c r="M55" t="s">
        <v>26</v>
      </c>
      <c r="N55" s="6">
        <v>17316</v>
      </c>
      <c r="O55">
        <v>4.7619047620000003</v>
      </c>
      <c r="P55" s="6">
        <v>865.8</v>
      </c>
      <c r="Q55">
        <v>8</v>
      </c>
      <c r="R55" s="6">
        <f>RawSales[[#This Row],[Unit price]]*RawSales[[#This Row],[Quantity]]</f>
        <v>17316</v>
      </c>
      <c r="S55" s="6">
        <f>RawSales[[#This Row],[Subtotal]]*$B$1</f>
        <v>865.80000000000007</v>
      </c>
      <c r="T55" s="6" t="b">
        <f>ROUND(RawSales[[#This Row],[Subtotal]],2)=ROUND(RawSales[[#This Row],[cogs]],2)</f>
        <v>1</v>
      </c>
      <c r="U55" s="6" t="b">
        <f>ROUND(RawSales[[#This Row],[cogs]]*0.05,2)=ROUND(RawSales[[#This Row],[Tax 5%]],2)</f>
        <v>1</v>
      </c>
      <c r="V55" s="6" t="b">
        <f>ROUND(RawSales[[#This Row],[cogs]]+RawSales[[#This Row],[Tax 5%]],2)=ROUND(RawSales[[#This Row],[Sales]],2)</f>
        <v>1</v>
      </c>
    </row>
    <row r="56" spans="1:22" x14ac:dyDescent="0.35">
      <c r="A56" s="4" t="s">
        <v>146</v>
      </c>
      <c r="B56" t="s">
        <v>38</v>
      </c>
      <c r="C56" t="s">
        <v>39</v>
      </c>
      <c r="D56" t="s">
        <v>30</v>
      </c>
      <c r="E56" t="s">
        <v>23</v>
      </c>
      <c r="F56" t="s">
        <v>40</v>
      </c>
      <c r="G56" s="6">
        <v>4086</v>
      </c>
      <c r="H56" s="7">
        <v>8</v>
      </c>
      <c r="I56" s="6">
        <v>1634.4</v>
      </c>
      <c r="J56" s="6">
        <v>34322.400000000001</v>
      </c>
      <c r="K56" s="5">
        <v>43502.958333333336</v>
      </c>
      <c r="L56" s="4" t="s">
        <v>147</v>
      </c>
      <c r="M56" t="s">
        <v>51</v>
      </c>
      <c r="N56" s="6">
        <v>32688</v>
      </c>
      <c r="O56">
        <v>4.7619047620000003</v>
      </c>
      <c r="P56" s="6">
        <v>1634.4</v>
      </c>
      <c r="Q56">
        <v>6.5</v>
      </c>
      <c r="R56" s="6">
        <f>RawSales[[#This Row],[Unit price]]*RawSales[[#This Row],[Quantity]]</f>
        <v>32688</v>
      </c>
      <c r="S56" s="6">
        <f>RawSales[[#This Row],[Subtotal]]*$B$1</f>
        <v>1634.4</v>
      </c>
      <c r="T56" s="6" t="b">
        <f>ROUND(RawSales[[#This Row],[Subtotal]],2)=ROUND(RawSales[[#This Row],[cogs]],2)</f>
        <v>1</v>
      </c>
      <c r="U56" s="6" t="b">
        <f>ROUND(RawSales[[#This Row],[cogs]]*0.05,2)=ROUND(RawSales[[#This Row],[Tax 5%]],2)</f>
        <v>1</v>
      </c>
      <c r="V56" s="6" t="b">
        <f>ROUND(RawSales[[#This Row],[cogs]]+RawSales[[#This Row],[Tax 5%]],2)=ROUND(RawSales[[#This Row],[Sales]],2)</f>
        <v>1</v>
      </c>
    </row>
    <row r="57" spans="1:22" x14ac:dyDescent="0.35">
      <c r="A57" s="4" t="s">
        <v>148</v>
      </c>
      <c r="B57" t="s">
        <v>20</v>
      </c>
      <c r="C57" t="s">
        <v>21</v>
      </c>
      <c r="D57" t="s">
        <v>22</v>
      </c>
      <c r="E57" t="s">
        <v>31</v>
      </c>
      <c r="F57" t="s">
        <v>24</v>
      </c>
      <c r="G57" s="6">
        <v>8790</v>
      </c>
      <c r="H57" s="7">
        <v>1</v>
      </c>
      <c r="I57" s="6">
        <v>439.5</v>
      </c>
      <c r="J57" s="6">
        <v>9229.5</v>
      </c>
      <c r="K57" s="5">
        <v>43500.958333333336</v>
      </c>
      <c r="L57" s="4" t="s">
        <v>149</v>
      </c>
      <c r="M57" t="s">
        <v>34</v>
      </c>
      <c r="N57" s="6">
        <v>8790</v>
      </c>
      <c r="O57">
        <v>4.7619047620000003</v>
      </c>
      <c r="P57" s="6">
        <v>439.5</v>
      </c>
      <c r="Q57">
        <v>6.7</v>
      </c>
      <c r="R57" s="6">
        <f>RawSales[[#This Row],[Unit price]]*RawSales[[#This Row],[Quantity]]</f>
        <v>8790</v>
      </c>
      <c r="S57" s="6">
        <f>RawSales[[#This Row],[Subtotal]]*$B$1</f>
        <v>439.5</v>
      </c>
      <c r="T57" s="6" t="b">
        <f>ROUND(RawSales[[#This Row],[Subtotal]],2)=ROUND(RawSales[[#This Row],[cogs]],2)</f>
        <v>1</v>
      </c>
      <c r="U57" s="6" t="b">
        <f>ROUND(RawSales[[#This Row],[cogs]]*0.05,2)=ROUND(RawSales[[#This Row],[Tax 5%]],2)</f>
        <v>1</v>
      </c>
      <c r="V57" s="6" t="b">
        <f>ROUND(RawSales[[#This Row],[cogs]]+RawSales[[#This Row],[Tax 5%]],2)=ROUND(RawSales[[#This Row],[Sales]],2)</f>
        <v>1</v>
      </c>
    </row>
    <row r="58" spans="1:22" x14ac:dyDescent="0.35">
      <c r="A58" s="4" t="s">
        <v>150</v>
      </c>
      <c r="B58" t="s">
        <v>20</v>
      </c>
      <c r="C58" t="s">
        <v>21</v>
      </c>
      <c r="D58" t="s">
        <v>30</v>
      </c>
      <c r="E58" t="s">
        <v>31</v>
      </c>
      <c r="F58" t="s">
        <v>43</v>
      </c>
      <c r="G58" s="6">
        <v>2895</v>
      </c>
      <c r="H58" s="7">
        <v>7</v>
      </c>
      <c r="I58" s="6">
        <v>1013.25</v>
      </c>
      <c r="J58" s="6">
        <v>21278.25</v>
      </c>
      <c r="K58" s="5">
        <v>43526.958333333336</v>
      </c>
      <c r="L58" s="4" t="s">
        <v>151</v>
      </c>
      <c r="M58" t="s">
        <v>51</v>
      </c>
      <c r="N58" s="6">
        <v>20265</v>
      </c>
      <c r="O58">
        <v>4.7619047620000003</v>
      </c>
      <c r="P58" s="6">
        <v>1013.25</v>
      </c>
      <c r="Q58">
        <v>6</v>
      </c>
      <c r="R58" s="6">
        <f>RawSales[[#This Row],[Unit price]]*RawSales[[#This Row],[Quantity]]</f>
        <v>20265</v>
      </c>
      <c r="S58" s="6">
        <f>RawSales[[#This Row],[Subtotal]]*$B$1</f>
        <v>1013.25</v>
      </c>
      <c r="T58" s="6" t="b">
        <f>ROUND(RawSales[[#This Row],[Subtotal]],2)=ROUND(RawSales[[#This Row],[cogs]],2)</f>
        <v>1</v>
      </c>
      <c r="U58" s="6" t="b">
        <f>ROUND(RawSales[[#This Row],[cogs]]*0.05,2)=ROUND(RawSales[[#This Row],[Tax 5%]],2)</f>
        <v>1</v>
      </c>
      <c r="V58" s="6" t="b">
        <f>ROUND(RawSales[[#This Row],[cogs]]+RawSales[[#This Row],[Tax 5%]],2)=ROUND(RawSales[[#This Row],[Sales]],2)</f>
        <v>1</v>
      </c>
    </row>
    <row r="59" spans="1:22" x14ac:dyDescent="0.35">
      <c r="A59" s="4" t="s">
        <v>152</v>
      </c>
      <c r="B59" t="s">
        <v>38</v>
      </c>
      <c r="C59" t="s">
        <v>39</v>
      </c>
      <c r="D59" t="s">
        <v>22</v>
      </c>
      <c r="E59" t="s">
        <v>23</v>
      </c>
      <c r="F59" t="s">
        <v>62</v>
      </c>
      <c r="G59" s="6">
        <v>2474</v>
      </c>
      <c r="H59" s="7">
        <v>3</v>
      </c>
      <c r="I59" s="6">
        <v>371.1</v>
      </c>
      <c r="J59" s="6">
        <v>7793.1</v>
      </c>
      <c r="K59" s="5">
        <v>43510.958333333336</v>
      </c>
      <c r="L59" s="4" t="s">
        <v>153</v>
      </c>
      <c r="M59" t="s">
        <v>51</v>
      </c>
      <c r="N59" s="6">
        <v>7422</v>
      </c>
      <c r="O59">
        <v>4.7619047620000003</v>
      </c>
      <c r="P59" s="6">
        <v>371.1</v>
      </c>
      <c r="Q59">
        <v>10</v>
      </c>
      <c r="R59" s="6">
        <f>RawSales[[#This Row],[Unit price]]*RawSales[[#This Row],[Quantity]]</f>
        <v>7422</v>
      </c>
      <c r="S59" s="6">
        <f>RawSales[[#This Row],[Subtotal]]*$B$1</f>
        <v>371.1</v>
      </c>
      <c r="T59" s="6" t="b">
        <f>ROUND(RawSales[[#This Row],[Subtotal]],2)=ROUND(RawSales[[#This Row],[cogs]],2)</f>
        <v>1</v>
      </c>
      <c r="U59" s="6" t="b">
        <f>ROUND(RawSales[[#This Row],[cogs]]*0.05,2)=ROUND(RawSales[[#This Row],[Tax 5%]],2)</f>
        <v>1</v>
      </c>
      <c r="V59" s="6" t="b">
        <f>ROUND(RawSales[[#This Row],[cogs]]+RawSales[[#This Row],[Tax 5%]],2)=ROUND(RawSales[[#This Row],[Sales]],2)</f>
        <v>1</v>
      </c>
    </row>
    <row r="60" spans="1:22" x14ac:dyDescent="0.35">
      <c r="A60" s="4" t="s">
        <v>154</v>
      </c>
      <c r="B60" t="s">
        <v>20</v>
      </c>
      <c r="C60" t="s">
        <v>21</v>
      </c>
      <c r="D60" t="s">
        <v>22</v>
      </c>
      <c r="E60" t="s">
        <v>31</v>
      </c>
      <c r="F60" t="s">
        <v>43</v>
      </c>
      <c r="G60" s="6">
        <v>9983</v>
      </c>
      <c r="H60" s="7">
        <v>6</v>
      </c>
      <c r="I60" s="6">
        <v>2994.9</v>
      </c>
      <c r="J60" s="6">
        <v>62892.9</v>
      </c>
      <c r="K60" s="5">
        <v>43527.958333333336</v>
      </c>
      <c r="L60" s="4" t="s">
        <v>155</v>
      </c>
      <c r="M60" t="s">
        <v>34</v>
      </c>
      <c r="N60" s="6">
        <v>59898</v>
      </c>
      <c r="O60">
        <v>4.7619047620000003</v>
      </c>
      <c r="P60" s="6">
        <v>2994.9</v>
      </c>
      <c r="Q60">
        <v>8.5</v>
      </c>
      <c r="R60" s="6">
        <f>RawSales[[#This Row],[Unit price]]*RawSales[[#This Row],[Quantity]]</f>
        <v>59898</v>
      </c>
      <c r="S60" s="6">
        <f>RawSales[[#This Row],[Subtotal]]*$B$1</f>
        <v>2994.9</v>
      </c>
      <c r="T60" s="6" t="b">
        <f>ROUND(RawSales[[#This Row],[Subtotal]],2)=ROUND(RawSales[[#This Row],[cogs]],2)</f>
        <v>1</v>
      </c>
      <c r="U60" s="6" t="b">
        <f>ROUND(RawSales[[#This Row],[cogs]]*0.05,2)=ROUND(RawSales[[#This Row],[Tax 5%]],2)</f>
        <v>1</v>
      </c>
      <c r="V60" s="6" t="b">
        <f>ROUND(RawSales[[#This Row],[cogs]]+RawSales[[#This Row],[Tax 5%]],2)=ROUND(RawSales[[#This Row],[Sales]],2)</f>
        <v>1</v>
      </c>
    </row>
    <row r="61" spans="1:22" x14ac:dyDescent="0.35">
      <c r="A61" s="4" t="s">
        <v>156</v>
      </c>
      <c r="B61" t="s">
        <v>38</v>
      </c>
      <c r="C61" t="s">
        <v>39</v>
      </c>
      <c r="D61" t="s">
        <v>30</v>
      </c>
      <c r="E61" t="s">
        <v>23</v>
      </c>
      <c r="F61" t="s">
        <v>43</v>
      </c>
      <c r="G61" s="6">
        <v>1385</v>
      </c>
      <c r="H61" s="7">
        <v>9</v>
      </c>
      <c r="I61" s="6">
        <v>623.25</v>
      </c>
      <c r="J61" s="6">
        <v>13088.25</v>
      </c>
      <c r="K61" s="5">
        <v>43499.958333333336</v>
      </c>
      <c r="L61" s="4" t="s">
        <v>157</v>
      </c>
      <c r="M61" t="s">
        <v>34</v>
      </c>
      <c r="N61" s="6">
        <v>12465</v>
      </c>
      <c r="O61">
        <v>4.7619047620000003</v>
      </c>
      <c r="P61" s="6">
        <v>623.25</v>
      </c>
      <c r="Q61">
        <v>6</v>
      </c>
      <c r="R61" s="6">
        <f>RawSales[[#This Row],[Unit price]]*RawSales[[#This Row],[Quantity]]</f>
        <v>12465</v>
      </c>
      <c r="S61" s="6">
        <f>RawSales[[#This Row],[Subtotal]]*$B$1</f>
        <v>623.25</v>
      </c>
      <c r="T61" s="6" t="b">
        <f>ROUND(RawSales[[#This Row],[Subtotal]],2)=ROUND(RawSales[[#This Row],[cogs]],2)</f>
        <v>1</v>
      </c>
      <c r="U61" s="6" t="b">
        <f>ROUND(RawSales[[#This Row],[cogs]]*0.05,2)=ROUND(RawSales[[#This Row],[Tax 5%]],2)</f>
        <v>1</v>
      </c>
      <c r="V61" s="6" t="b">
        <f>ROUND(RawSales[[#This Row],[cogs]]+RawSales[[#This Row],[Tax 5%]],2)=ROUND(RawSales[[#This Row],[Sales]],2)</f>
        <v>1</v>
      </c>
    </row>
    <row r="62" spans="1:22" x14ac:dyDescent="0.35">
      <c r="A62" s="4" t="s">
        <v>158</v>
      </c>
      <c r="B62" t="s">
        <v>20</v>
      </c>
      <c r="C62" t="s">
        <v>21</v>
      </c>
      <c r="D62" t="s">
        <v>30</v>
      </c>
      <c r="E62" t="s">
        <v>23</v>
      </c>
      <c r="F62" t="s">
        <v>49</v>
      </c>
      <c r="G62" s="6">
        <v>8191</v>
      </c>
      <c r="H62" s="7">
        <v>2</v>
      </c>
      <c r="I62" s="6">
        <v>819.1</v>
      </c>
      <c r="J62" s="6">
        <v>17201.099999999999</v>
      </c>
      <c r="K62" s="5">
        <v>43528.958333333336</v>
      </c>
      <c r="L62" s="4" t="s">
        <v>159</v>
      </c>
      <c r="M62" t="s">
        <v>26</v>
      </c>
      <c r="N62" s="6">
        <v>16382</v>
      </c>
      <c r="O62">
        <v>4.7619047620000003</v>
      </c>
      <c r="P62" s="6">
        <v>819.1</v>
      </c>
      <c r="Q62">
        <v>7.8</v>
      </c>
      <c r="R62" s="6">
        <f>RawSales[[#This Row],[Unit price]]*RawSales[[#This Row],[Quantity]]</f>
        <v>16382</v>
      </c>
      <c r="S62" s="6">
        <f>RawSales[[#This Row],[Subtotal]]*$B$1</f>
        <v>819.1</v>
      </c>
      <c r="T62" s="6" t="b">
        <f>ROUND(RawSales[[#This Row],[Subtotal]],2)=ROUND(RawSales[[#This Row],[cogs]],2)</f>
        <v>1</v>
      </c>
      <c r="U62" s="6" t="b">
        <f>ROUND(RawSales[[#This Row],[cogs]]*0.05,2)=ROUND(RawSales[[#This Row],[Tax 5%]],2)</f>
        <v>1</v>
      </c>
      <c r="V62" s="6" t="b">
        <f>ROUND(RawSales[[#This Row],[cogs]]+RawSales[[#This Row],[Tax 5%]],2)=ROUND(RawSales[[#This Row],[Sales]],2)</f>
        <v>1</v>
      </c>
    </row>
    <row r="63" spans="1:22" x14ac:dyDescent="0.35">
      <c r="A63" s="4" t="s">
        <v>160</v>
      </c>
      <c r="B63" t="s">
        <v>38</v>
      </c>
      <c r="C63" t="s">
        <v>39</v>
      </c>
      <c r="D63" t="s">
        <v>30</v>
      </c>
      <c r="E63" t="s">
        <v>23</v>
      </c>
      <c r="F63" t="s">
        <v>62</v>
      </c>
      <c r="G63" s="6">
        <v>1436</v>
      </c>
      <c r="H63" s="7">
        <v>10</v>
      </c>
      <c r="I63" s="6">
        <v>718</v>
      </c>
      <c r="J63" s="6">
        <v>15078</v>
      </c>
      <c r="K63" s="4" t="s">
        <v>161</v>
      </c>
      <c r="L63" s="4" t="s">
        <v>162</v>
      </c>
      <c r="M63" t="s">
        <v>26</v>
      </c>
      <c r="N63" s="6">
        <v>14360</v>
      </c>
      <c r="O63">
        <v>4.7619047620000003</v>
      </c>
      <c r="P63" s="6">
        <v>718</v>
      </c>
      <c r="Q63">
        <v>5.4</v>
      </c>
      <c r="R63" s="6">
        <f>RawSales[[#This Row],[Unit price]]*RawSales[[#This Row],[Quantity]]</f>
        <v>14360</v>
      </c>
      <c r="S63" s="6">
        <f>RawSales[[#This Row],[Subtotal]]*$B$1</f>
        <v>718</v>
      </c>
      <c r="T63" s="6" t="b">
        <f>ROUND(RawSales[[#This Row],[Subtotal]],2)=ROUND(RawSales[[#This Row],[cogs]],2)</f>
        <v>1</v>
      </c>
      <c r="U63" s="6" t="b">
        <f>ROUND(RawSales[[#This Row],[cogs]]*0.05,2)=ROUND(RawSales[[#This Row],[Tax 5%]],2)</f>
        <v>1</v>
      </c>
      <c r="V63" s="6" t="b">
        <f>ROUND(RawSales[[#This Row],[cogs]]+RawSales[[#This Row],[Tax 5%]],2)=ROUND(RawSales[[#This Row],[Sales]],2)</f>
        <v>1</v>
      </c>
    </row>
    <row r="64" spans="1:22" x14ac:dyDescent="0.35">
      <c r="A64" s="4" t="s">
        <v>163</v>
      </c>
      <c r="B64" t="s">
        <v>38</v>
      </c>
      <c r="C64" t="s">
        <v>39</v>
      </c>
      <c r="D64" t="s">
        <v>22</v>
      </c>
      <c r="E64" t="s">
        <v>23</v>
      </c>
      <c r="F64" t="s">
        <v>43</v>
      </c>
      <c r="G64" s="6">
        <v>1016</v>
      </c>
      <c r="H64" s="7">
        <v>5</v>
      </c>
      <c r="I64" s="6">
        <v>254</v>
      </c>
      <c r="J64" s="6">
        <v>5334</v>
      </c>
      <c r="K64" s="5">
        <v>43519.958333333336</v>
      </c>
      <c r="L64" s="4" t="s">
        <v>164</v>
      </c>
      <c r="M64" t="s">
        <v>34</v>
      </c>
      <c r="N64" s="6">
        <v>5080</v>
      </c>
      <c r="O64">
        <v>4.7619047620000003</v>
      </c>
      <c r="P64" s="6">
        <v>254</v>
      </c>
      <c r="R64" s="6">
        <f>RawSales[[#This Row],[Unit price]]*RawSales[[#This Row],[Quantity]]</f>
        <v>5080</v>
      </c>
      <c r="S64" s="6">
        <f>RawSales[[#This Row],[Subtotal]]*$B$1</f>
        <v>254</v>
      </c>
      <c r="T64" s="6" t="b">
        <f>ROUND(RawSales[[#This Row],[Subtotal]],2)=ROUND(RawSales[[#This Row],[cogs]],2)</f>
        <v>1</v>
      </c>
      <c r="U64" s="6" t="b">
        <f>ROUND(RawSales[[#This Row],[cogs]]*0.05,2)=ROUND(RawSales[[#This Row],[Tax 5%]],2)</f>
        <v>1</v>
      </c>
      <c r="V64" s="6" t="b">
        <f>ROUND(RawSales[[#This Row],[cogs]]+RawSales[[#This Row],[Tax 5%]],2)=ROUND(RawSales[[#This Row],[Sales]],2)</f>
        <v>1</v>
      </c>
    </row>
    <row r="65" spans="1:22" x14ac:dyDescent="0.35">
      <c r="A65" s="4" t="s">
        <v>165</v>
      </c>
      <c r="B65" t="s">
        <v>20</v>
      </c>
      <c r="C65" t="s">
        <v>21</v>
      </c>
      <c r="D65" t="s">
        <v>30</v>
      </c>
      <c r="E65" t="s">
        <v>31</v>
      </c>
      <c r="F65" t="s">
        <v>43</v>
      </c>
      <c r="G65" s="6">
        <v>6518</v>
      </c>
      <c r="H65" s="7">
        <v>3</v>
      </c>
      <c r="I65" s="6">
        <v>977.7</v>
      </c>
      <c r="J65" s="6">
        <v>20531.7</v>
      </c>
      <c r="K65" s="5">
        <v>43520.958333333336</v>
      </c>
      <c r="L65" s="4" t="s">
        <v>166</v>
      </c>
      <c r="M65" t="s">
        <v>51</v>
      </c>
      <c r="N65" s="6">
        <v>19554</v>
      </c>
      <c r="O65">
        <v>4.7619047620000003</v>
      </c>
      <c r="P65" s="6">
        <v>977.7</v>
      </c>
      <c r="Q65">
        <v>6.3</v>
      </c>
      <c r="R65" s="6">
        <f>RawSales[[#This Row],[Unit price]]*RawSales[[#This Row],[Quantity]]</f>
        <v>19554</v>
      </c>
      <c r="S65" s="6">
        <f>RawSales[[#This Row],[Subtotal]]*$B$1</f>
        <v>977.7</v>
      </c>
      <c r="T65" s="6" t="b">
        <f>ROUND(RawSales[[#This Row],[Subtotal]],2)=ROUND(RawSales[[#This Row],[cogs]],2)</f>
        <v>1</v>
      </c>
      <c r="U65" s="6" t="b">
        <f>ROUND(RawSales[[#This Row],[cogs]]*0.05,2)=ROUND(RawSales[[#This Row],[Tax 5%]],2)</f>
        <v>1</v>
      </c>
      <c r="V65" s="6" t="b">
        <f>ROUND(RawSales[[#This Row],[cogs]]+RawSales[[#This Row],[Tax 5%]],2)=ROUND(RawSales[[#This Row],[Sales]],2)</f>
        <v>1</v>
      </c>
    </row>
    <row r="66" spans="1:22" x14ac:dyDescent="0.35">
      <c r="A66" s="4" t="s">
        <v>167</v>
      </c>
      <c r="B66" t="s">
        <v>38</v>
      </c>
      <c r="C66" t="s">
        <v>39</v>
      </c>
      <c r="D66" t="s">
        <v>22</v>
      </c>
      <c r="E66" t="s">
        <v>31</v>
      </c>
      <c r="F66" t="s">
        <v>24</v>
      </c>
      <c r="G66" s="6">
        <v>9426</v>
      </c>
      <c r="H66" s="7">
        <v>4</v>
      </c>
      <c r="I66" s="6">
        <v>1885.2</v>
      </c>
      <c r="J66" s="6">
        <v>39589.199999999997</v>
      </c>
      <c r="K66" s="5">
        <v>43535.958333333336</v>
      </c>
      <c r="L66" s="4" t="s">
        <v>168</v>
      </c>
      <c r="M66" t="s">
        <v>26</v>
      </c>
      <c r="N66" s="6">
        <v>37704</v>
      </c>
      <c r="O66">
        <v>4.7619047620000003</v>
      </c>
      <c r="P66" s="6">
        <v>1885.2</v>
      </c>
      <c r="Q66">
        <v>8.6</v>
      </c>
      <c r="R66" s="6">
        <f>RawSales[[#This Row],[Unit price]]*RawSales[[#This Row],[Quantity]]</f>
        <v>37704</v>
      </c>
      <c r="S66" s="6">
        <f>RawSales[[#This Row],[Subtotal]]*$B$1</f>
        <v>1885.2</v>
      </c>
      <c r="T66" s="6" t="b">
        <f>ROUND(RawSales[[#This Row],[Subtotal]],2)=ROUND(RawSales[[#This Row],[cogs]],2)</f>
        <v>1</v>
      </c>
      <c r="U66" s="6" t="b">
        <f>ROUND(RawSales[[#This Row],[cogs]]*0.05,2)=ROUND(RawSales[[#This Row],[Tax 5%]],2)</f>
        <v>1</v>
      </c>
      <c r="V66" s="6" t="b">
        <f>ROUND(RawSales[[#This Row],[cogs]]+RawSales[[#This Row],[Tax 5%]],2)=ROUND(RawSales[[#This Row],[Sales]],2)</f>
        <v>1</v>
      </c>
    </row>
    <row r="67" spans="1:22" x14ac:dyDescent="0.35">
      <c r="A67" s="4" t="s">
        <v>169</v>
      </c>
      <c r="B67" t="s">
        <v>38</v>
      </c>
      <c r="C67" t="s">
        <v>39</v>
      </c>
      <c r="D67" t="s">
        <v>30</v>
      </c>
      <c r="E67" t="s">
        <v>23</v>
      </c>
      <c r="F67" t="s">
        <v>43</v>
      </c>
      <c r="G67" s="6">
        <v>8366</v>
      </c>
      <c r="H67" s="7">
        <v>5</v>
      </c>
      <c r="I67" s="6">
        <v>2091.5</v>
      </c>
      <c r="J67" s="6">
        <v>43921.5</v>
      </c>
      <c r="K67" s="5">
        <v>43516.958333333336</v>
      </c>
      <c r="L67" s="4" t="s">
        <v>170</v>
      </c>
      <c r="M67" t="s">
        <v>26</v>
      </c>
      <c r="N67" s="6">
        <v>41830</v>
      </c>
      <c r="O67">
        <v>4.7619047620000003</v>
      </c>
      <c r="P67" s="6">
        <v>2091.5</v>
      </c>
      <c r="Q67">
        <v>7.2</v>
      </c>
      <c r="R67" s="6">
        <f>RawSales[[#This Row],[Unit price]]*RawSales[[#This Row],[Quantity]]</f>
        <v>41830</v>
      </c>
      <c r="S67" s="6">
        <f>RawSales[[#This Row],[Subtotal]]*$B$1</f>
        <v>2091.5</v>
      </c>
      <c r="T67" s="6" t="b">
        <f>ROUND(RawSales[[#This Row],[Subtotal]],2)=ROUND(RawSales[[#This Row],[cogs]],2)</f>
        <v>1</v>
      </c>
      <c r="U67" s="6" t="b">
        <f>ROUND(RawSales[[#This Row],[cogs]]*0.05,2)=ROUND(RawSales[[#This Row],[Tax 5%]],2)</f>
        <v>1</v>
      </c>
      <c r="V67" s="6" t="b">
        <f>ROUND(RawSales[[#This Row],[cogs]]+RawSales[[#This Row],[Tax 5%]],2)=ROUND(RawSales[[#This Row],[Sales]],2)</f>
        <v>1</v>
      </c>
    </row>
    <row r="68" spans="1:22" x14ac:dyDescent="0.35">
      <c r="A68" s="4" t="s">
        <v>171</v>
      </c>
      <c r="B68" t="s">
        <v>20</v>
      </c>
      <c r="C68" t="s">
        <v>21</v>
      </c>
      <c r="D68" t="s">
        <v>22</v>
      </c>
      <c r="E68" t="s">
        <v>23</v>
      </c>
      <c r="F68" t="s">
        <v>40</v>
      </c>
      <c r="G68" s="6">
        <v>3456</v>
      </c>
      <c r="H68" s="7">
        <v>5</v>
      </c>
      <c r="I68" s="6">
        <v>864</v>
      </c>
      <c r="J68" s="6">
        <v>18144</v>
      </c>
      <c r="K68" s="5">
        <v>43512.958333333336</v>
      </c>
      <c r="L68" s="4" t="s">
        <v>172</v>
      </c>
      <c r="M68" t="s">
        <v>34</v>
      </c>
      <c r="N68" s="6">
        <v>17280</v>
      </c>
      <c r="O68">
        <v>4.7619047620000003</v>
      </c>
      <c r="P68" s="6">
        <v>864</v>
      </c>
      <c r="Q68">
        <v>9.9</v>
      </c>
      <c r="R68" s="6">
        <f>RawSales[[#This Row],[Unit price]]*RawSales[[#This Row],[Quantity]]</f>
        <v>17280</v>
      </c>
      <c r="S68" s="6">
        <f>RawSales[[#This Row],[Subtotal]]*$B$1</f>
        <v>864</v>
      </c>
      <c r="T68" s="6" t="b">
        <f>ROUND(RawSales[[#This Row],[Subtotal]],2)=ROUND(RawSales[[#This Row],[cogs]],2)</f>
        <v>1</v>
      </c>
      <c r="U68" s="6" t="b">
        <f>ROUND(RawSales[[#This Row],[cogs]]*0.05,2)=ROUND(RawSales[[#This Row],[Tax 5%]],2)</f>
        <v>1</v>
      </c>
      <c r="V68" s="6" t="b">
        <f>ROUND(RawSales[[#This Row],[cogs]]+RawSales[[#This Row],[Tax 5%]],2)=ROUND(RawSales[[#This Row],[Sales]],2)</f>
        <v>1</v>
      </c>
    </row>
    <row r="69" spans="1:22" x14ac:dyDescent="0.35">
      <c r="A69" s="4" t="s">
        <v>173</v>
      </c>
      <c r="B69" t="s">
        <v>28</v>
      </c>
      <c r="C69" t="s">
        <v>29</v>
      </c>
      <c r="D69" t="s">
        <v>22</v>
      </c>
      <c r="E69" t="s">
        <v>23</v>
      </c>
      <c r="F69" t="s">
        <v>40</v>
      </c>
      <c r="G69" s="6">
        <v>2626</v>
      </c>
      <c r="H69" s="7">
        <v>7</v>
      </c>
      <c r="I69" s="6">
        <v>919.1</v>
      </c>
      <c r="J69" s="6">
        <v>19301.099999999999</v>
      </c>
      <c r="K69" s="5">
        <v>43497.958333333336</v>
      </c>
      <c r="L69" s="4" t="s">
        <v>174</v>
      </c>
      <c r="M69" t="s">
        <v>26</v>
      </c>
      <c r="N69" s="6">
        <v>18382</v>
      </c>
      <c r="O69">
        <v>4.7619047620000003</v>
      </c>
      <c r="P69" s="6">
        <v>919.1</v>
      </c>
      <c r="Q69">
        <v>9.9</v>
      </c>
      <c r="R69" s="6">
        <f>RawSales[[#This Row],[Unit price]]*RawSales[[#This Row],[Quantity]]</f>
        <v>18382</v>
      </c>
      <c r="S69" s="6">
        <f>RawSales[[#This Row],[Subtotal]]*$B$1</f>
        <v>919.1</v>
      </c>
      <c r="T69" s="6" t="b">
        <f>ROUND(RawSales[[#This Row],[Subtotal]],2)=ROUND(RawSales[[#This Row],[cogs]],2)</f>
        <v>1</v>
      </c>
      <c r="U69" s="6" t="b">
        <f>ROUND(RawSales[[#This Row],[cogs]]*0.05,2)=ROUND(RawSales[[#This Row],[Tax 5%]],2)</f>
        <v>1</v>
      </c>
      <c r="V69" s="6" t="b">
        <f>ROUND(RawSales[[#This Row],[cogs]]+RawSales[[#This Row],[Tax 5%]],2)=ROUND(RawSales[[#This Row],[Sales]],2)</f>
        <v>1</v>
      </c>
    </row>
    <row r="70" spans="1:22" x14ac:dyDescent="0.35">
      <c r="A70" s="4" t="s">
        <v>175</v>
      </c>
      <c r="B70" t="s">
        <v>20</v>
      </c>
      <c r="C70" t="s">
        <v>21</v>
      </c>
      <c r="D70" t="s">
        <v>30</v>
      </c>
      <c r="E70" t="s">
        <v>23</v>
      </c>
      <c r="F70" t="s">
        <v>62</v>
      </c>
      <c r="G70" s="6">
        <v>4306</v>
      </c>
      <c r="H70" s="7">
        <v>5</v>
      </c>
      <c r="I70" s="6">
        <v>1076.5</v>
      </c>
      <c r="J70" s="6">
        <v>22606.5</v>
      </c>
      <c r="K70" s="5">
        <v>43499.958333333336</v>
      </c>
      <c r="L70" s="4" t="s">
        <v>176</v>
      </c>
      <c r="M70" t="s">
        <v>34</v>
      </c>
      <c r="N70" s="6">
        <v>21530</v>
      </c>
      <c r="O70">
        <v>4.7619047620000003</v>
      </c>
      <c r="P70" s="6">
        <v>1076.5</v>
      </c>
      <c r="Q70">
        <v>7.7</v>
      </c>
      <c r="R70" s="6">
        <f>RawSales[[#This Row],[Unit price]]*RawSales[[#This Row],[Quantity]]</f>
        <v>21530</v>
      </c>
      <c r="S70" s="6">
        <f>RawSales[[#This Row],[Subtotal]]*$B$1</f>
        <v>1076.5</v>
      </c>
      <c r="T70" s="6" t="b">
        <f>ROUND(RawSales[[#This Row],[Subtotal]],2)=ROUND(RawSales[[#This Row],[cogs]],2)</f>
        <v>1</v>
      </c>
      <c r="U70" s="6" t="b">
        <f>ROUND(RawSales[[#This Row],[cogs]]*0.05,2)=ROUND(RawSales[[#This Row],[Tax 5%]],2)</f>
        <v>1</v>
      </c>
      <c r="V70" s="6" t="b">
        <f>ROUND(RawSales[[#This Row],[cogs]]+RawSales[[#This Row],[Tax 5%]],2)=ROUND(RawSales[[#This Row],[Sales]],2)</f>
        <v>1</v>
      </c>
    </row>
    <row r="71" spans="1:22" x14ac:dyDescent="0.35">
      <c r="A71" s="4" t="s">
        <v>177</v>
      </c>
      <c r="B71" t="s">
        <v>28</v>
      </c>
      <c r="C71" t="s">
        <v>29</v>
      </c>
      <c r="D71" t="s">
        <v>22</v>
      </c>
      <c r="E71" t="s">
        <v>23</v>
      </c>
      <c r="F71" t="s">
        <v>40</v>
      </c>
      <c r="G71" s="6">
        <v>8140</v>
      </c>
      <c r="H71" s="7">
        <v>3</v>
      </c>
      <c r="I71" s="6">
        <v>1221</v>
      </c>
      <c r="J71" s="6">
        <v>25641</v>
      </c>
      <c r="K71" s="5">
        <v>43504.958333333336</v>
      </c>
      <c r="L71" s="4" t="s">
        <v>178</v>
      </c>
      <c r="M71" t="s">
        <v>26</v>
      </c>
      <c r="N71" s="6">
        <v>24420</v>
      </c>
      <c r="O71">
        <v>4.7619047620000003</v>
      </c>
      <c r="P71" s="6">
        <v>1221</v>
      </c>
      <c r="Q71">
        <v>4.8</v>
      </c>
      <c r="R71" s="6">
        <f>RawSales[[#This Row],[Unit price]]*RawSales[[#This Row],[Quantity]]</f>
        <v>24420</v>
      </c>
      <c r="S71" s="6">
        <f>RawSales[[#This Row],[Subtotal]]*$B$1</f>
        <v>1221</v>
      </c>
      <c r="T71" s="6" t="b">
        <f>ROUND(RawSales[[#This Row],[Subtotal]],2)=ROUND(RawSales[[#This Row],[cogs]],2)</f>
        <v>1</v>
      </c>
      <c r="U71" s="6" t="b">
        <f>ROUND(RawSales[[#This Row],[cogs]]*0.05,2)=ROUND(RawSales[[#This Row],[Tax 5%]],2)</f>
        <v>1</v>
      </c>
      <c r="V71" s="6" t="b">
        <f>ROUND(RawSales[[#This Row],[cogs]]+RawSales[[#This Row],[Tax 5%]],2)=ROUND(RawSales[[#This Row],[Sales]],2)</f>
        <v>1</v>
      </c>
    </row>
    <row r="72" spans="1:22" x14ac:dyDescent="0.35">
      <c r="A72" s="4" t="s">
        <v>179</v>
      </c>
      <c r="B72" t="s">
        <v>20</v>
      </c>
      <c r="C72" t="s">
        <v>21</v>
      </c>
      <c r="D72" t="s">
        <v>30</v>
      </c>
      <c r="E72" t="s">
        <v>31</v>
      </c>
      <c r="F72" t="s">
        <v>100</v>
      </c>
      <c r="G72" s="6">
        <v>1526</v>
      </c>
      <c r="H72" s="7">
        <v>6</v>
      </c>
      <c r="I72" s="6">
        <v>457.8</v>
      </c>
      <c r="J72" s="6">
        <v>9613.7999999999993</v>
      </c>
      <c r="K72" s="5">
        <v>43510.958333333336</v>
      </c>
      <c r="L72" s="4" t="s">
        <v>180</v>
      </c>
      <c r="M72" t="s">
        <v>34</v>
      </c>
      <c r="N72" s="6">
        <v>9156</v>
      </c>
      <c r="O72">
        <v>4.7619047620000003</v>
      </c>
      <c r="P72" s="6">
        <v>457.8</v>
      </c>
      <c r="Q72">
        <v>9.8000000000000007</v>
      </c>
      <c r="R72" s="6">
        <f>RawSales[[#This Row],[Unit price]]*RawSales[[#This Row],[Quantity]]</f>
        <v>9156</v>
      </c>
      <c r="S72" s="6">
        <f>RawSales[[#This Row],[Subtotal]]*$B$1</f>
        <v>457.8</v>
      </c>
      <c r="T72" s="6" t="b">
        <f>ROUND(RawSales[[#This Row],[Subtotal]],2)=ROUND(RawSales[[#This Row],[cogs]],2)</f>
        <v>1</v>
      </c>
      <c r="U72" s="6" t="b">
        <f>ROUND(RawSales[[#This Row],[cogs]]*0.05,2)=ROUND(RawSales[[#This Row],[Tax 5%]],2)</f>
        <v>1</v>
      </c>
      <c r="V72" s="6" t="b">
        <f>ROUND(RawSales[[#This Row],[cogs]]+RawSales[[#This Row],[Tax 5%]],2)=ROUND(RawSales[[#This Row],[Sales]],2)</f>
        <v>1</v>
      </c>
    </row>
    <row r="73" spans="1:22" x14ac:dyDescent="0.35">
      <c r="A73" s="4" t="s">
        <v>181</v>
      </c>
      <c r="B73" t="s">
        <v>28</v>
      </c>
      <c r="C73" t="s">
        <v>29</v>
      </c>
      <c r="D73" t="s">
        <v>30</v>
      </c>
      <c r="E73" t="s">
        <v>23</v>
      </c>
      <c r="F73" t="s">
        <v>43</v>
      </c>
      <c r="G73" s="6">
        <v>1775</v>
      </c>
      <c r="H73" s="7">
        <v>1</v>
      </c>
      <c r="I73" s="6">
        <v>88.75</v>
      </c>
      <c r="J73" s="6">
        <v>1863.75</v>
      </c>
      <c r="K73" s="5">
        <v>43478.958333333336</v>
      </c>
      <c r="L73" s="4" t="s">
        <v>182</v>
      </c>
      <c r="M73" t="s">
        <v>26</v>
      </c>
      <c r="N73" s="6">
        <v>1775</v>
      </c>
      <c r="O73">
        <v>4.7619047620000003</v>
      </c>
      <c r="P73" s="6">
        <v>88.75</v>
      </c>
      <c r="Q73">
        <v>8.6</v>
      </c>
      <c r="R73" s="6">
        <f>RawSales[[#This Row],[Unit price]]*RawSales[[#This Row],[Quantity]]</f>
        <v>1775</v>
      </c>
      <c r="S73" s="6">
        <f>RawSales[[#This Row],[Subtotal]]*$B$1</f>
        <v>88.75</v>
      </c>
      <c r="T73" s="6" t="b">
        <f>ROUND(RawSales[[#This Row],[Subtotal]],2)=ROUND(RawSales[[#This Row],[cogs]],2)</f>
        <v>1</v>
      </c>
      <c r="U73" s="6" t="b">
        <f>ROUND(RawSales[[#This Row],[cogs]]*0.05,2)=ROUND(RawSales[[#This Row],[Tax 5%]],2)</f>
        <v>1</v>
      </c>
      <c r="V73" s="6" t="b">
        <f>ROUND(RawSales[[#This Row],[cogs]]+RawSales[[#This Row],[Tax 5%]],2)=ROUND(RawSales[[#This Row],[Sales]],2)</f>
        <v>1</v>
      </c>
    </row>
    <row r="74" spans="1:22" x14ac:dyDescent="0.35">
      <c r="A74" s="4" t="s">
        <v>183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 s="6">
        <v>2555</v>
      </c>
      <c r="H74" s="7">
        <v>4</v>
      </c>
      <c r="I74" s="6">
        <v>511</v>
      </c>
      <c r="J74" s="6">
        <v>10731</v>
      </c>
      <c r="K74" s="5">
        <v>43490.958333333336</v>
      </c>
      <c r="L74" s="4" t="s">
        <v>184</v>
      </c>
      <c r="M74" t="s">
        <v>34</v>
      </c>
      <c r="N74" s="6">
        <v>10220</v>
      </c>
      <c r="O74">
        <v>4.7619047620000003</v>
      </c>
      <c r="P74" s="6">
        <v>511</v>
      </c>
      <c r="Q74">
        <v>5.7</v>
      </c>
      <c r="R74" s="6">
        <f>RawSales[[#This Row],[Unit price]]*RawSales[[#This Row],[Quantity]]</f>
        <v>10220</v>
      </c>
      <c r="S74" s="6">
        <f>RawSales[[#This Row],[Subtotal]]*$B$1</f>
        <v>511</v>
      </c>
      <c r="T74" s="6" t="b">
        <f>ROUND(RawSales[[#This Row],[Subtotal]],2)=ROUND(RawSales[[#This Row],[cogs]],2)</f>
        <v>1</v>
      </c>
      <c r="U74" s="6" t="b">
        <f>ROUND(RawSales[[#This Row],[cogs]]*0.05,2)=ROUND(RawSales[[#This Row],[Tax 5%]],2)</f>
        <v>1</v>
      </c>
      <c r="V74" s="6" t="b">
        <f>ROUND(RawSales[[#This Row],[cogs]]+RawSales[[#This Row],[Tax 5%]],2)=ROUND(RawSales[[#This Row],[Sales]],2)</f>
        <v>1</v>
      </c>
    </row>
    <row r="75" spans="1:22" x14ac:dyDescent="0.35">
      <c r="A75" s="4" t="s">
        <v>185</v>
      </c>
      <c r="B75" t="s">
        <v>38</v>
      </c>
      <c r="C75" t="s">
        <v>39</v>
      </c>
      <c r="D75" t="s">
        <v>30</v>
      </c>
      <c r="E75" t="s">
        <v>31</v>
      </c>
      <c r="F75" t="s">
        <v>24</v>
      </c>
      <c r="G75" s="6">
        <v>6597</v>
      </c>
      <c r="H75" s="7">
        <v>8</v>
      </c>
      <c r="I75" s="6">
        <v>2638.8</v>
      </c>
      <c r="J75" s="6">
        <v>55414.8</v>
      </c>
      <c r="K75" s="5">
        <v>43497.958333333336</v>
      </c>
      <c r="L75" s="4" t="s">
        <v>186</v>
      </c>
      <c r="M75" t="s">
        <v>26</v>
      </c>
      <c r="N75" s="6">
        <v>52776</v>
      </c>
      <c r="O75">
        <v>4.7619047620000003</v>
      </c>
      <c r="P75" s="6">
        <v>2638.8</v>
      </c>
      <c r="Q75">
        <v>8.4</v>
      </c>
      <c r="R75" s="6">
        <f>RawSales[[#This Row],[Unit price]]*RawSales[[#This Row],[Quantity]]</f>
        <v>52776</v>
      </c>
      <c r="S75" s="6">
        <f>RawSales[[#This Row],[Subtotal]]*$B$1</f>
        <v>2638.8</v>
      </c>
      <c r="T75" s="6" t="b">
        <f>ROUND(RawSales[[#This Row],[Subtotal]],2)=ROUND(RawSales[[#This Row],[cogs]],2)</f>
        <v>1</v>
      </c>
      <c r="U75" s="6" t="b">
        <f>ROUND(RawSales[[#This Row],[cogs]]*0.05,2)=ROUND(RawSales[[#This Row],[Tax 5%]],2)</f>
        <v>1</v>
      </c>
      <c r="V75" s="6" t="b">
        <f>ROUND(RawSales[[#This Row],[cogs]]+RawSales[[#This Row],[Tax 5%]],2)=ROUND(RawSales[[#This Row],[Sales]],2)</f>
        <v>1</v>
      </c>
    </row>
    <row r="76" spans="1:22" x14ac:dyDescent="0.35">
      <c r="A76" s="4" t="s">
        <v>187</v>
      </c>
      <c r="B76" t="s">
        <v>28</v>
      </c>
      <c r="C76" t="s">
        <v>29</v>
      </c>
      <c r="D76" t="s">
        <v>22</v>
      </c>
      <c r="E76" t="s">
        <v>23</v>
      </c>
      <c r="F76" t="s">
        <v>24</v>
      </c>
      <c r="G76" s="6">
        <v>4852</v>
      </c>
      <c r="H76" s="7">
        <v>3</v>
      </c>
      <c r="I76" s="6">
        <v>727.8</v>
      </c>
      <c r="J76" s="6">
        <v>15283.8</v>
      </c>
      <c r="K76" s="5">
        <v>43528.958333333336</v>
      </c>
      <c r="L76" s="4" t="s">
        <v>188</v>
      </c>
      <c r="M76" t="s">
        <v>34</v>
      </c>
      <c r="N76" s="6">
        <v>14556</v>
      </c>
      <c r="O76">
        <v>4.7619047620000003</v>
      </c>
      <c r="P76" s="6">
        <v>727.8</v>
      </c>
      <c r="Q76">
        <v>4</v>
      </c>
      <c r="R76" s="6">
        <f>RawSales[[#This Row],[Unit price]]*RawSales[[#This Row],[Quantity]]</f>
        <v>14556</v>
      </c>
      <c r="S76" s="6">
        <f>RawSales[[#This Row],[Subtotal]]*$B$1</f>
        <v>727.80000000000007</v>
      </c>
      <c r="T76" s="6" t="b">
        <f>ROUND(RawSales[[#This Row],[Subtotal]],2)=ROUND(RawSales[[#This Row],[cogs]],2)</f>
        <v>1</v>
      </c>
      <c r="U76" s="6" t="b">
        <f>ROUND(RawSales[[#This Row],[cogs]]*0.05,2)=ROUND(RawSales[[#This Row],[Tax 5%]],2)</f>
        <v>1</v>
      </c>
      <c r="V76" s="6" t="b">
        <f>ROUND(RawSales[[#This Row],[cogs]]+RawSales[[#This Row],[Tax 5%]],2)=ROUND(RawSales[[#This Row],[Sales]],2)</f>
        <v>1</v>
      </c>
    </row>
    <row r="77" spans="1:22" x14ac:dyDescent="0.35">
      <c r="A77" s="4" t="s">
        <v>189</v>
      </c>
      <c r="B77" t="s">
        <v>20</v>
      </c>
      <c r="C77" t="s">
        <v>21</v>
      </c>
      <c r="D77" t="s">
        <v>30</v>
      </c>
      <c r="E77" t="s">
        <v>31</v>
      </c>
      <c r="F77" t="s">
        <v>140</v>
      </c>
      <c r="G77" s="6">
        <v>9955</v>
      </c>
      <c r="H77" s="7">
        <v>7</v>
      </c>
      <c r="I77" s="6">
        <v>3484.25</v>
      </c>
      <c r="J77" s="6">
        <v>73169.25</v>
      </c>
      <c r="K77" s="5">
        <v>43537.958333333336</v>
      </c>
      <c r="L77" s="4" t="s">
        <v>190</v>
      </c>
      <c r="M77" t="s">
        <v>26</v>
      </c>
      <c r="N77" s="6">
        <v>69685</v>
      </c>
      <c r="O77">
        <v>4.7619047620000003</v>
      </c>
      <c r="P77" s="6">
        <v>3484.25</v>
      </c>
      <c r="Q77">
        <v>7.6</v>
      </c>
      <c r="R77" s="6">
        <f>RawSales[[#This Row],[Unit price]]*RawSales[[#This Row],[Quantity]]</f>
        <v>69685</v>
      </c>
      <c r="S77" s="6">
        <f>RawSales[[#This Row],[Subtotal]]*$B$1</f>
        <v>3484.25</v>
      </c>
      <c r="T77" s="6" t="b">
        <f>ROUND(RawSales[[#This Row],[Subtotal]],2)=ROUND(RawSales[[#This Row],[cogs]],2)</f>
        <v>1</v>
      </c>
      <c r="U77" s="6" t="b">
        <f>ROUND(RawSales[[#This Row],[cogs]]*0.05,2)=ROUND(RawSales[[#This Row],[Tax 5%]],2)</f>
        <v>1</v>
      </c>
      <c r="V77" s="6" t="b">
        <f>ROUND(RawSales[[#This Row],[cogs]]+RawSales[[#This Row],[Tax 5%]],2)=ROUND(RawSales[[#This Row],[Sales]],2)</f>
        <v>1</v>
      </c>
    </row>
    <row r="78" spans="1:22" x14ac:dyDescent="0.35">
      <c r="A78" s="4" t="s">
        <v>191</v>
      </c>
      <c r="B78" t="s">
        <v>28</v>
      </c>
      <c r="C78" t="s">
        <v>29</v>
      </c>
      <c r="D78" t="s">
        <v>22</v>
      </c>
      <c r="E78" t="s">
        <v>31</v>
      </c>
      <c r="F78" t="s">
        <v>49</v>
      </c>
      <c r="G78" s="6">
        <v>5378</v>
      </c>
      <c r="H78" s="7">
        <v>1</v>
      </c>
      <c r="I78" s="6">
        <v>268.89999999999998</v>
      </c>
      <c r="J78" s="6">
        <v>5646.9</v>
      </c>
      <c r="K78" s="5">
        <v>43498.958333333336</v>
      </c>
      <c r="L78" s="4" t="s">
        <v>192</v>
      </c>
      <c r="M78" t="s">
        <v>34</v>
      </c>
      <c r="N78" s="6">
        <v>5378</v>
      </c>
      <c r="O78">
        <v>4.7619047620000003</v>
      </c>
      <c r="P78" s="6">
        <v>268.89999999999998</v>
      </c>
      <c r="Q78">
        <v>4.7</v>
      </c>
      <c r="R78" s="6">
        <f>RawSales[[#This Row],[Unit price]]*RawSales[[#This Row],[Quantity]]</f>
        <v>5378</v>
      </c>
      <c r="S78" s="6">
        <f>RawSales[[#This Row],[Subtotal]]*$B$1</f>
        <v>268.90000000000003</v>
      </c>
      <c r="T78" s="6" t="b">
        <f>ROUND(RawSales[[#This Row],[Subtotal]],2)=ROUND(RawSales[[#This Row],[cogs]],2)</f>
        <v>1</v>
      </c>
      <c r="U78" s="6" t="b">
        <f>ROUND(RawSales[[#This Row],[cogs]]*0.05,2)=ROUND(RawSales[[#This Row],[Tax 5%]],2)</f>
        <v>1</v>
      </c>
      <c r="V78" s="6" t="b">
        <f>ROUND(RawSales[[#This Row],[cogs]]+RawSales[[#This Row],[Tax 5%]],2)=ROUND(RawSales[[#This Row],[Sales]],2)</f>
        <v>1</v>
      </c>
    </row>
    <row r="79" spans="1:22" x14ac:dyDescent="0.35">
      <c r="A79" s="4" t="s">
        <v>193</v>
      </c>
      <c r="B79" t="s">
        <v>20</v>
      </c>
      <c r="C79" t="s">
        <v>21</v>
      </c>
      <c r="D79" t="s">
        <v>30</v>
      </c>
      <c r="E79" t="s">
        <v>31</v>
      </c>
      <c r="F79" t="s">
        <v>24</v>
      </c>
      <c r="G79" s="6">
        <v>3290</v>
      </c>
      <c r="H79" s="7">
        <v>3</v>
      </c>
      <c r="I79" s="6">
        <v>493.5</v>
      </c>
      <c r="J79" s="6">
        <v>10363.5</v>
      </c>
      <c r="K79" s="5">
        <v>43512.958333333336</v>
      </c>
      <c r="L79" s="4" t="s">
        <v>194</v>
      </c>
      <c r="M79" t="s">
        <v>51</v>
      </c>
      <c r="N79" s="6">
        <v>9870</v>
      </c>
      <c r="O79">
        <v>4.7619047620000003</v>
      </c>
      <c r="P79" s="6">
        <v>493.5</v>
      </c>
      <c r="Q79">
        <v>9.1</v>
      </c>
      <c r="R79" s="6">
        <f>RawSales[[#This Row],[Unit price]]*RawSales[[#This Row],[Quantity]]</f>
        <v>9870</v>
      </c>
      <c r="S79" s="6">
        <f>RawSales[[#This Row],[Subtotal]]*$B$1</f>
        <v>493.5</v>
      </c>
      <c r="T79" s="6" t="b">
        <f>ROUND(RawSales[[#This Row],[Subtotal]],2)=ROUND(RawSales[[#This Row],[cogs]],2)</f>
        <v>1</v>
      </c>
      <c r="U79" s="6" t="b">
        <f>ROUND(RawSales[[#This Row],[cogs]]*0.05,2)=ROUND(RawSales[[#This Row],[Tax 5%]],2)</f>
        <v>1</v>
      </c>
      <c r="V79" s="6" t="b">
        <f>ROUND(RawSales[[#This Row],[cogs]]+RawSales[[#This Row],[Tax 5%]],2)=ROUND(RawSales[[#This Row],[Sales]],2)</f>
        <v>1</v>
      </c>
    </row>
    <row r="80" spans="1:22" x14ac:dyDescent="0.35">
      <c r="A80" s="4" t="s">
        <v>195</v>
      </c>
      <c r="B80" t="s">
        <v>38</v>
      </c>
      <c r="C80" t="s">
        <v>39</v>
      </c>
      <c r="D80" t="s">
        <v>22</v>
      </c>
      <c r="E80" t="s">
        <v>23</v>
      </c>
      <c r="F80" t="s">
        <v>62</v>
      </c>
      <c r="G80" s="6">
        <v>6497</v>
      </c>
      <c r="H80" s="7">
        <v>5</v>
      </c>
      <c r="I80" s="6">
        <v>1624.25</v>
      </c>
      <c r="J80" s="6">
        <v>34109.25</v>
      </c>
      <c r="K80" s="5">
        <v>43503.958333333336</v>
      </c>
      <c r="L80" s="4" t="s">
        <v>196</v>
      </c>
      <c r="M80" t="s">
        <v>51</v>
      </c>
      <c r="N80" s="6">
        <v>32485</v>
      </c>
      <c r="O80">
        <v>4.7619047620000003</v>
      </c>
      <c r="P80" s="6">
        <v>1624.25</v>
      </c>
      <c r="Q80">
        <v>6.5</v>
      </c>
      <c r="R80" s="6">
        <f>RawSales[[#This Row],[Unit price]]*RawSales[[#This Row],[Quantity]]</f>
        <v>32485</v>
      </c>
      <c r="S80" s="6">
        <f>RawSales[[#This Row],[Subtotal]]*$B$1</f>
        <v>1624.25</v>
      </c>
      <c r="T80" s="6" t="b">
        <f>ROUND(RawSales[[#This Row],[Subtotal]],2)=ROUND(RawSales[[#This Row],[cogs]],2)</f>
        <v>1</v>
      </c>
      <c r="U80" s="6" t="b">
        <f>ROUND(RawSales[[#This Row],[cogs]]*0.05,2)=ROUND(RawSales[[#This Row],[Tax 5%]],2)</f>
        <v>1</v>
      </c>
      <c r="V80" s="6" t="b">
        <f>ROUND(RawSales[[#This Row],[cogs]]+RawSales[[#This Row],[Tax 5%]],2)=ROUND(RawSales[[#This Row],[Sales]],2)</f>
        <v>1</v>
      </c>
    </row>
    <row r="81" spans="1:22" x14ac:dyDescent="0.35">
      <c r="A81" s="4" t="s">
        <v>197</v>
      </c>
      <c r="B81" t="s">
        <v>28</v>
      </c>
      <c r="C81" t="s">
        <v>29</v>
      </c>
      <c r="D81" t="s">
        <v>30</v>
      </c>
      <c r="E81" t="s">
        <v>23</v>
      </c>
      <c r="F81" t="s">
        <v>49</v>
      </c>
      <c r="G81" s="6">
        <v>3651</v>
      </c>
      <c r="H81" s="7">
        <v>9</v>
      </c>
      <c r="I81" s="6">
        <v>1642.95</v>
      </c>
      <c r="J81" s="6">
        <v>34501.949999999997</v>
      </c>
      <c r="K81" s="5">
        <v>43511.958333333336</v>
      </c>
      <c r="L81" s="4" t="s">
        <v>198</v>
      </c>
      <c r="M81" t="s">
        <v>26</v>
      </c>
      <c r="N81" s="6">
        <v>32859</v>
      </c>
      <c r="O81">
        <v>4.7619047620000003</v>
      </c>
      <c r="P81" s="6">
        <v>1642.95</v>
      </c>
      <c r="Q81">
        <v>4.2</v>
      </c>
      <c r="R81" s="6">
        <f>RawSales[[#This Row],[Unit price]]*RawSales[[#This Row],[Quantity]]</f>
        <v>32859</v>
      </c>
      <c r="S81" s="6">
        <f>RawSales[[#This Row],[Subtotal]]*$B$1</f>
        <v>1642.95</v>
      </c>
      <c r="T81" s="6" t="b">
        <f>ROUND(RawSales[[#This Row],[Subtotal]],2)=ROUND(RawSales[[#This Row],[cogs]],2)</f>
        <v>1</v>
      </c>
      <c r="U81" s="6" t="b">
        <f>ROUND(RawSales[[#This Row],[cogs]]*0.05,2)=ROUND(RawSales[[#This Row],[Tax 5%]],2)</f>
        <v>1</v>
      </c>
      <c r="V81" s="6" t="b">
        <f>ROUND(RawSales[[#This Row],[cogs]]+RawSales[[#This Row],[Tax 5%]],2)=ROUND(RawSales[[#This Row],[Sales]],2)</f>
        <v>1</v>
      </c>
    </row>
    <row r="82" spans="1:22" x14ac:dyDescent="0.35">
      <c r="A82" s="4" t="s">
        <v>199</v>
      </c>
      <c r="B82" t="s">
        <v>28</v>
      </c>
      <c r="C82" t="s">
        <v>29</v>
      </c>
      <c r="D82" t="s">
        <v>22</v>
      </c>
      <c r="E82" t="s">
        <v>31</v>
      </c>
      <c r="F82" t="s">
        <v>32</v>
      </c>
      <c r="G82" s="6">
        <v>6591</v>
      </c>
      <c r="H82" s="7">
        <v>-6</v>
      </c>
      <c r="I82" s="6">
        <v>1977.3</v>
      </c>
      <c r="J82" s="6">
        <v>41523.300000000003</v>
      </c>
      <c r="K82" s="5">
        <v>43504.958333333336</v>
      </c>
      <c r="L82" s="4" t="s">
        <v>200</v>
      </c>
      <c r="M82" t="s">
        <v>26</v>
      </c>
      <c r="N82" s="6">
        <v>39546</v>
      </c>
      <c r="O82">
        <v>4.7619047620000003</v>
      </c>
      <c r="P82" s="6">
        <v>1977.3</v>
      </c>
      <c r="Q82">
        <v>5.7</v>
      </c>
      <c r="R82" s="6">
        <f>RawSales[[#This Row],[Unit price]]*RawSales[[#This Row],[Quantity]]</f>
        <v>-39546</v>
      </c>
      <c r="S82" s="6">
        <f>RawSales[[#This Row],[Subtotal]]*$B$1</f>
        <v>-1977.3000000000002</v>
      </c>
      <c r="T82" s="6" t="b">
        <f>ROUND(RawSales[[#This Row],[Subtotal]],2)=ROUND(RawSales[[#This Row],[cogs]],2)</f>
        <v>0</v>
      </c>
      <c r="U82" s="6" t="b">
        <f>ROUND(RawSales[[#This Row],[cogs]]*0.05,2)=ROUND(RawSales[[#This Row],[Tax 5%]],2)</f>
        <v>1</v>
      </c>
      <c r="V82" s="6" t="b">
        <f>ROUND(RawSales[[#This Row],[cogs]]+RawSales[[#This Row],[Tax 5%]],2)=ROUND(RawSales[[#This Row],[Sales]],2)</f>
        <v>1</v>
      </c>
    </row>
    <row r="83" spans="1:22" x14ac:dyDescent="0.35">
      <c r="A83" s="4" t="s">
        <v>201</v>
      </c>
      <c r="B83" t="s">
        <v>38</v>
      </c>
      <c r="C83" t="s">
        <v>39</v>
      </c>
      <c r="D83" t="s">
        <v>30</v>
      </c>
      <c r="E83" t="s">
        <v>23</v>
      </c>
      <c r="F83" t="s">
        <v>62</v>
      </c>
      <c r="G83" s="6">
        <v>2238</v>
      </c>
      <c r="H83" s="7">
        <v>1</v>
      </c>
      <c r="I83" s="6">
        <v>111.9</v>
      </c>
      <c r="J83" s="6">
        <v>2349.9</v>
      </c>
      <c r="K83" s="5">
        <v>43494.958333333336</v>
      </c>
      <c r="L83" s="4" t="s">
        <v>202</v>
      </c>
      <c r="M83" t="s">
        <v>51</v>
      </c>
      <c r="N83" s="6">
        <v>2238</v>
      </c>
      <c r="O83">
        <v>4.7619047620000003</v>
      </c>
      <c r="P83" s="6">
        <v>111.9</v>
      </c>
      <c r="Q83">
        <v>8.6</v>
      </c>
      <c r="R83" s="6">
        <f>RawSales[[#This Row],[Unit price]]*RawSales[[#This Row],[Quantity]]</f>
        <v>2238</v>
      </c>
      <c r="S83" s="6">
        <f>RawSales[[#This Row],[Subtotal]]*$B$1</f>
        <v>111.9</v>
      </c>
      <c r="T83" s="6" t="b">
        <f>ROUND(RawSales[[#This Row],[Subtotal]],2)=ROUND(RawSales[[#This Row],[cogs]],2)</f>
        <v>1</v>
      </c>
      <c r="U83" s="6" t="b">
        <f>ROUND(RawSales[[#This Row],[cogs]]*0.05,2)=ROUND(RawSales[[#This Row],[Tax 5%]],2)</f>
        <v>1</v>
      </c>
      <c r="V83" s="6" t="b">
        <f>ROUND(RawSales[[#This Row],[cogs]]+RawSales[[#This Row],[Tax 5%]],2)=ROUND(RawSales[[#This Row],[Sales]],2)</f>
        <v>1</v>
      </c>
    </row>
    <row r="84" spans="1:22" x14ac:dyDescent="0.35">
      <c r="A84" s="4" t="s">
        <v>203</v>
      </c>
      <c r="B84" t="s">
        <v>20</v>
      </c>
      <c r="C84" t="s">
        <v>21</v>
      </c>
      <c r="D84" t="s">
        <v>22</v>
      </c>
      <c r="E84" t="s">
        <v>23</v>
      </c>
      <c r="F84" t="s">
        <v>62</v>
      </c>
      <c r="G84" s="6">
        <v>9748</v>
      </c>
      <c r="H84" s="7">
        <v>9</v>
      </c>
      <c r="I84" s="6">
        <v>4386.6000000000004</v>
      </c>
      <c r="J84" s="6">
        <v>92118.6</v>
      </c>
      <c r="K84" s="5">
        <v>43537.958333333336</v>
      </c>
      <c r="L84" s="4" t="s">
        <v>204</v>
      </c>
      <c r="M84" t="s">
        <v>34</v>
      </c>
      <c r="N84" s="6">
        <v>87732</v>
      </c>
      <c r="O84">
        <v>4.7619047620000003</v>
      </c>
      <c r="P84" s="6">
        <v>4386.6000000000004</v>
      </c>
      <c r="Q84">
        <v>7.4</v>
      </c>
      <c r="R84" s="6">
        <f>RawSales[[#This Row],[Unit price]]*RawSales[[#This Row],[Quantity]]</f>
        <v>87732</v>
      </c>
      <c r="S84" s="6">
        <f>RawSales[[#This Row],[Subtotal]]*$B$1</f>
        <v>4386.6000000000004</v>
      </c>
      <c r="T84" s="6" t="b">
        <f>ROUND(RawSales[[#This Row],[Subtotal]],2)=ROUND(RawSales[[#This Row],[cogs]],2)</f>
        <v>1</v>
      </c>
      <c r="U84" s="6" t="b">
        <f>ROUND(RawSales[[#This Row],[cogs]]*0.05,2)=ROUND(RawSales[[#This Row],[Tax 5%]],2)</f>
        <v>1</v>
      </c>
      <c r="V84" s="6" t="b">
        <f>ROUND(RawSales[[#This Row],[cogs]]+RawSales[[#This Row],[Tax 5%]],2)=ROUND(RawSales[[#This Row],[Sales]],2)</f>
        <v>1</v>
      </c>
    </row>
    <row r="85" spans="1:22" x14ac:dyDescent="0.35">
      <c r="A85" s="4" t="s">
        <v>205</v>
      </c>
      <c r="B85" t="s">
        <v>28</v>
      </c>
      <c r="C85" t="s">
        <v>29</v>
      </c>
      <c r="D85" t="s">
        <v>22</v>
      </c>
      <c r="E85" t="s">
        <v>31</v>
      </c>
      <c r="F85" t="s">
        <v>62</v>
      </c>
      <c r="G85" s="6">
        <v>9053</v>
      </c>
      <c r="H85" s="7">
        <v>8</v>
      </c>
      <c r="I85" s="6">
        <v>3621.2</v>
      </c>
      <c r="J85" s="6">
        <v>76045.2</v>
      </c>
      <c r="K85" s="5">
        <v>43538.958333333336</v>
      </c>
      <c r="L85" s="4" t="s">
        <v>206</v>
      </c>
      <c r="M85" t="s">
        <v>51</v>
      </c>
      <c r="N85" s="6">
        <v>72424</v>
      </c>
      <c r="O85">
        <v>4.7619047620000003</v>
      </c>
      <c r="P85" s="6">
        <v>3621.2</v>
      </c>
      <c r="Q85">
        <v>6.5</v>
      </c>
      <c r="R85" s="6">
        <f>RawSales[[#This Row],[Unit price]]*RawSales[[#This Row],[Quantity]]</f>
        <v>72424</v>
      </c>
      <c r="S85" s="6">
        <f>RawSales[[#This Row],[Subtotal]]*$B$1</f>
        <v>3621.2000000000003</v>
      </c>
      <c r="T85" s="6" t="b">
        <f>ROUND(RawSales[[#This Row],[Subtotal]],2)=ROUND(RawSales[[#This Row],[cogs]],2)</f>
        <v>1</v>
      </c>
      <c r="U85" s="6" t="b">
        <f>ROUND(RawSales[[#This Row],[cogs]]*0.05,2)=ROUND(RawSales[[#This Row],[Tax 5%]],2)</f>
        <v>1</v>
      </c>
      <c r="V85" s="6" t="b">
        <f>ROUND(RawSales[[#This Row],[cogs]]+RawSales[[#This Row],[Tax 5%]],2)=ROUND(RawSales[[#This Row],[Sales]],2)</f>
        <v>1</v>
      </c>
    </row>
    <row r="86" spans="1:22" x14ac:dyDescent="0.35">
      <c r="A86" s="4" t="s">
        <v>207</v>
      </c>
      <c r="B86" t="s">
        <v>28</v>
      </c>
      <c r="C86" t="s">
        <v>29</v>
      </c>
      <c r="D86" t="s">
        <v>30</v>
      </c>
      <c r="E86" t="s">
        <v>31</v>
      </c>
      <c r="F86" t="s">
        <v>49</v>
      </c>
      <c r="G86" s="6">
        <v>1749</v>
      </c>
      <c r="H86" s="7">
        <v>10</v>
      </c>
      <c r="I86" s="6">
        <v>874.5</v>
      </c>
      <c r="J86" s="6">
        <v>18364.5</v>
      </c>
      <c r="K86" s="5">
        <v>43517.958333333336</v>
      </c>
      <c r="L86" s="4" t="s">
        <v>208</v>
      </c>
      <c r="M86" t="s">
        <v>34</v>
      </c>
      <c r="N86" s="6">
        <v>17490</v>
      </c>
      <c r="O86">
        <v>4.7619047620000003</v>
      </c>
      <c r="P86" s="6">
        <v>874.5</v>
      </c>
      <c r="Q86">
        <v>6.6</v>
      </c>
      <c r="R86" s="6">
        <f>RawSales[[#This Row],[Unit price]]*RawSales[[#This Row],[Quantity]]</f>
        <v>17490</v>
      </c>
      <c r="S86" s="6">
        <f>RawSales[[#This Row],[Subtotal]]*$B$1</f>
        <v>874.5</v>
      </c>
      <c r="T86" s="6" t="b">
        <f>ROUND(RawSales[[#This Row],[Subtotal]],2)=ROUND(RawSales[[#This Row],[cogs]],2)</f>
        <v>1</v>
      </c>
      <c r="U86" s="6" t="b">
        <f>ROUND(RawSales[[#This Row],[cogs]]*0.05,2)=ROUND(RawSales[[#This Row],[Tax 5%]],2)</f>
        <v>1</v>
      </c>
      <c r="V86" s="6" t="b">
        <f>ROUND(RawSales[[#This Row],[cogs]]+RawSales[[#This Row],[Tax 5%]],2)=ROUND(RawSales[[#This Row],[Sales]],2)</f>
        <v>1</v>
      </c>
    </row>
    <row r="87" spans="1:22" x14ac:dyDescent="0.35">
      <c r="A87" s="4" t="s">
        <v>209</v>
      </c>
      <c r="B87" t="s">
        <v>28</v>
      </c>
      <c r="C87" t="s">
        <v>29</v>
      </c>
      <c r="D87" t="s">
        <v>30</v>
      </c>
      <c r="E87" t="s">
        <v>31</v>
      </c>
      <c r="F87" t="s">
        <v>49</v>
      </c>
      <c r="G87" s="6">
        <v>9989</v>
      </c>
      <c r="H87" s="7">
        <v>2</v>
      </c>
      <c r="I87" s="6">
        <v>998.9</v>
      </c>
      <c r="J87" s="6">
        <v>20976.9</v>
      </c>
      <c r="K87" s="5">
        <v>43521.958333333336</v>
      </c>
      <c r="L87" s="4" t="s">
        <v>210</v>
      </c>
      <c r="M87" t="s">
        <v>34</v>
      </c>
      <c r="N87" s="6">
        <v>19978</v>
      </c>
      <c r="O87">
        <v>4.7619047620000003</v>
      </c>
      <c r="P87" s="6">
        <v>998.9</v>
      </c>
      <c r="Q87">
        <v>7.1</v>
      </c>
      <c r="R87" s="6">
        <f>RawSales[[#This Row],[Unit price]]*RawSales[[#This Row],[Quantity]]</f>
        <v>19978</v>
      </c>
      <c r="S87" s="6">
        <f>RawSales[[#This Row],[Subtotal]]*$B$1</f>
        <v>998.90000000000009</v>
      </c>
      <c r="T87" s="6" t="b">
        <f>ROUND(RawSales[[#This Row],[Subtotal]],2)=ROUND(RawSales[[#This Row],[cogs]],2)</f>
        <v>1</v>
      </c>
      <c r="U87" s="6" t="b">
        <f>ROUND(RawSales[[#This Row],[cogs]]*0.05,2)=ROUND(RawSales[[#This Row],[Tax 5%]],2)</f>
        <v>1</v>
      </c>
      <c r="V87" s="6" t="b">
        <f>ROUND(RawSales[[#This Row],[cogs]]+RawSales[[#This Row],[Tax 5%]],2)=ROUND(RawSales[[#This Row],[Sales]],2)</f>
        <v>1</v>
      </c>
    </row>
    <row r="88" spans="1:22" x14ac:dyDescent="0.35">
      <c r="A88" s="4" t="s">
        <v>211</v>
      </c>
      <c r="B88" t="s">
        <v>28</v>
      </c>
      <c r="C88" t="s">
        <v>29</v>
      </c>
      <c r="D88" t="s">
        <v>22</v>
      </c>
      <c r="E88" t="s">
        <v>23</v>
      </c>
      <c r="F88" t="s">
        <v>24</v>
      </c>
      <c r="G88" s="6">
        <v>8836</v>
      </c>
      <c r="H88" s="7">
        <v>5</v>
      </c>
      <c r="I88" s="6">
        <v>2209</v>
      </c>
      <c r="J88" s="6">
        <v>46389</v>
      </c>
      <c r="K88" s="5">
        <v>43489.958333333336</v>
      </c>
      <c r="L88" s="4" t="s">
        <v>212</v>
      </c>
      <c r="M88" t="s">
        <v>26</v>
      </c>
      <c r="N88" s="6">
        <v>44180</v>
      </c>
      <c r="O88">
        <v>4.7619047620000003</v>
      </c>
      <c r="P88" s="6">
        <v>2209</v>
      </c>
      <c r="Q88">
        <v>9.6</v>
      </c>
      <c r="R88" s="6">
        <f>RawSales[[#This Row],[Unit price]]*RawSales[[#This Row],[Quantity]]</f>
        <v>44180</v>
      </c>
      <c r="S88" s="6">
        <f>RawSales[[#This Row],[Subtotal]]*$B$1</f>
        <v>2209</v>
      </c>
      <c r="T88" s="6" t="b">
        <f>ROUND(RawSales[[#This Row],[Subtotal]],2)=ROUND(RawSales[[#This Row],[cogs]],2)</f>
        <v>1</v>
      </c>
      <c r="U88" s="6" t="b">
        <f>ROUND(RawSales[[#This Row],[cogs]]*0.05,2)=ROUND(RawSales[[#This Row],[Tax 5%]],2)</f>
        <v>1</v>
      </c>
      <c r="V88" s="6" t="b">
        <f>ROUND(RawSales[[#This Row],[cogs]]+RawSales[[#This Row],[Tax 5%]],2)=ROUND(RawSales[[#This Row],[Sales]],2)</f>
        <v>1</v>
      </c>
    </row>
    <row r="89" spans="1:22" x14ac:dyDescent="0.35">
      <c r="A89" s="4" t="s">
        <v>213</v>
      </c>
      <c r="B89" t="s">
        <v>28</v>
      </c>
      <c r="C89" t="s">
        <v>29</v>
      </c>
      <c r="D89" t="s">
        <v>22</v>
      </c>
      <c r="E89" t="s">
        <v>31</v>
      </c>
      <c r="F89" t="s">
        <v>62</v>
      </c>
      <c r="G89" s="6">
        <v>7397</v>
      </c>
      <c r="H89" s="7">
        <v>1</v>
      </c>
      <c r="I89" s="6">
        <v>369.85</v>
      </c>
      <c r="J89" s="6">
        <v>7766.85</v>
      </c>
      <c r="K89" s="5">
        <v>43498.958333333336</v>
      </c>
      <c r="L89" s="4" t="s">
        <v>214</v>
      </c>
      <c r="M89" t="s">
        <v>51</v>
      </c>
      <c r="N89" s="6">
        <v>7397</v>
      </c>
      <c r="O89">
        <v>4.7619047620000003</v>
      </c>
      <c r="P89" s="6">
        <v>369.85</v>
      </c>
      <c r="Q89">
        <v>5.4</v>
      </c>
      <c r="R89" s="6">
        <f>RawSales[[#This Row],[Unit price]]*RawSales[[#This Row],[Quantity]]</f>
        <v>7397</v>
      </c>
      <c r="S89" s="6">
        <f>RawSales[[#This Row],[Subtotal]]*$B$1</f>
        <v>369.85</v>
      </c>
      <c r="T89" s="6" t="b">
        <f>ROUND(RawSales[[#This Row],[Subtotal]],2)=ROUND(RawSales[[#This Row],[cogs]],2)</f>
        <v>1</v>
      </c>
      <c r="U89" s="6" t="b">
        <f>ROUND(RawSales[[#This Row],[cogs]]*0.05,2)=ROUND(RawSales[[#This Row],[Tax 5%]],2)</f>
        <v>1</v>
      </c>
      <c r="V89" s="6" t="b">
        <f>ROUND(RawSales[[#This Row],[cogs]]+RawSales[[#This Row],[Tax 5%]],2)=ROUND(RawSales[[#This Row],[Sales]],2)</f>
        <v>1</v>
      </c>
    </row>
    <row r="90" spans="1:22" x14ac:dyDescent="0.35">
      <c r="A90" s="4" t="s">
        <v>215</v>
      </c>
      <c r="B90" t="s">
        <v>38</v>
      </c>
      <c r="C90" t="s">
        <v>39</v>
      </c>
      <c r="D90" t="s">
        <v>22</v>
      </c>
      <c r="E90" t="s">
        <v>23</v>
      </c>
      <c r="F90" t="s">
        <v>24</v>
      </c>
      <c r="G90" s="6">
        <v>7288</v>
      </c>
      <c r="H90" s="7">
        <v>9</v>
      </c>
      <c r="I90" s="6">
        <v>3279.6</v>
      </c>
      <c r="J90" s="6">
        <v>68871.600000000006</v>
      </c>
      <c r="K90" s="5">
        <v>43472.958333333336</v>
      </c>
      <c r="L90" s="4" t="s">
        <v>216</v>
      </c>
      <c r="M90" t="s">
        <v>26</v>
      </c>
      <c r="N90" s="6">
        <v>65592</v>
      </c>
      <c r="O90">
        <v>4.7619047620000003</v>
      </c>
      <c r="P90" s="6">
        <v>3279.6</v>
      </c>
      <c r="Q90">
        <v>4</v>
      </c>
      <c r="R90" s="6">
        <f>RawSales[[#This Row],[Unit price]]*RawSales[[#This Row],[Quantity]]</f>
        <v>65592</v>
      </c>
      <c r="S90" s="6">
        <f>RawSales[[#This Row],[Subtotal]]*$B$1</f>
        <v>3279.6000000000004</v>
      </c>
      <c r="T90" s="6" t="b">
        <f>ROUND(RawSales[[#This Row],[Subtotal]],2)=ROUND(RawSales[[#This Row],[cogs]],2)</f>
        <v>1</v>
      </c>
      <c r="U90" s="6" t="b">
        <f>ROUND(RawSales[[#This Row],[cogs]]*0.05,2)=ROUND(RawSales[[#This Row],[Tax 5%]],2)</f>
        <v>1</v>
      </c>
      <c r="V90" s="6" t="b">
        <f>ROUND(RawSales[[#This Row],[cogs]]+RawSales[[#This Row],[Tax 5%]],2)=ROUND(RawSales[[#This Row],[Sales]],2)</f>
        <v>1</v>
      </c>
    </row>
    <row r="91" spans="1:22" x14ac:dyDescent="0.35">
      <c r="A91" s="4" t="s">
        <v>217</v>
      </c>
      <c r="B91" t="s">
        <v>38</v>
      </c>
      <c r="C91" t="s">
        <v>39</v>
      </c>
      <c r="D91" t="s">
        <v>22</v>
      </c>
      <c r="E91" t="s">
        <v>23</v>
      </c>
      <c r="F91" t="s">
        <v>49</v>
      </c>
      <c r="G91" s="6">
        <v>2738</v>
      </c>
      <c r="H91" s="7">
        <v>6</v>
      </c>
      <c r="I91" s="6">
        <v>821.4</v>
      </c>
      <c r="J91" s="6">
        <v>17249.400000000001</v>
      </c>
      <c r="K91" s="5">
        <v>43469.958333333336</v>
      </c>
      <c r="L91" s="4" t="s">
        <v>218</v>
      </c>
      <c r="M91" t="s">
        <v>51</v>
      </c>
      <c r="N91" s="6">
        <v>16428</v>
      </c>
      <c r="O91">
        <v>4.7619047620000003</v>
      </c>
      <c r="P91" s="6">
        <v>821.4</v>
      </c>
      <c r="Q91">
        <v>7.9</v>
      </c>
      <c r="R91" s="6">
        <f>RawSales[[#This Row],[Unit price]]*RawSales[[#This Row],[Quantity]]</f>
        <v>16428</v>
      </c>
      <c r="S91" s="6">
        <f>RawSales[[#This Row],[Subtotal]]*$B$1</f>
        <v>821.40000000000009</v>
      </c>
      <c r="T91" s="6" t="b">
        <f>ROUND(RawSales[[#This Row],[Subtotal]],2)=ROUND(RawSales[[#This Row],[cogs]],2)</f>
        <v>1</v>
      </c>
      <c r="U91" s="6" t="b">
        <f>ROUND(RawSales[[#This Row],[cogs]]*0.05,2)=ROUND(RawSales[[#This Row],[Tax 5%]],2)</f>
        <v>1</v>
      </c>
      <c r="V91" s="6" t="b">
        <f>ROUND(RawSales[[#This Row],[cogs]]+RawSales[[#This Row],[Tax 5%]],2)=ROUND(RawSales[[#This Row],[Sales]],2)</f>
        <v>1</v>
      </c>
    </row>
    <row r="92" spans="1:22" x14ac:dyDescent="0.35">
      <c r="A92" s="4" t="s">
        <v>219</v>
      </c>
      <c r="B92" t="s">
        <v>20</v>
      </c>
      <c r="C92" t="s">
        <v>21</v>
      </c>
      <c r="D92" t="s">
        <v>30</v>
      </c>
      <c r="E92" t="s">
        <v>31</v>
      </c>
      <c r="F92" t="s">
        <v>24</v>
      </c>
      <c r="G92" s="6">
        <v>3388</v>
      </c>
      <c r="H92" s="7">
        <v>8</v>
      </c>
      <c r="I92" s="6">
        <v>1355.2</v>
      </c>
      <c r="J92" s="6">
        <v>28459.200000000001</v>
      </c>
      <c r="K92" s="5">
        <v>43483.958333333336</v>
      </c>
      <c r="L92" s="4" t="s">
        <v>186</v>
      </c>
      <c r="M92" t="s">
        <v>34</v>
      </c>
      <c r="N92" s="6">
        <v>27104</v>
      </c>
      <c r="O92">
        <v>4.7619047620000003</v>
      </c>
      <c r="P92" s="6">
        <v>1355.2</v>
      </c>
      <c r="Q92">
        <v>9.6</v>
      </c>
      <c r="R92" s="6">
        <f>RawSales[[#This Row],[Unit price]]*RawSales[[#This Row],[Quantity]]</f>
        <v>27104</v>
      </c>
      <c r="S92" s="6">
        <f>RawSales[[#This Row],[Subtotal]]*$B$1</f>
        <v>1355.2</v>
      </c>
      <c r="T92" s="6" t="b">
        <f>ROUND(RawSales[[#This Row],[Subtotal]],2)=ROUND(RawSales[[#This Row],[cogs]],2)</f>
        <v>1</v>
      </c>
      <c r="U92" s="6" t="b">
        <f>ROUND(RawSales[[#This Row],[cogs]]*0.05,2)=ROUND(RawSales[[#This Row],[Tax 5%]],2)</f>
        <v>1</v>
      </c>
      <c r="V92" s="6" t="b">
        <f>ROUND(RawSales[[#This Row],[cogs]]+RawSales[[#This Row],[Tax 5%]],2)=ROUND(RawSales[[#This Row],[Sales]],2)</f>
        <v>1</v>
      </c>
    </row>
    <row r="93" spans="1:22" x14ac:dyDescent="0.35">
      <c r="A93" s="4" t="s">
        <v>220</v>
      </c>
      <c r="B93" t="s">
        <v>28</v>
      </c>
      <c r="C93" t="s">
        <v>29</v>
      </c>
      <c r="D93" t="s">
        <v>22</v>
      </c>
      <c r="E93" t="s">
        <v>23</v>
      </c>
      <c r="F93" t="s">
        <v>24</v>
      </c>
      <c r="G93" s="6">
        <v>7460</v>
      </c>
      <c r="H93" s="7">
        <v>10</v>
      </c>
      <c r="I93" s="6">
        <v>3730</v>
      </c>
      <c r="J93" s="6">
        <v>78330</v>
      </c>
      <c r="K93" s="5">
        <v>43472.958333333336</v>
      </c>
      <c r="L93" s="4" t="s">
        <v>221</v>
      </c>
      <c r="M93" t="s">
        <v>26</v>
      </c>
      <c r="N93" s="6">
        <v>74600</v>
      </c>
      <c r="O93">
        <v>4.7619047620000003</v>
      </c>
      <c r="P93" s="6">
        <v>3730</v>
      </c>
      <c r="Q93">
        <v>9.5</v>
      </c>
      <c r="R93" s="6">
        <f>RawSales[[#This Row],[Unit price]]*RawSales[[#This Row],[Quantity]]</f>
        <v>74600</v>
      </c>
      <c r="S93" s="6">
        <f>RawSales[[#This Row],[Subtotal]]*$B$1</f>
        <v>3730</v>
      </c>
      <c r="T93" s="6" t="b">
        <f>ROUND(RawSales[[#This Row],[Subtotal]],2)=ROUND(RawSales[[#This Row],[cogs]],2)</f>
        <v>1</v>
      </c>
      <c r="U93" s="6" t="b">
        <f>ROUND(RawSales[[#This Row],[cogs]]*0.05,2)=ROUND(RawSales[[#This Row],[Tax 5%]],2)</f>
        <v>1</v>
      </c>
      <c r="V93" s="6" t="b">
        <f>ROUND(RawSales[[#This Row],[cogs]]+RawSales[[#This Row],[Tax 5%]],2)=ROUND(RawSales[[#This Row],[Sales]],2)</f>
        <v>1</v>
      </c>
    </row>
    <row r="94" spans="1:22" x14ac:dyDescent="0.35">
      <c r="A94" s="4" t="s">
        <v>222</v>
      </c>
      <c r="B94" t="s">
        <v>20</v>
      </c>
      <c r="C94" t="s">
        <v>21</v>
      </c>
      <c r="D94" t="s">
        <v>30</v>
      </c>
      <c r="E94" t="s">
        <v>23</v>
      </c>
      <c r="F94" t="s">
        <v>32</v>
      </c>
      <c r="G94" s="6">
        <v>6996</v>
      </c>
      <c r="H94" s="7">
        <v>8</v>
      </c>
      <c r="I94" s="6">
        <v>2798.4</v>
      </c>
      <c r="J94" s="6">
        <v>58766.400000000001</v>
      </c>
      <c r="K94" s="5">
        <v>43510.958333333336</v>
      </c>
      <c r="L94" s="4" t="s">
        <v>223</v>
      </c>
      <c r="M94" t="s">
        <v>51</v>
      </c>
      <c r="N94" s="6">
        <v>55968</v>
      </c>
      <c r="O94">
        <v>4.7619047620000003</v>
      </c>
      <c r="P94" s="6">
        <v>2798.4</v>
      </c>
      <c r="Q94">
        <v>6.4</v>
      </c>
      <c r="R94" s="6">
        <f>RawSales[[#This Row],[Unit price]]*RawSales[[#This Row],[Quantity]]</f>
        <v>55968</v>
      </c>
      <c r="S94" s="6">
        <f>RawSales[[#This Row],[Subtotal]]*$B$1</f>
        <v>2798.4</v>
      </c>
      <c r="T94" s="6" t="b">
        <f>ROUND(RawSales[[#This Row],[Subtotal]],2)=ROUND(RawSales[[#This Row],[cogs]],2)</f>
        <v>1</v>
      </c>
      <c r="U94" s="6" t="b">
        <f>ROUND(RawSales[[#This Row],[cogs]]*0.05,2)=ROUND(RawSales[[#This Row],[Tax 5%]],2)</f>
        <v>1</v>
      </c>
      <c r="V94" s="6" t="b">
        <f>ROUND(RawSales[[#This Row],[cogs]]+RawSales[[#This Row],[Tax 5%]],2)=ROUND(RawSales[[#This Row],[Sales]],2)</f>
        <v>1</v>
      </c>
    </row>
    <row r="95" spans="1:22" x14ac:dyDescent="0.35">
      <c r="A95" s="4" t="s">
        <v>224</v>
      </c>
      <c r="B95" t="s">
        <v>38</v>
      </c>
      <c r="C95" t="s">
        <v>39</v>
      </c>
      <c r="D95" t="s">
        <v>22</v>
      </c>
      <c r="E95" t="s">
        <v>23</v>
      </c>
      <c r="F95" t="s">
        <v>62</v>
      </c>
      <c r="G95" s="6">
        <v>8306</v>
      </c>
      <c r="H95" s="7">
        <v>7</v>
      </c>
      <c r="I95" s="6">
        <v>2907.1</v>
      </c>
      <c r="J95" s="6">
        <v>61049.1</v>
      </c>
      <c r="K95" s="4" t="s">
        <v>225</v>
      </c>
      <c r="L95" s="4" t="s">
        <v>226</v>
      </c>
      <c r="M95" t="s">
        <v>34</v>
      </c>
      <c r="N95" s="6">
        <v>58142</v>
      </c>
      <c r="O95">
        <v>4.7619047620000003</v>
      </c>
      <c r="P95" s="6">
        <v>2907.1</v>
      </c>
      <c r="Q95">
        <v>4</v>
      </c>
      <c r="R95" s="6">
        <f>RawSales[[#This Row],[Unit price]]*RawSales[[#This Row],[Quantity]]</f>
        <v>58142</v>
      </c>
      <c r="S95" s="6">
        <f>RawSales[[#This Row],[Subtotal]]*$B$1</f>
        <v>2907.1000000000004</v>
      </c>
      <c r="T95" s="6" t="b">
        <f>ROUND(RawSales[[#This Row],[Subtotal]],2)=ROUND(RawSales[[#This Row],[cogs]],2)</f>
        <v>1</v>
      </c>
      <c r="U95" s="6" t="b">
        <f>ROUND(RawSales[[#This Row],[cogs]]*0.05,2)=ROUND(RawSales[[#This Row],[Tax 5%]],2)</f>
        <v>1</v>
      </c>
      <c r="V95" s="6" t="b">
        <f>ROUND(RawSales[[#This Row],[cogs]]+RawSales[[#This Row],[Tax 5%]],2)=ROUND(RawSales[[#This Row],[Sales]],2)</f>
        <v>1</v>
      </c>
    </row>
    <row r="96" spans="1:22" x14ac:dyDescent="0.35">
      <c r="A96" s="4" t="s">
        <v>227</v>
      </c>
      <c r="B96" t="s">
        <v>28</v>
      </c>
      <c r="C96" t="s">
        <v>29</v>
      </c>
      <c r="D96" t="s">
        <v>30</v>
      </c>
      <c r="E96" t="s">
        <v>31</v>
      </c>
      <c r="F96" t="s">
        <v>32</v>
      </c>
      <c r="G96" s="6">
        <v>3748</v>
      </c>
      <c r="H96" s="7">
        <v>3</v>
      </c>
      <c r="I96" s="6">
        <v>562.20000000000005</v>
      </c>
      <c r="J96" s="6">
        <v>11806.2</v>
      </c>
      <c r="K96" s="5">
        <v>43484.958333333336</v>
      </c>
      <c r="L96" s="4" t="s">
        <v>228</v>
      </c>
      <c r="M96" t="s">
        <v>51</v>
      </c>
      <c r="N96" s="6">
        <v>11244</v>
      </c>
      <c r="O96">
        <v>4.7619047620000003</v>
      </c>
      <c r="P96" s="6">
        <v>562.20000000000005</v>
      </c>
      <c r="Q96">
        <v>7.7</v>
      </c>
      <c r="R96" s="6">
        <f>RawSales[[#This Row],[Unit price]]*RawSales[[#This Row],[Quantity]]</f>
        <v>11244</v>
      </c>
      <c r="S96" s="6">
        <f>RawSales[[#This Row],[Subtotal]]*$B$1</f>
        <v>562.20000000000005</v>
      </c>
      <c r="T96" s="6" t="b">
        <f>ROUND(RawSales[[#This Row],[Subtotal]],2)=ROUND(RawSales[[#This Row],[cogs]],2)</f>
        <v>1</v>
      </c>
      <c r="U96" s="6" t="b">
        <f>ROUND(RawSales[[#This Row],[cogs]]*0.05,2)=ROUND(RawSales[[#This Row],[Tax 5%]],2)</f>
        <v>1</v>
      </c>
      <c r="V96" s="6" t="b">
        <f>ROUND(RawSales[[#This Row],[cogs]]+RawSales[[#This Row],[Tax 5%]],2)=ROUND(RawSales[[#This Row],[Sales]],2)</f>
        <v>1</v>
      </c>
    </row>
    <row r="97" spans="1:22" x14ac:dyDescent="0.35">
      <c r="A97" s="4" t="s">
        <v>229</v>
      </c>
      <c r="B97" t="s">
        <v>38</v>
      </c>
      <c r="C97" t="s">
        <v>39</v>
      </c>
      <c r="D97" t="s">
        <v>30</v>
      </c>
      <c r="E97" t="s">
        <v>23</v>
      </c>
      <c r="F97" t="s">
        <v>49</v>
      </c>
      <c r="G97" s="6">
        <v>1219</v>
      </c>
      <c r="H97" s="7">
        <v>8</v>
      </c>
      <c r="I97" s="6">
        <v>487.6</v>
      </c>
      <c r="J97" s="6">
        <v>10239.6</v>
      </c>
      <c r="K97" s="5">
        <v>43536.958333333336</v>
      </c>
      <c r="L97" s="4" t="s">
        <v>230</v>
      </c>
      <c r="M97" t="s">
        <v>34</v>
      </c>
      <c r="N97" s="6">
        <v>9752</v>
      </c>
      <c r="O97">
        <v>4.7619047620000003</v>
      </c>
      <c r="P97" s="6">
        <v>487.6</v>
      </c>
      <c r="Q97">
        <v>6.8</v>
      </c>
      <c r="R97" s="6">
        <f>RawSales[[#This Row],[Unit price]]*RawSales[[#This Row],[Quantity]]</f>
        <v>9752</v>
      </c>
      <c r="S97" s="6">
        <f>RawSales[[#This Row],[Subtotal]]*$B$1</f>
        <v>487.6</v>
      </c>
      <c r="T97" s="6" t="b">
        <f>ROUND(RawSales[[#This Row],[Subtotal]],2)=ROUND(RawSales[[#This Row],[cogs]],2)</f>
        <v>1</v>
      </c>
      <c r="U97" s="6" t="b">
        <f>ROUND(RawSales[[#This Row],[cogs]]*0.05,2)=ROUND(RawSales[[#This Row],[Tax 5%]],2)</f>
        <v>1</v>
      </c>
      <c r="V97" s="6" t="b">
        <f>ROUND(RawSales[[#This Row],[cogs]]+RawSales[[#This Row],[Tax 5%]],2)=ROUND(RawSales[[#This Row],[Sales]],2)</f>
        <v>1</v>
      </c>
    </row>
    <row r="98" spans="1:22" x14ac:dyDescent="0.35">
      <c r="A98" s="4" t="s">
        <v>231</v>
      </c>
      <c r="B98" t="s">
        <v>20</v>
      </c>
      <c r="C98" t="s">
        <v>21</v>
      </c>
      <c r="D98" t="s">
        <v>30</v>
      </c>
      <c r="E98" t="s">
        <v>31</v>
      </c>
      <c r="F98" t="s">
        <v>24</v>
      </c>
      <c r="G98" s="6">
        <v>1379</v>
      </c>
      <c r="H98" s="7">
        <v>5</v>
      </c>
      <c r="I98" s="6">
        <v>344.75</v>
      </c>
      <c r="J98" s="6">
        <v>7239.75</v>
      </c>
      <c r="K98" s="5">
        <v>43475.958333333336</v>
      </c>
      <c r="L98" s="4" t="s">
        <v>232</v>
      </c>
      <c r="M98" t="s">
        <v>51</v>
      </c>
      <c r="N98" s="6">
        <v>6895</v>
      </c>
      <c r="O98">
        <v>4.7619047620000003</v>
      </c>
      <c r="P98" s="6">
        <v>344.75</v>
      </c>
      <c r="Q98">
        <v>7.8</v>
      </c>
      <c r="R98" s="6">
        <f>RawSales[[#This Row],[Unit price]]*RawSales[[#This Row],[Quantity]]</f>
        <v>6895</v>
      </c>
      <c r="S98" s="6">
        <f>RawSales[[#This Row],[Subtotal]]*$B$1</f>
        <v>344.75</v>
      </c>
      <c r="T98" s="6" t="b">
        <f>ROUND(RawSales[[#This Row],[Subtotal]],2)=ROUND(RawSales[[#This Row],[cogs]],2)</f>
        <v>1</v>
      </c>
      <c r="U98" s="6" t="b">
        <f>ROUND(RawSales[[#This Row],[cogs]]*0.05,2)=ROUND(RawSales[[#This Row],[Tax 5%]],2)</f>
        <v>1</v>
      </c>
      <c r="V98" s="6" t="b">
        <f>ROUND(RawSales[[#This Row],[cogs]]+RawSales[[#This Row],[Tax 5%]],2)=ROUND(RawSales[[#This Row],[Sales]],2)</f>
        <v>1</v>
      </c>
    </row>
    <row r="99" spans="1:22" x14ac:dyDescent="0.35">
      <c r="A99" s="4" t="s">
        <v>233</v>
      </c>
      <c r="B99" t="s">
        <v>20</v>
      </c>
      <c r="C99" t="s">
        <v>21</v>
      </c>
      <c r="D99" t="s">
        <v>22</v>
      </c>
      <c r="E99" t="s">
        <v>31</v>
      </c>
      <c r="F99" t="s">
        <v>40</v>
      </c>
      <c r="G99" s="6">
        <v>7682</v>
      </c>
      <c r="H99" s="7">
        <v>1</v>
      </c>
      <c r="I99" s="6">
        <v>384.1</v>
      </c>
      <c r="J99" s="6">
        <v>8066.1</v>
      </c>
      <c r="K99" s="5">
        <v>43508.958333333336</v>
      </c>
      <c r="L99" s="4" t="s">
        <v>129</v>
      </c>
      <c r="M99" t="s">
        <v>34</v>
      </c>
      <c r="N99" s="6">
        <v>7682</v>
      </c>
      <c r="O99">
        <v>4.7619047620000003</v>
      </c>
      <c r="P99" s="6">
        <v>384.1</v>
      </c>
      <c r="Q99">
        <v>7.2</v>
      </c>
      <c r="R99" s="6">
        <f>RawSales[[#This Row],[Unit price]]*RawSales[[#This Row],[Quantity]]</f>
        <v>7682</v>
      </c>
      <c r="S99" s="6">
        <f>RawSales[[#This Row],[Subtotal]]*$B$1</f>
        <v>384.1</v>
      </c>
      <c r="T99" s="6" t="b">
        <f>ROUND(RawSales[[#This Row],[Subtotal]],2)=ROUND(RawSales[[#This Row],[cogs]],2)</f>
        <v>1</v>
      </c>
      <c r="U99" s="6" t="b">
        <f>ROUND(RawSales[[#This Row],[cogs]]*0.05,2)=ROUND(RawSales[[#This Row],[Tax 5%]],2)</f>
        <v>1</v>
      </c>
      <c r="V99" s="6" t="b">
        <f>ROUND(RawSales[[#This Row],[cogs]]+RawSales[[#This Row],[Tax 5%]],2)=ROUND(RawSales[[#This Row],[Sales]],2)</f>
        <v>1</v>
      </c>
    </row>
    <row r="100" spans="1:22" x14ac:dyDescent="0.35">
      <c r="A100" s="4" t="s">
        <v>234</v>
      </c>
      <c r="B100" t="s">
        <v>20</v>
      </c>
      <c r="C100" t="s">
        <v>21</v>
      </c>
      <c r="D100" t="s">
        <v>22</v>
      </c>
      <c r="E100" t="s">
        <v>23</v>
      </c>
      <c r="F100" t="s">
        <v>40</v>
      </c>
      <c r="G100" s="6">
        <v>4695</v>
      </c>
      <c r="H100" s="7">
        <v>5</v>
      </c>
      <c r="I100" s="6">
        <v>1173.75</v>
      </c>
      <c r="J100" s="6">
        <v>24648.75</v>
      </c>
      <c r="K100" s="5">
        <v>43507.958333333336</v>
      </c>
      <c r="L100" s="4" t="s">
        <v>235</v>
      </c>
      <c r="M100" t="s">
        <v>34</v>
      </c>
      <c r="N100" s="6">
        <v>23475</v>
      </c>
      <c r="O100">
        <v>4.7619047620000003</v>
      </c>
      <c r="P100" s="6">
        <v>1173.75</v>
      </c>
      <c r="Q100">
        <v>7.1</v>
      </c>
      <c r="R100" s="6">
        <f>RawSales[[#This Row],[Unit price]]*RawSales[[#This Row],[Quantity]]</f>
        <v>23475</v>
      </c>
      <c r="S100" s="6">
        <f>RawSales[[#This Row],[Subtotal]]*$B$1</f>
        <v>1173.75</v>
      </c>
      <c r="T100" s="6" t="b">
        <f>ROUND(RawSales[[#This Row],[Subtotal]],2)=ROUND(RawSales[[#This Row],[cogs]],2)</f>
        <v>1</v>
      </c>
      <c r="U100" s="6" t="b">
        <f>ROUND(RawSales[[#This Row],[cogs]]*0.05,2)=ROUND(RawSales[[#This Row],[Tax 5%]],2)</f>
        <v>1</v>
      </c>
      <c r="V100" s="6" t="b">
        <f>ROUND(RawSales[[#This Row],[cogs]]+RawSales[[#This Row],[Tax 5%]],2)=ROUND(RawSales[[#This Row],[Sales]],2)</f>
        <v>1</v>
      </c>
    </row>
    <row r="101" spans="1:22" x14ac:dyDescent="0.35">
      <c r="A101" s="4" t="s">
        <v>236</v>
      </c>
      <c r="B101" t="s">
        <v>38</v>
      </c>
      <c r="C101" t="s">
        <v>39</v>
      </c>
      <c r="D101" t="s">
        <v>22</v>
      </c>
      <c r="E101" t="s">
        <v>31</v>
      </c>
      <c r="F101" t="s">
        <v>32</v>
      </c>
      <c r="G101" s="6">
        <v>5557</v>
      </c>
      <c r="H101" s="7">
        <v>3</v>
      </c>
      <c r="I101" s="6">
        <v>833.55</v>
      </c>
      <c r="J101" s="6">
        <v>17504.55</v>
      </c>
      <c r="K101" s="5">
        <v>43472.958333333336</v>
      </c>
      <c r="L101" s="4" t="s">
        <v>237</v>
      </c>
      <c r="M101" t="s">
        <v>51</v>
      </c>
      <c r="N101" s="6">
        <v>16671</v>
      </c>
      <c r="O101">
        <v>4.7619047620000003</v>
      </c>
      <c r="P101" s="6">
        <v>833.55</v>
      </c>
      <c r="Q101">
        <v>5.9</v>
      </c>
      <c r="R101" s="6">
        <f>RawSales[[#This Row],[Unit price]]*RawSales[[#This Row],[Quantity]]</f>
        <v>16671</v>
      </c>
      <c r="S101" s="6">
        <f>RawSales[[#This Row],[Subtotal]]*$B$1</f>
        <v>833.55000000000007</v>
      </c>
      <c r="T101" s="6" t="b">
        <f>ROUND(RawSales[[#This Row],[Subtotal]],2)=ROUND(RawSales[[#This Row],[cogs]],2)</f>
        <v>1</v>
      </c>
      <c r="U101" s="6" t="b">
        <f>ROUND(RawSales[[#This Row],[cogs]]*0.05,2)=ROUND(RawSales[[#This Row],[Tax 5%]],2)</f>
        <v>1</v>
      </c>
      <c r="V101" s="6" t="b">
        <f>ROUND(RawSales[[#This Row],[cogs]]+RawSales[[#This Row],[Tax 5%]],2)=ROUND(RawSales[[#This Row],[Sales]],2)</f>
        <v>1</v>
      </c>
    </row>
    <row r="102" spans="1:22" x14ac:dyDescent="0.35">
      <c r="A102" s="4" t="s">
        <v>238</v>
      </c>
      <c r="B102" t="s">
        <v>28</v>
      </c>
      <c r="C102" t="s">
        <v>29</v>
      </c>
      <c r="D102" t="s">
        <v>22</v>
      </c>
      <c r="E102" t="s">
        <v>31</v>
      </c>
      <c r="F102" t="s">
        <v>239</v>
      </c>
      <c r="G102" s="6">
        <v>9322</v>
      </c>
      <c r="H102" s="7">
        <v>3</v>
      </c>
      <c r="I102" s="6">
        <v>1398.3</v>
      </c>
      <c r="J102" s="6">
        <v>29364.3</v>
      </c>
      <c r="K102" s="5">
        <v>43488.958333333336</v>
      </c>
      <c r="L102" s="4" t="s">
        <v>200</v>
      </c>
      <c r="M102" t="s">
        <v>26</v>
      </c>
      <c r="N102" s="6">
        <v>27966</v>
      </c>
      <c r="O102">
        <v>4.7619047620000003</v>
      </c>
      <c r="P102" s="6">
        <v>1398.3</v>
      </c>
      <c r="Q102">
        <v>7.2</v>
      </c>
      <c r="R102" s="6">
        <f>RawSales[[#This Row],[Unit price]]*RawSales[[#This Row],[Quantity]]</f>
        <v>27966</v>
      </c>
      <c r="S102" s="6">
        <f>RawSales[[#This Row],[Subtotal]]*$B$1</f>
        <v>1398.3000000000002</v>
      </c>
      <c r="T102" s="6" t="b">
        <f>ROUND(RawSales[[#This Row],[Subtotal]],2)=ROUND(RawSales[[#This Row],[cogs]],2)</f>
        <v>1</v>
      </c>
      <c r="U102" s="6" t="b">
        <f>ROUND(RawSales[[#This Row],[cogs]]*0.05,2)=ROUND(RawSales[[#This Row],[Tax 5%]],2)</f>
        <v>1</v>
      </c>
      <c r="V102" s="6" t="b">
        <f>ROUND(RawSales[[#This Row],[cogs]]+RawSales[[#This Row],[Tax 5%]],2)=ROUND(RawSales[[#This Row],[Sales]],2)</f>
        <v>1</v>
      </c>
    </row>
    <row r="103" spans="1:22" x14ac:dyDescent="0.35">
      <c r="A103" s="4" t="s">
        <v>240</v>
      </c>
      <c r="B103" t="s">
        <v>28</v>
      </c>
      <c r="C103" t="s">
        <v>29</v>
      </c>
      <c r="D103" t="s">
        <v>30</v>
      </c>
      <c r="E103" t="s">
        <v>31</v>
      </c>
      <c r="F103" t="s">
        <v>49</v>
      </c>
      <c r="G103" s="6">
        <v>4797</v>
      </c>
      <c r="H103" s="7">
        <v>7</v>
      </c>
      <c r="I103" s="6">
        <v>1678.95</v>
      </c>
      <c r="J103" s="6">
        <v>35257.949999999997</v>
      </c>
      <c r="K103" s="5">
        <v>43471.958333333336</v>
      </c>
      <c r="L103" s="4" t="s">
        <v>241</v>
      </c>
      <c r="M103" t="s">
        <v>26</v>
      </c>
      <c r="N103" s="6">
        <v>33579</v>
      </c>
      <c r="O103">
        <v>4.7619047620000003</v>
      </c>
      <c r="P103" s="6">
        <v>1678.95</v>
      </c>
      <c r="Q103">
        <v>6.2</v>
      </c>
      <c r="R103" s="6">
        <f>RawSales[[#This Row],[Unit price]]*RawSales[[#This Row],[Quantity]]</f>
        <v>33579</v>
      </c>
      <c r="S103" s="6">
        <f>RawSales[[#This Row],[Subtotal]]*$B$1</f>
        <v>1678.95</v>
      </c>
      <c r="T103" s="6" t="b">
        <f>ROUND(RawSales[[#This Row],[Subtotal]],2)=ROUND(RawSales[[#This Row],[cogs]],2)</f>
        <v>1</v>
      </c>
      <c r="U103" s="6" t="b">
        <f>ROUND(RawSales[[#This Row],[cogs]]*0.05,2)=ROUND(RawSales[[#This Row],[Tax 5%]],2)</f>
        <v>1</v>
      </c>
      <c r="V103" s="6" t="b">
        <f>ROUND(RawSales[[#This Row],[cogs]]+RawSales[[#This Row],[Tax 5%]],2)=ROUND(RawSales[[#This Row],[Sales]],2)</f>
        <v>1</v>
      </c>
    </row>
    <row r="104" spans="1:22" x14ac:dyDescent="0.35">
      <c r="A104" s="4" t="s">
        <v>242</v>
      </c>
      <c r="B104" t="s">
        <v>20</v>
      </c>
      <c r="C104" t="s">
        <v>21</v>
      </c>
      <c r="D104" t="s">
        <v>22</v>
      </c>
      <c r="E104" t="s">
        <v>23</v>
      </c>
      <c r="F104" t="s">
        <v>49</v>
      </c>
      <c r="G104" s="6">
        <v>6388</v>
      </c>
      <c r="H104" s="7">
        <v>8</v>
      </c>
      <c r="I104" s="6">
        <v>2555.1999999999998</v>
      </c>
      <c r="J104" s="6">
        <v>53659.199999999997</v>
      </c>
      <c r="K104" s="5">
        <v>43484.958333333336</v>
      </c>
      <c r="L104" s="4" t="s">
        <v>243</v>
      </c>
      <c r="M104" t="s">
        <v>34</v>
      </c>
      <c r="N104" s="6">
        <v>51104</v>
      </c>
      <c r="O104">
        <v>4.7619047620000003</v>
      </c>
      <c r="P104" s="6">
        <v>2555.1999999999998</v>
      </c>
      <c r="Q104">
        <v>9.9</v>
      </c>
      <c r="R104" s="6">
        <f>RawSales[[#This Row],[Unit price]]*RawSales[[#This Row],[Quantity]]</f>
        <v>51104</v>
      </c>
      <c r="S104" s="6">
        <f>RawSales[[#This Row],[Subtotal]]*$B$1</f>
        <v>2555.2000000000003</v>
      </c>
      <c r="T104" s="6" t="b">
        <f>ROUND(RawSales[[#This Row],[Subtotal]],2)=ROUND(RawSales[[#This Row],[cogs]],2)</f>
        <v>1</v>
      </c>
      <c r="U104" s="6" t="b">
        <f>ROUND(RawSales[[#This Row],[cogs]]*0.05,2)=ROUND(RawSales[[#This Row],[Tax 5%]],2)</f>
        <v>1</v>
      </c>
      <c r="V104" s="6" t="b">
        <f>ROUND(RawSales[[#This Row],[cogs]]+RawSales[[#This Row],[Tax 5%]],2)=ROUND(RawSales[[#This Row],[Sales]],2)</f>
        <v>1</v>
      </c>
    </row>
    <row r="105" spans="1:22" x14ac:dyDescent="0.35">
      <c r="A105" s="4" t="s">
        <v>244</v>
      </c>
      <c r="B105" t="s">
        <v>20</v>
      </c>
      <c r="C105" t="s">
        <v>21</v>
      </c>
      <c r="D105" t="s">
        <v>30</v>
      </c>
      <c r="E105" t="s">
        <v>31</v>
      </c>
      <c r="F105" t="s">
        <v>32</v>
      </c>
      <c r="G105" s="6">
        <v>8008</v>
      </c>
      <c r="H105" s="7">
        <v>3</v>
      </c>
      <c r="I105" s="6">
        <v>1201.2</v>
      </c>
      <c r="J105" s="6">
        <v>25225.200000000001</v>
      </c>
      <c r="K105" s="5">
        <v>43506.958333333336</v>
      </c>
      <c r="L105" s="4" t="s">
        <v>245</v>
      </c>
      <c r="M105" t="s">
        <v>26</v>
      </c>
      <c r="N105" s="6">
        <v>24024</v>
      </c>
      <c r="O105">
        <v>4.7619047620000003</v>
      </c>
      <c r="P105" s="6">
        <v>1201.2</v>
      </c>
      <c r="Q105">
        <v>5.4</v>
      </c>
      <c r="R105" s="6">
        <f>RawSales[[#This Row],[Unit price]]*RawSales[[#This Row],[Quantity]]</f>
        <v>24024</v>
      </c>
      <c r="S105" s="6">
        <f>RawSales[[#This Row],[Subtotal]]*$B$1</f>
        <v>1201.2</v>
      </c>
      <c r="T105" s="6" t="b">
        <f>ROUND(RawSales[[#This Row],[Subtotal]],2)=ROUND(RawSales[[#This Row],[cogs]],2)</f>
        <v>1</v>
      </c>
      <c r="U105" s="6" t="b">
        <f>ROUND(RawSales[[#This Row],[cogs]]*0.05,2)=ROUND(RawSales[[#This Row],[Tax 5%]],2)</f>
        <v>1</v>
      </c>
      <c r="V105" s="6" t="b">
        <f>ROUND(RawSales[[#This Row],[cogs]]+RawSales[[#This Row],[Tax 5%]],2)=ROUND(RawSales[[#This Row],[Sales]],2)</f>
        <v>1</v>
      </c>
    </row>
    <row r="106" spans="1:22" x14ac:dyDescent="0.35">
      <c r="A106" s="4" t="s">
        <v>246</v>
      </c>
      <c r="B106" t="s">
        <v>28</v>
      </c>
      <c r="C106" t="s">
        <v>29</v>
      </c>
      <c r="D106" t="s">
        <v>30</v>
      </c>
      <c r="E106" t="s">
        <v>31</v>
      </c>
      <c r="F106" t="s">
        <v>40</v>
      </c>
      <c r="G106" s="6">
        <v>7213</v>
      </c>
      <c r="H106" s="7">
        <v>10</v>
      </c>
      <c r="I106" s="6">
        <v>3606.5</v>
      </c>
      <c r="J106" s="6">
        <v>75736.5</v>
      </c>
      <c r="K106" s="5">
        <v>43495.958333333336</v>
      </c>
      <c r="L106" s="4" t="s">
        <v>247</v>
      </c>
      <c r="M106" t="s">
        <v>51</v>
      </c>
      <c r="N106" s="6">
        <v>72130</v>
      </c>
      <c r="O106">
        <v>4.7619047620000003</v>
      </c>
      <c r="P106" s="6">
        <v>3606.5</v>
      </c>
      <c r="Q106">
        <v>4.2</v>
      </c>
      <c r="R106" s="6">
        <f>RawSales[[#This Row],[Unit price]]*RawSales[[#This Row],[Quantity]]</f>
        <v>72130</v>
      </c>
      <c r="S106" s="6">
        <f>RawSales[[#This Row],[Subtotal]]*$B$1</f>
        <v>3606.5</v>
      </c>
      <c r="T106" s="6" t="b">
        <f>ROUND(RawSales[[#This Row],[Subtotal]],2)=ROUND(RawSales[[#This Row],[cogs]],2)</f>
        <v>1</v>
      </c>
      <c r="U106" s="6" t="b">
        <f>ROUND(RawSales[[#This Row],[cogs]]*0.05,2)=ROUND(RawSales[[#This Row],[Tax 5%]],2)</f>
        <v>1</v>
      </c>
      <c r="V106" s="6" t="b">
        <f>ROUND(RawSales[[#This Row],[cogs]]+RawSales[[#This Row],[Tax 5%]],2)=ROUND(RawSales[[#This Row],[Sales]],2)</f>
        <v>1</v>
      </c>
    </row>
    <row r="107" spans="1:22" x14ac:dyDescent="0.35">
      <c r="A107" s="4" t="s">
        <v>248</v>
      </c>
      <c r="B107" t="s">
        <v>38</v>
      </c>
      <c r="C107" t="s">
        <v>39</v>
      </c>
      <c r="D107" t="s">
        <v>22</v>
      </c>
      <c r="E107" t="s">
        <v>23</v>
      </c>
      <c r="F107" t="s">
        <v>24</v>
      </c>
      <c r="G107" s="6">
        <v>9897</v>
      </c>
      <c r="H107" s="7">
        <v>9</v>
      </c>
      <c r="I107" s="6">
        <v>4453.6499999999996</v>
      </c>
      <c r="J107" s="6">
        <v>93526.65</v>
      </c>
      <c r="K107" s="5">
        <v>43532.958333333336</v>
      </c>
      <c r="L107" s="4" t="s">
        <v>249</v>
      </c>
      <c r="M107" t="s">
        <v>26</v>
      </c>
      <c r="N107" s="6">
        <v>89073</v>
      </c>
      <c r="O107">
        <v>4.7619047620000003</v>
      </c>
      <c r="P107" s="6">
        <v>4453.6499999999996</v>
      </c>
      <c r="Q107">
        <v>6.7</v>
      </c>
      <c r="R107" s="6">
        <f>RawSales[[#This Row],[Unit price]]*RawSales[[#This Row],[Quantity]]</f>
        <v>89073</v>
      </c>
      <c r="S107" s="6">
        <f>RawSales[[#This Row],[Subtotal]]*$B$1</f>
        <v>4453.6500000000005</v>
      </c>
      <c r="T107" s="6" t="b">
        <f>ROUND(RawSales[[#This Row],[Subtotal]],2)=ROUND(RawSales[[#This Row],[cogs]],2)</f>
        <v>1</v>
      </c>
      <c r="U107" s="6" t="b">
        <f>ROUND(RawSales[[#This Row],[cogs]]*0.05,2)=ROUND(RawSales[[#This Row],[Tax 5%]],2)</f>
        <v>1</v>
      </c>
      <c r="V107" s="6" t="b">
        <f>ROUND(RawSales[[#This Row],[cogs]]+RawSales[[#This Row],[Tax 5%]],2)=ROUND(RawSales[[#This Row],[Sales]],2)</f>
        <v>1</v>
      </c>
    </row>
    <row r="108" spans="1:22" x14ac:dyDescent="0.35">
      <c r="A108" s="4" t="s">
        <v>250</v>
      </c>
      <c r="B108" t="s">
        <v>38</v>
      </c>
      <c r="C108" t="s">
        <v>39</v>
      </c>
      <c r="D108" t="s">
        <v>22</v>
      </c>
      <c r="E108" t="s">
        <v>23</v>
      </c>
      <c r="F108" t="s">
        <v>62</v>
      </c>
      <c r="G108" s="6">
        <v>5712</v>
      </c>
      <c r="H108" s="7">
        <v>7</v>
      </c>
      <c r="I108" s="6">
        <v>1999.2</v>
      </c>
      <c r="J108" s="6">
        <v>41983.199999999997</v>
      </c>
      <c r="K108" s="5">
        <v>43476.958333333336</v>
      </c>
      <c r="L108" s="4" t="s">
        <v>251</v>
      </c>
      <c r="M108" t="s">
        <v>51</v>
      </c>
      <c r="N108" s="6">
        <v>39984</v>
      </c>
      <c r="O108">
        <v>4.7619047620000003</v>
      </c>
      <c r="P108" s="6">
        <v>1999.2</v>
      </c>
      <c r="Q108">
        <v>6.5</v>
      </c>
      <c r="R108" s="6">
        <f>RawSales[[#This Row],[Unit price]]*RawSales[[#This Row],[Quantity]]</f>
        <v>39984</v>
      </c>
      <c r="S108" s="6">
        <f>RawSales[[#This Row],[Subtotal]]*$B$1</f>
        <v>1999.2</v>
      </c>
      <c r="T108" s="6" t="b">
        <f>ROUND(RawSales[[#This Row],[Subtotal]],2)=ROUND(RawSales[[#This Row],[cogs]],2)</f>
        <v>1</v>
      </c>
      <c r="U108" s="6" t="b">
        <f>ROUND(RawSales[[#This Row],[cogs]]*0.05,2)=ROUND(RawSales[[#This Row],[Tax 5%]],2)</f>
        <v>1</v>
      </c>
      <c r="V108" s="6" t="b">
        <f>ROUND(RawSales[[#This Row],[cogs]]+RawSales[[#This Row],[Tax 5%]],2)=ROUND(RawSales[[#This Row],[Sales]],2)</f>
        <v>1</v>
      </c>
    </row>
    <row r="109" spans="1:22" x14ac:dyDescent="0.35">
      <c r="A109" s="4" t="s">
        <v>252</v>
      </c>
      <c r="B109" t="s">
        <v>28</v>
      </c>
      <c r="C109" t="s">
        <v>29</v>
      </c>
      <c r="D109" t="s">
        <v>30</v>
      </c>
      <c r="E109" t="s">
        <v>23</v>
      </c>
      <c r="F109" t="s">
        <v>32</v>
      </c>
      <c r="G109" s="6">
        <v>1637</v>
      </c>
      <c r="H109" s="7">
        <v>6</v>
      </c>
      <c r="I109" s="6">
        <v>491.1</v>
      </c>
      <c r="J109" s="6">
        <v>10313.1</v>
      </c>
      <c r="K109" s="5">
        <v>43503.958333333336</v>
      </c>
      <c r="L109" s="4" t="s">
        <v>253</v>
      </c>
      <c r="M109" t="s">
        <v>26</v>
      </c>
      <c r="N109" s="6">
        <v>9822</v>
      </c>
      <c r="O109">
        <v>4.7619047620000003</v>
      </c>
      <c r="P109" s="6">
        <v>491.1</v>
      </c>
      <c r="Q109">
        <v>7</v>
      </c>
      <c r="R109" s="6">
        <f>RawSales[[#This Row],[Unit price]]*RawSales[[#This Row],[Quantity]]</f>
        <v>9822</v>
      </c>
      <c r="S109" s="6">
        <f>RawSales[[#This Row],[Subtotal]]*$B$1</f>
        <v>491.1</v>
      </c>
      <c r="T109" s="6" t="b">
        <f>ROUND(RawSales[[#This Row],[Subtotal]],2)=ROUND(RawSales[[#This Row],[cogs]],2)</f>
        <v>1</v>
      </c>
      <c r="U109" s="6" t="b">
        <f>ROUND(RawSales[[#This Row],[cogs]]*0.05,2)=ROUND(RawSales[[#This Row],[Tax 5%]],2)</f>
        <v>1</v>
      </c>
      <c r="V109" s="6" t="b">
        <f>ROUND(RawSales[[#This Row],[cogs]]+RawSales[[#This Row],[Tax 5%]],2)=ROUND(RawSales[[#This Row],[Sales]],2)</f>
        <v>1</v>
      </c>
    </row>
    <row r="110" spans="1:22" x14ac:dyDescent="0.35">
      <c r="A110" s="4" t="s">
        <v>254</v>
      </c>
      <c r="B110" t="s">
        <v>20</v>
      </c>
      <c r="C110" t="s">
        <v>21</v>
      </c>
      <c r="D110" t="s">
        <v>30</v>
      </c>
      <c r="E110" t="s">
        <v>31</v>
      </c>
      <c r="F110" t="s">
        <v>62</v>
      </c>
      <c r="G110" s="6">
        <v>6419</v>
      </c>
      <c r="H110" s="7">
        <v>10</v>
      </c>
      <c r="I110" s="6">
        <v>3209.5</v>
      </c>
      <c r="J110" s="6">
        <v>67399.5</v>
      </c>
      <c r="K110" s="5">
        <v>43483.958333333336</v>
      </c>
      <c r="L110" s="4" t="s">
        <v>255</v>
      </c>
      <c r="M110" t="s">
        <v>51</v>
      </c>
      <c r="N110" s="6">
        <v>64190</v>
      </c>
      <c r="O110">
        <v>4.7619047620000003</v>
      </c>
      <c r="P110" s="6">
        <v>3209.5</v>
      </c>
      <c r="Q110">
        <v>6.7</v>
      </c>
      <c r="R110" s="6">
        <f>RawSales[[#This Row],[Unit price]]*RawSales[[#This Row],[Quantity]]</f>
        <v>64190</v>
      </c>
      <c r="S110" s="6">
        <f>RawSales[[#This Row],[Subtotal]]*$B$1</f>
        <v>3209.5</v>
      </c>
      <c r="T110" s="6" t="b">
        <f>ROUND(RawSales[[#This Row],[Subtotal]],2)=ROUND(RawSales[[#This Row],[cogs]],2)</f>
        <v>1</v>
      </c>
      <c r="U110" s="6" t="b">
        <f>ROUND(RawSales[[#This Row],[cogs]]*0.05,2)=ROUND(RawSales[[#This Row],[Tax 5%]],2)</f>
        <v>1</v>
      </c>
      <c r="V110" s="6" t="b">
        <f>ROUND(RawSales[[#This Row],[cogs]]+RawSales[[#This Row],[Tax 5%]],2)=ROUND(RawSales[[#This Row],[Sales]],2)</f>
        <v>1</v>
      </c>
    </row>
    <row r="111" spans="1:22" x14ac:dyDescent="0.35">
      <c r="A111" s="4" t="s">
        <v>256</v>
      </c>
      <c r="B111" t="s">
        <v>28</v>
      </c>
      <c r="C111" t="s">
        <v>29</v>
      </c>
      <c r="D111" t="s">
        <v>22</v>
      </c>
      <c r="E111" t="s">
        <v>31</v>
      </c>
      <c r="F111" t="s">
        <v>43</v>
      </c>
      <c r="G111" s="6">
        <v>6200</v>
      </c>
      <c r="H111" s="7">
        <v>8</v>
      </c>
      <c r="I111" s="6">
        <v>2480</v>
      </c>
      <c r="J111" s="6">
        <v>52080</v>
      </c>
      <c r="K111" s="5">
        <v>43467.958333333336</v>
      </c>
      <c r="L111" s="4" t="s">
        <v>257</v>
      </c>
      <c r="M111" t="s">
        <v>51</v>
      </c>
      <c r="N111" s="6">
        <v>49600</v>
      </c>
      <c r="O111">
        <v>4.7619047620000003</v>
      </c>
      <c r="P111" s="6">
        <v>2480</v>
      </c>
      <c r="Q111">
        <v>6.2</v>
      </c>
      <c r="R111" s="6">
        <f>RawSales[[#This Row],[Unit price]]*RawSales[[#This Row],[Quantity]]</f>
        <v>49600</v>
      </c>
      <c r="S111" s="6">
        <f>RawSales[[#This Row],[Subtotal]]*$B$1</f>
        <v>2480</v>
      </c>
      <c r="T111" s="6" t="b">
        <f>ROUND(RawSales[[#This Row],[Subtotal]],2)=ROUND(RawSales[[#This Row],[cogs]],2)</f>
        <v>1</v>
      </c>
      <c r="U111" s="6" t="b">
        <f>ROUND(RawSales[[#This Row],[cogs]]*0.05,2)=ROUND(RawSales[[#This Row],[Tax 5%]],2)</f>
        <v>1</v>
      </c>
      <c r="V111" s="6" t="b">
        <f>ROUND(RawSales[[#This Row],[cogs]]+RawSales[[#This Row],[Tax 5%]],2)=ROUND(RawSales[[#This Row],[Sales]],2)</f>
        <v>1</v>
      </c>
    </row>
    <row r="112" spans="1:22" x14ac:dyDescent="0.35">
      <c r="A112" s="4" t="s">
        <v>258</v>
      </c>
      <c r="B112" t="s">
        <v>28</v>
      </c>
      <c r="C112" t="s">
        <v>29</v>
      </c>
      <c r="D112" t="s">
        <v>30</v>
      </c>
      <c r="E112" t="s">
        <v>31</v>
      </c>
      <c r="F112" t="s">
        <v>40</v>
      </c>
      <c r="G112" s="6">
        <v>2750</v>
      </c>
      <c r="H112" s="7">
        <v>3</v>
      </c>
      <c r="I112" s="6">
        <v>412.5</v>
      </c>
      <c r="J112" s="6">
        <v>8662.5</v>
      </c>
      <c r="K112" s="5">
        <v>43524.958333333336</v>
      </c>
      <c r="L112" s="4" t="s">
        <v>259</v>
      </c>
      <c r="M112" t="s">
        <v>34</v>
      </c>
      <c r="N112" s="6">
        <v>8250</v>
      </c>
      <c r="O112">
        <v>4.7619047620000003</v>
      </c>
      <c r="P112" s="6">
        <v>412.5</v>
      </c>
      <c r="Q112">
        <v>6.5</v>
      </c>
      <c r="R112" s="6">
        <f>RawSales[[#This Row],[Unit price]]*RawSales[[#This Row],[Quantity]]</f>
        <v>8250</v>
      </c>
      <c r="S112" s="6">
        <f>RawSales[[#This Row],[Subtotal]]*$B$1</f>
        <v>412.5</v>
      </c>
      <c r="T112" s="6" t="b">
        <f>ROUND(RawSales[[#This Row],[Subtotal]],2)=ROUND(RawSales[[#This Row],[cogs]],2)</f>
        <v>1</v>
      </c>
      <c r="U112" s="6" t="b">
        <f>ROUND(RawSales[[#This Row],[cogs]]*0.05,2)=ROUND(RawSales[[#This Row],[Tax 5%]],2)</f>
        <v>1</v>
      </c>
      <c r="V112" s="6" t="b">
        <f>ROUND(RawSales[[#This Row],[cogs]]+RawSales[[#This Row],[Tax 5%]],2)=ROUND(RawSales[[#This Row],[Sales]],2)</f>
        <v>1</v>
      </c>
    </row>
    <row r="113" spans="1:22" x14ac:dyDescent="0.35">
      <c r="A113" s="4" t="s">
        <v>260</v>
      </c>
      <c r="B113" t="s">
        <v>20</v>
      </c>
      <c r="C113" t="s">
        <v>21</v>
      </c>
      <c r="D113" t="s">
        <v>30</v>
      </c>
      <c r="E113" t="s">
        <v>23</v>
      </c>
      <c r="F113" t="s">
        <v>32</v>
      </c>
      <c r="G113" s="6">
        <v>7747</v>
      </c>
      <c r="H113" s="7">
        <v>4</v>
      </c>
      <c r="I113" s="6">
        <v>1549.4</v>
      </c>
      <c r="J113" s="6">
        <v>32537.4</v>
      </c>
      <c r="K113" s="5">
        <v>43540.958333333336</v>
      </c>
      <c r="L113" s="4" t="s">
        <v>261</v>
      </c>
      <c r="M113" t="s">
        <v>26</v>
      </c>
      <c r="N113" s="6">
        <v>30988</v>
      </c>
      <c r="O113">
        <v>4.7619047620000003</v>
      </c>
      <c r="P113" s="6">
        <v>1549.4</v>
      </c>
      <c r="Q113">
        <v>4.2</v>
      </c>
      <c r="R113" s="6">
        <f>RawSales[[#This Row],[Unit price]]*RawSales[[#This Row],[Quantity]]</f>
        <v>30988</v>
      </c>
      <c r="S113" s="6">
        <f>RawSales[[#This Row],[Subtotal]]*$B$1</f>
        <v>1549.4</v>
      </c>
      <c r="T113" s="6" t="b">
        <f>ROUND(RawSales[[#This Row],[Subtotal]],2)=ROUND(RawSales[[#This Row],[cogs]],2)</f>
        <v>1</v>
      </c>
      <c r="U113" s="6" t="b">
        <f>ROUND(RawSales[[#This Row],[cogs]]*0.05,2)=ROUND(RawSales[[#This Row],[Tax 5%]],2)</f>
        <v>1</v>
      </c>
      <c r="V113" s="6" t="b">
        <f>ROUND(RawSales[[#This Row],[cogs]]+RawSales[[#This Row],[Tax 5%]],2)=ROUND(RawSales[[#This Row],[Sales]],2)</f>
        <v>1</v>
      </c>
    </row>
    <row r="114" spans="1:22" x14ac:dyDescent="0.35">
      <c r="A114" s="4" t="s">
        <v>262</v>
      </c>
      <c r="B114" t="s">
        <v>20</v>
      </c>
      <c r="C114" t="s">
        <v>21</v>
      </c>
      <c r="D114" t="s">
        <v>22</v>
      </c>
      <c r="E114" t="s">
        <v>23</v>
      </c>
      <c r="F114" t="s">
        <v>62</v>
      </c>
      <c r="G114" s="6">
        <v>9141</v>
      </c>
      <c r="H114" s="7">
        <v>5</v>
      </c>
      <c r="I114" s="6">
        <v>2285.25</v>
      </c>
      <c r="J114" s="6">
        <v>47990.25</v>
      </c>
      <c r="K114" s="4" t="s">
        <v>263</v>
      </c>
      <c r="L114" s="4" t="s">
        <v>264</v>
      </c>
      <c r="M114" t="s">
        <v>34</v>
      </c>
      <c r="N114" s="6">
        <v>45705</v>
      </c>
      <c r="O114">
        <v>4.7619047620000003</v>
      </c>
      <c r="P114" s="6">
        <v>2285.25</v>
      </c>
      <c r="Q114">
        <v>7.1</v>
      </c>
      <c r="R114" s="6">
        <f>RawSales[[#This Row],[Unit price]]*RawSales[[#This Row],[Quantity]]</f>
        <v>45705</v>
      </c>
      <c r="S114" s="6">
        <f>RawSales[[#This Row],[Subtotal]]*$B$1</f>
        <v>2285.25</v>
      </c>
      <c r="T114" s="6" t="b">
        <f>ROUND(RawSales[[#This Row],[Subtotal]],2)=ROUND(RawSales[[#This Row],[cogs]],2)</f>
        <v>1</v>
      </c>
      <c r="U114" s="6" t="b">
        <f>ROUND(RawSales[[#This Row],[cogs]]*0.05,2)=ROUND(RawSales[[#This Row],[Tax 5%]],2)</f>
        <v>1</v>
      </c>
      <c r="V114" s="6" t="b">
        <f>ROUND(RawSales[[#This Row],[cogs]]+RawSales[[#This Row],[Tax 5%]],2)=ROUND(RawSales[[#This Row],[Sales]],2)</f>
        <v>1</v>
      </c>
    </row>
    <row r="115" spans="1:22" x14ac:dyDescent="0.35">
      <c r="A115" s="4" t="s">
        <v>265</v>
      </c>
      <c r="B115" t="s">
        <v>20</v>
      </c>
      <c r="C115" t="s">
        <v>21</v>
      </c>
      <c r="D115" t="s">
        <v>22</v>
      </c>
      <c r="E115" t="s">
        <v>23</v>
      </c>
      <c r="F115" t="s">
        <v>40</v>
      </c>
      <c r="G115" s="6">
        <v>4862</v>
      </c>
      <c r="H115" s="7">
        <v>8</v>
      </c>
      <c r="I115" s="6">
        <v>1944.8</v>
      </c>
      <c r="J115" s="6">
        <v>40840.800000000003</v>
      </c>
      <c r="K115" s="5">
        <v>43488.958333333336</v>
      </c>
      <c r="L115" s="4" t="s">
        <v>266</v>
      </c>
      <c r="M115" t="s">
        <v>26</v>
      </c>
      <c r="N115" s="6">
        <v>38896</v>
      </c>
      <c r="O115">
        <v>4.7619047620000003</v>
      </c>
      <c r="P115" s="6">
        <v>1944.8</v>
      </c>
      <c r="Q115">
        <v>5</v>
      </c>
      <c r="R115" s="6">
        <f>RawSales[[#This Row],[Unit price]]*RawSales[[#This Row],[Quantity]]</f>
        <v>38896</v>
      </c>
      <c r="S115" s="6">
        <f>RawSales[[#This Row],[Subtotal]]*$B$1</f>
        <v>1944.8000000000002</v>
      </c>
      <c r="T115" s="6" t="b">
        <f>ROUND(RawSales[[#This Row],[Subtotal]],2)=ROUND(RawSales[[#This Row],[cogs]],2)</f>
        <v>1</v>
      </c>
      <c r="U115" s="6" t="b">
        <f>ROUND(RawSales[[#This Row],[cogs]]*0.05,2)=ROUND(RawSales[[#This Row],[Tax 5%]],2)</f>
        <v>1</v>
      </c>
      <c r="V115" s="6" t="b">
        <f>ROUND(RawSales[[#This Row],[cogs]]+RawSales[[#This Row],[Tax 5%]],2)=ROUND(RawSales[[#This Row],[Sales]],2)</f>
        <v>1</v>
      </c>
    </row>
    <row r="116" spans="1:22" x14ac:dyDescent="0.35">
      <c r="A116" s="4" t="s">
        <v>267</v>
      </c>
      <c r="B116" t="s">
        <v>28</v>
      </c>
      <c r="C116" t="s">
        <v>29</v>
      </c>
      <c r="D116" t="s">
        <v>22</v>
      </c>
      <c r="E116" t="s">
        <v>31</v>
      </c>
      <c r="F116" t="s">
        <v>24</v>
      </c>
      <c r="G116" s="6">
        <v>4655</v>
      </c>
      <c r="H116" s="7">
        <v>9</v>
      </c>
      <c r="I116" s="6">
        <v>2094.75</v>
      </c>
      <c r="J116" s="6">
        <v>43989.75</v>
      </c>
      <c r="K116" s="5">
        <v>43497.958333333336</v>
      </c>
      <c r="L116" s="4" t="s">
        <v>268</v>
      </c>
      <c r="M116" t="s">
        <v>34</v>
      </c>
      <c r="N116" s="6">
        <v>41895</v>
      </c>
      <c r="O116">
        <v>4.7619047620000003</v>
      </c>
      <c r="P116" s="6">
        <v>2094.75</v>
      </c>
      <c r="Q116">
        <v>6.4</v>
      </c>
      <c r="R116" s="6">
        <f>RawSales[[#This Row],[Unit price]]*RawSales[[#This Row],[Quantity]]</f>
        <v>41895</v>
      </c>
      <c r="S116" s="6">
        <f>RawSales[[#This Row],[Subtotal]]*$B$1</f>
        <v>2094.75</v>
      </c>
      <c r="T116" s="6" t="b">
        <f>ROUND(RawSales[[#This Row],[Subtotal]],2)=ROUND(RawSales[[#This Row],[cogs]],2)</f>
        <v>1</v>
      </c>
      <c r="U116" s="6" t="b">
        <f>ROUND(RawSales[[#This Row],[cogs]]*0.05,2)=ROUND(RawSales[[#This Row],[Tax 5%]],2)</f>
        <v>1</v>
      </c>
      <c r="V116" s="6" t="b">
        <f>ROUND(RawSales[[#This Row],[cogs]]+RawSales[[#This Row],[Tax 5%]],2)=ROUND(RawSales[[#This Row],[Sales]],2)</f>
        <v>1</v>
      </c>
    </row>
    <row r="117" spans="1:22" x14ac:dyDescent="0.35">
      <c r="A117" s="4" t="s">
        <v>269</v>
      </c>
      <c r="B117" t="s">
        <v>38</v>
      </c>
      <c r="C117" t="s">
        <v>39</v>
      </c>
      <c r="D117" t="s">
        <v>30</v>
      </c>
      <c r="E117" t="s">
        <v>23</v>
      </c>
      <c r="F117" t="s">
        <v>49</v>
      </c>
      <c r="G117" s="6">
        <v>4932</v>
      </c>
      <c r="H117" s="7">
        <v>6</v>
      </c>
      <c r="I117" s="6">
        <v>1479.6</v>
      </c>
      <c r="J117" s="6">
        <v>31071.599999999999</v>
      </c>
      <c r="K117" s="5">
        <v>43473.958333333336</v>
      </c>
      <c r="L117" s="4" t="s">
        <v>270</v>
      </c>
      <c r="M117" t="s">
        <v>34</v>
      </c>
      <c r="N117" s="6">
        <v>29592</v>
      </c>
      <c r="O117">
        <v>4.7619047620000003</v>
      </c>
      <c r="P117" s="6">
        <v>1479.6</v>
      </c>
      <c r="Q117">
        <v>7.1</v>
      </c>
      <c r="R117" s="6">
        <f>RawSales[[#This Row],[Unit price]]*RawSales[[#This Row],[Quantity]]</f>
        <v>29592</v>
      </c>
      <c r="S117" s="6">
        <f>RawSales[[#This Row],[Subtotal]]*$B$1</f>
        <v>1479.6000000000001</v>
      </c>
      <c r="T117" s="6" t="b">
        <f>ROUND(RawSales[[#This Row],[Subtotal]],2)=ROUND(RawSales[[#This Row],[cogs]],2)</f>
        <v>1</v>
      </c>
      <c r="U117" s="6" t="b">
        <f>ROUND(RawSales[[#This Row],[cogs]]*0.05,2)=ROUND(RawSales[[#This Row],[Tax 5%]],2)</f>
        <v>1</v>
      </c>
      <c r="V117" s="6" t="b">
        <f>ROUND(RawSales[[#This Row],[cogs]]+RawSales[[#This Row],[Tax 5%]],2)=ROUND(RawSales[[#This Row],[Sales]],2)</f>
        <v>1</v>
      </c>
    </row>
    <row r="118" spans="1:22" x14ac:dyDescent="0.35">
      <c r="A118" s="4" t="s">
        <v>271</v>
      </c>
      <c r="B118" t="s">
        <v>20</v>
      </c>
      <c r="C118" t="s">
        <v>21</v>
      </c>
      <c r="D118" t="s">
        <v>30</v>
      </c>
      <c r="E118" t="s">
        <v>23</v>
      </c>
      <c r="F118" t="s">
        <v>24</v>
      </c>
      <c r="G118" s="6">
        <v>8121</v>
      </c>
      <c r="H118" s="7">
        <v>10</v>
      </c>
      <c r="I118" s="6">
        <v>4060.5</v>
      </c>
      <c r="J118" s="6">
        <v>85270.5</v>
      </c>
      <c r="K118" s="5">
        <v>43481.958333333336</v>
      </c>
      <c r="L118" s="4" t="s">
        <v>272</v>
      </c>
      <c r="M118" t="s">
        <v>51</v>
      </c>
      <c r="N118" s="6">
        <v>81210</v>
      </c>
      <c r="O118">
        <v>4.7619047620000003</v>
      </c>
      <c r="P118" s="6">
        <v>4060.5</v>
      </c>
      <c r="Q118">
        <v>6.3</v>
      </c>
      <c r="R118" s="6">
        <f>RawSales[[#This Row],[Unit price]]*RawSales[[#This Row],[Quantity]]</f>
        <v>81210</v>
      </c>
      <c r="S118" s="6">
        <f>RawSales[[#This Row],[Subtotal]]*$B$1</f>
        <v>4060.5</v>
      </c>
      <c r="T118" s="6" t="b">
        <f>ROUND(RawSales[[#This Row],[Subtotal]],2)=ROUND(RawSales[[#This Row],[cogs]],2)</f>
        <v>1</v>
      </c>
      <c r="U118" s="6" t="b">
        <f>ROUND(RawSales[[#This Row],[cogs]]*0.05,2)=ROUND(RawSales[[#This Row],[Tax 5%]],2)</f>
        <v>1</v>
      </c>
      <c r="V118" s="6" t="b">
        <f>ROUND(RawSales[[#This Row],[cogs]]+RawSales[[#This Row],[Tax 5%]],2)=ROUND(RawSales[[#This Row],[Sales]],2)</f>
        <v>1</v>
      </c>
    </row>
    <row r="119" spans="1:22" x14ac:dyDescent="0.35">
      <c r="A119" s="4" t="s">
        <v>273</v>
      </c>
      <c r="B119" t="s">
        <v>28</v>
      </c>
      <c r="C119" t="s">
        <v>29</v>
      </c>
      <c r="D119" t="s">
        <v>22</v>
      </c>
      <c r="E119" t="s">
        <v>31</v>
      </c>
      <c r="F119" t="s">
        <v>46</v>
      </c>
      <c r="G119" s="6">
        <v>3199</v>
      </c>
      <c r="H119" s="7">
        <v>10</v>
      </c>
      <c r="I119" s="6">
        <v>1599.5</v>
      </c>
      <c r="J119" s="6">
        <v>33589.5</v>
      </c>
      <c r="K119" s="5">
        <v>43515.958333333336</v>
      </c>
      <c r="L119" s="4" t="s">
        <v>274</v>
      </c>
      <c r="M119" t="s">
        <v>51</v>
      </c>
      <c r="N119" s="6">
        <v>31990</v>
      </c>
      <c r="O119">
        <v>4.7619047620000003</v>
      </c>
      <c r="P119" s="6">
        <v>1599.5</v>
      </c>
      <c r="Q119">
        <v>9.9</v>
      </c>
      <c r="R119" s="6">
        <f>RawSales[[#This Row],[Unit price]]*RawSales[[#This Row],[Quantity]]</f>
        <v>31990</v>
      </c>
      <c r="S119" s="6">
        <f>RawSales[[#This Row],[Subtotal]]*$B$1</f>
        <v>1599.5</v>
      </c>
      <c r="T119" s="6" t="b">
        <f>ROUND(RawSales[[#This Row],[Subtotal]],2)=ROUND(RawSales[[#This Row],[cogs]],2)</f>
        <v>1</v>
      </c>
      <c r="U119" s="6" t="b">
        <f>ROUND(RawSales[[#This Row],[cogs]]*0.05,2)=ROUND(RawSales[[#This Row],[Tax 5%]],2)</f>
        <v>1</v>
      </c>
      <c r="V119" s="6" t="b">
        <f>ROUND(RawSales[[#This Row],[cogs]]+RawSales[[#This Row],[Tax 5%]],2)=ROUND(RawSales[[#This Row],[Sales]],2)</f>
        <v>1</v>
      </c>
    </row>
    <row r="120" spans="1:22" x14ac:dyDescent="0.35">
      <c r="A120" s="4" t="s">
        <v>275</v>
      </c>
      <c r="B120" t="s">
        <v>38</v>
      </c>
      <c r="C120" t="s">
        <v>39</v>
      </c>
      <c r="D120" t="s">
        <v>30</v>
      </c>
      <c r="E120" t="s">
        <v>23</v>
      </c>
      <c r="F120" t="s">
        <v>49</v>
      </c>
      <c r="G120" s="6">
        <v>3755</v>
      </c>
      <c r="H120" s="7">
        <v>10</v>
      </c>
      <c r="I120" s="6">
        <v>1877.5</v>
      </c>
      <c r="J120" s="6">
        <v>39427.5</v>
      </c>
      <c r="K120" s="5">
        <v>43531.958333333336</v>
      </c>
      <c r="L120" s="4" t="s">
        <v>276</v>
      </c>
      <c r="M120" t="s">
        <v>51</v>
      </c>
      <c r="N120" s="6">
        <v>37550</v>
      </c>
      <c r="O120">
        <v>4.7619047620000003</v>
      </c>
      <c r="P120" s="6">
        <v>1877.5</v>
      </c>
      <c r="Q120">
        <v>9.3000000000000007</v>
      </c>
      <c r="R120" s="6">
        <f>RawSales[[#This Row],[Unit price]]*RawSales[[#This Row],[Quantity]]</f>
        <v>37550</v>
      </c>
      <c r="S120" s="6">
        <f>RawSales[[#This Row],[Subtotal]]*$B$1</f>
        <v>1877.5</v>
      </c>
      <c r="T120" s="6" t="b">
        <f>ROUND(RawSales[[#This Row],[Subtotal]],2)=ROUND(RawSales[[#This Row],[cogs]],2)</f>
        <v>1</v>
      </c>
      <c r="U120" s="6" t="b">
        <f>ROUND(RawSales[[#This Row],[cogs]]*0.05,2)=ROUND(RawSales[[#This Row],[Tax 5%]],2)</f>
        <v>1</v>
      </c>
      <c r="V120" s="6" t="b">
        <f>ROUND(RawSales[[#This Row],[cogs]]+RawSales[[#This Row],[Tax 5%]],2)=ROUND(RawSales[[#This Row],[Sales]],2)</f>
        <v>1</v>
      </c>
    </row>
    <row r="121" spans="1:22" x14ac:dyDescent="0.35">
      <c r="A121" s="4" t="s">
        <v>277</v>
      </c>
      <c r="B121" t="s">
        <v>28</v>
      </c>
      <c r="C121" t="s">
        <v>29</v>
      </c>
      <c r="D121" t="s">
        <v>30</v>
      </c>
      <c r="E121" t="s">
        <v>31</v>
      </c>
      <c r="F121" t="s">
        <v>49</v>
      </c>
      <c r="G121" s="6">
        <v>3921</v>
      </c>
      <c r="H121" s="7">
        <v>4</v>
      </c>
      <c r="I121" s="6">
        <v>784.2</v>
      </c>
      <c r="J121" s="6">
        <v>16468.2</v>
      </c>
      <c r="K121" s="5">
        <v>43480.958333333336</v>
      </c>
      <c r="L121" s="4" t="s">
        <v>278</v>
      </c>
      <c r="M121" t="s">
        <v>51</v>
      </c>
      <c r="N121" s="6">
        <v>15684</v>
      </c>
      <c r="O121">
        <v>4.7619047620000003</v>
      </c>
      <c r="P121" s="6">
        <v>784.2</v>
      </c>
      <c r="Q121">
        <v>9</v>
      </c>
      <c r="R121" s="6">
        <f>RawSales[[#This Row],[Unit price]]*RawSales[[#This Row],[Quantity]]</f>
        <v>15684</v>
      </c>
      <c r="S121" s="6">
        <f>RawSales[[#This Row],[Subtotal]]*$B$1</f>
        <v>784.2</v>
      </c>
      <c r="T121" s="6" t="b">
        <f>ROUND(RawSales[[#This Row],[Subtotal]],2)=ROUND(RawSales[[#This Row],[cogs]],2)</f>
        <v>1</v>
      </c>
      <c r="U121" s="6" t="b">
        <f>ROUND(RawSales[[#This Row],[cogs]]*0.05,2)=ROUND(RawSales[[#This Row],[Tax 5%]],2)</f>
        <v>1</v>
      </c>
      <c r="V121" s="6" t="b">
        <f>ROUND(RawSales[[#This Row],[cogs]]+RawSales[[#This Row],[Tax 5%]],2)=ROUND(RawSales[[#This Row],[Sales]],2)</f>
        <v>1</v>
      </c>
    </row>
    <row r="122" spans="1:22" x14ac:dyDescent="0.35">
      <c r="A122" s="4" t="s">
        <v>279</v>
      </c>
      <c r="B122" t="s">
        <v>38</v>
      </c>
      <c r="C122" t="s">
        <v>39</v>
      </c>
      <c r="D122" t="s">
        <v>22</v>
      </c>
      <c r="E122" t="s">
        <v>23</v>
      </c>
      <c r="F122" t="s">
        <v>32</v>
      </c>
      <c r="G122" s="6">
        <v>7838</v>
      </c>
      <c r="H122" s="7">
        <v>4</v>
      </c>
      <c r="I122" s="6">
        <v>1567.6</v>
      </c>
      <c r="J122" s="6">
        <v>32919.599999999999</v>
      </c>
      <c r="K122" s="5">
        <v>43547.958333333336</v>
      </c>
      <c r="L122" s="4" t="s">
        <v>280</v>
      </c>
      <c r="M122" t="s">
        <v>26</v>
      </c>
      <c r="N122" s="6">
        <v>31352</v>
      </c>
      <c r="O122">
        <v>4.7619047620000003</v>
      </c>
      <c r="P122" s="6">
        <v>1567.6</v>
      </c>
      <c r="Q122">
        <v>7.9</v>
      </c>
      <c r="R122" s="6">
        <f>RawSales[[#This Row],[Unit price]]*RawSales[[#This Row],[Quantity]]</f>
        <v>31352</v>
      </c>
      <c r="S122" s="6">
        <f>RawSales[[#This Row],[Subtotal]]*$B$1</f>
        <v>1567.6000000000001</v>
      </c>
      <c r="T122" s="6" t="b">
        <f>ROUND(RawSales[[#This Row],[Subtotal]],2)=ROUND(RawSales[[#This Row],[cogs]],2)</f>
        <v>1</v>
      </c>
      <c r="U122" s="6" t="b">
        <f>ROUND(RawSales[[#This Row],[cogs]]*0.05,2)=ROUND(RawSales[[#This Row],[Tax 5%]],2)</f>
        <v>1</v>
      </c>
      <c r="V122" s="6" t="b">
        <f>ROUND(RawSales[[#This Row],[cogs]]+RawSales[[#This Row],[Tax 5%]],2)=ROUND(RawSales[[#This Row],[Sales]],2)</f>
        <v>1</v>
      </c>
    </row>
    <row r="123" spans="1:22" x14ac:dyDescent="0.35">
      <c r="A123" s="4" t="s">
        <v>281</v>
      </c>
      <c r="B123" t="s">
        <v>28</v>
      </c>
      <c r="C123" t="s">
        <v>29</v>
      </c>
      <c r="D123" t="s">
        <v>22</v>
      </c>
      <c r="E123" t="s">
        <v>31</v>
      </c>
      <c r="F123" t="s">
        <v>43</v>
      </c>
      <c r="G123" s="6">
        <v>7537</v>
      </c>
      <c r="H123" s="7">
        <v>8</v>
      </c>
      <c r="I123" s="6">
        <v>3014.8</v>
      </c>
      <c r="J123" s="6">
        <v>63310.8</v>
      </c>
      <c r="K123" s="5">
        <v>43492.958333333336</v>
      </c>
      <c r="L123" s="4" t="s">
        <v>282</v>
      </c>
      <c r="M123" t="s">
        <v>51</v>
      </c>
      <c r="N123" s="6">
        <v>60296</v>
      </c>
      <c r="O123">
        <v>4.7619047620000003</v>
      </c>
      <c r="P123" s="6">
        <v>3014.8</v>
      </c>
      <c r="Q123">
        <v>8.4</v>
      </c>
      <c r="R123" s="6">
        <f>RawSales[[#This Row],[Unit price]]*RawSales[[#This Row],[Quantity]]</f>
        <v>60296</v>
      </c>
      <c r="S123" s="6">
        <f>RawSales[[#This Row],[Subtotal]]*$B$1</f>
        <v>3014.8</v>
      </c>
      <c r="T123" s="6" t="b">
        <f>ROUND(RawSales[[#This Row],[Subtotal]],2)=ROUND(RawSales[[#This Row],[cogs]],2)</f>
        <v>1</v>
      </c>
      <c r="U123" s="6" t="b">
        <f>ROUND(RawSales[[#This Row],[cogs]]*0.05,2)=ROUND(RawSales[[#This Row],[Tax 5%]],2)</f>
        <v>1</v>
      </c>
      <c r="V123" s="6" t="b">
        <f>ROUND(RawSales[[#This Row],[cogs]]+RawSales[[#This Row],[Tax 5%]],2)=ROUND(RawSales[[#This Row],[Sales]],2)</f>
        <v>1</v>
      </c>
    </row>
    <row r="124" spans="1:22" x14ac:dyDescent="0.35">
      <c r="A124" s="4" t="s">
        <v>283</v>
      </c>
      <c r="B124" t="s">
        <v>20</v>
      </c>
      <c r="C124" t="s">
        <v>21</v>
      </c>
      <c r="D124" t="s">
        <v>30</v>
      </c>
      <c r="E124" t="s">
        <v>31</v>
      </c>
      <c r="F124" t="s">
        <v>49</v>
      </c>
      <c r="G124" s="6">
        <v>4641</v>
      </c>
      <c r="H124" s="7">
        <v>1</v>
      </c>
      <c r="I124" s="6">
        <v>232.05</v>
      </c>
      <c r="J124" s="6">
        <v>4873.05</v>
      </c>
      <c r="K124" s="5">
        <v>43526.958333333336</v>
      </c>
      <c r="L124" s="4" t="s">
        <v>284</v>
      </c>
      <c r="M124" t="s">
        <v>51</v>
      </c>
      <c r="N124" s="6">
        <v>4641</v>
      </c>
      <c r="O124">
        <v>4.7619047620000003</v>
      </c>
      <c r="P124" s="6">
        <v>232.05</v>
      </c>
      <c r="Q124">
        <v>4</v>
      </c>
      <c r="R124" s="6">
        <f>RawSales[[#This Row],[Unit price]]*RawSales[[#This Row],[Quantity]]</f>
        <v>4641</v>
      </c>
      <c r="S124" s="6">
        <f>RawSales[[#This Row],[Subtotal]]*$B$1</f>
        <v>232.05</v>
      </c>
      <c r="T124" s="6" t="b">
        <f>ROUND(RawSales[[#This Row],[Subtotal]],2)=ROUND(RawSales[[#This Row],[cogs]],2)</f>
        <v>1</v>
      </c>
      <c r="U124" s="6" t="b">
        <f>ROUND(RawSales[[#This Row],[cogs]]*0.05,2)=ROUND(RawSales[[#This Row],[Tax 5%]],2)</f>
        <v>1</v>
      </c>
      <c r="V124" s="6" t="b">
        <f>ROUND(RawSales[[#This Row],[cogs]]+RawSales[[#This Row],[Tax 5%]],2)=ROUND(RawSales[[#This Row],[Sales]],2)</f>
        <v>1</v>
      </c>
    </row>
    <row r="125" spans="1:22" x14ac:dyDescent="0.35">
      <c r="A125" s="4" t="s">
        <v>285</v>
      </c>
      <c r="B125" t="s">
        <v>20</v>
      </c>
      <c r="C125" t="s">
        <v>21</v>
      </c>
      <c r="D125" t="s">
        <v>22</v>
      </c>
      <c r="E125" t="s">
        <v>23</v>
      </c>
      <c r="F125" t="s">
        <v>62</v>
      </c>
      <c r="G125" s="6">
        <v>2793</v>
      </c>
      <c r="H125" s="7">
        <v>5</v>
      </c>
      <c r="I125" s="6">
        <v>698.25</v>
      </c>
      <c r="J125" s="6">
        <v>14663.25</v>
      </c>
      <c r="K125" s="5">
        <v>43493.958333333336</v>
      </c>
      <c r="L125" s="4" t="s">
        <v>286</v>
      </c>
      <c r="M125" t="s">
        <v>26</v>
      </c>
      <c r="N125" s="6">
        <v>13965</v>
      </c>
      <c r="O125">
        <v>4.7619047620000003</v>
      </c>
      <c r="P125" s="6">
        <v>698.25</v>
      </c>
      <c r="Q125">
        <v>5.9</v>
      </c>
      <c r="R125" s="6">
        <f>RawSales[[#This Row],[Unit price]]*RawSales[[#This Row],[Quantity]]</f>
        <v>13965</v>
      </c>
      <c r="S125" s="6">
        <f>RawSales[[#This Row],[Subtotal]]*$B$1</f>
        <v>698.25</v>
      </c>
      <c r="T125" s="6" t="b">
        <f>ROUND(RawSales[[#This Row],[Subtotal]],2)=ROUND(RawSales[[#This Row],[cogs]],2)</f>
        <v>1</v>
      </c>
      <c r="U125" s="6" t="b">
        <f>ROUND(RawSales[[#This Row],[cogs]]*0.05,2)=ROUND(RawSales[[#This Row],[Tax 5%]],2)</f>
        <v>1</v>
      </c>
      <c r="V125" s="6" t="b">
        <f>ROUND(RawSales[[#This Row],[cogs]]+RawSales[[#This Row],[Tax 5%]],2)=ROUND(RawSales[[#This Row],[Sales]],2)</f>
        <v>1</v>
      </c>
    </row>
    <row r="126" spans="1:22" x14ac:dyDescent="0.35">
      <c r="A126" s="4" t="s">
        <v>287</v>
      </c>
      <c r="B126" t="s">
        <v>28</v>
      </c>
      <c r="C126" t="s">
        <v>29</v>
      </c>
      <c r="D126" t="s">
        <v>30</v>
      </c>
      <c r="E126" t="s">
        <v>31</v>
      </c>
      <c r="F126" t="s">
        <v>43</v>
      </c>
      <c r="G126" s="6">
        <v>5759</v>
      </c>
      <c r="H126" s="7">
        <v>6</v>
      </c>
      <c r="I126" s="6">
        <v>1727.7</v>
      </c>
      <c r="J126" s="6">
        <v>36281.699999999997</v>
      </c>
      <c r="K126" s="5">
        <v>43510.958333333336</v>
      </c>
      <c r="L126" s="4" t="s">
        <v>288</v>
      </c>
      <c r="M126" t="s">
        <v>26</v>
      </c>
      <c r="N126" s="6">
        <v>34554</v>
      </c>
      <c r="O126">
        <v>4.7619047620000003</v>
      </c>
      <c r="P126" s="6">
        <v>1727.7</v>
      </c>
      <c r="Q126">
        <v>5.0999999999999996</v>
      </c>
      <c r="R126" s="6">
        <f>RawSales[[#This Row],[Unit price]]*RawSales[[#This Row],[Quantity]]</f>
        <v>34554</v>
      </c>
      <c r="S126" s="6">
        <f>RawSales[[#This Row],[Subtotal]]*$B$1</f>
        <v>1727.7</v>
      </c>
      <c r="T126" s="6" t="b">
        <f>ROUND(RawSales[[#This Row],[Subtotal]],2)=ROUND(RawSales[[#This Row],[cogs]],2)</f>
        <v>1</v>
      </c>
      <c r="U126" s="6" t="b">
        <f>ROUND(RawSales[[#This Row],[cogs]]*0.05,2)=ROUND(RawSales[[#This Row],[Tax 5%]],2)</f>
        <v>1</v>
      </c>
      <c r="V126" s="6" t="b">
        <f>ROUND(RawSales[[#This Row],[cogs]]+RawSales[[#This Row],[Tax 5%]],2)=ROUND(RawSales[[#This Row],[Sales]],2)</f>
        <v>1</v>
      </c>
    </row>
    <row r="127" spans="1:22" x14ac:dyDescent="0.35">
      <c r="A127" s="4" t="s">
        <v>289</v>
      </c>
      <c r="B127" t="s">
        <v>20</v>
      </c>
      <c r="C127" t="s">
        <v>21</v>
      </c>
      <c r="D127" t="s">
        <v>22</v>
      </c>
      <c r="E127" t="s">
        <v>31</v>
      </c>
      <c r="F127" t="s">
        <v>43</v>
      </c>
      <c r="G127" s="6">
        <v>1008</v>
      </c>
      <c r="H127" s="7">
        <v>7</v>
      </c>
      <c r="I127" s="6">
        <v>352.8</v>
      </c>
      <c r="J127" s="6">
        <v>7408.8</v>
      </c>
      <c r="K127" s="5">
        <v>43551.958333333336</v>
      </c>
      <c r="L127" s="4" t="s">
        <v>290</v>
      </c>
      <c r="M127" t="s">
        <v>26</v>
      </c>
      <c r="N127" s="6">
        <v>7056</v>
      </c>
      <c r="O127">
        <v>4.7619047620000003</v>
      </c>
      <c r="P127" s="6">
        <v>352.8</v>
      </c>
      <c r="Q127">
        <v>4.2</v>
      </c>
      <c r="R127" s="6">
        <f>RawSales[[#This Row],[Unit price]]*RawSales[[#This Row],[Quantity]]</f>
        <v>7056</v>
      </c>
      <c r="S127" s="6">
        <f>RawSales[[#This Row],[Subtotal]]*$B$1</f>
        <v>352.8</v>
      </c>
      <c r="T127" s="6" t="b">
        <f>ROUND(RawSales[[#This Row],[Subtotal]],2)=ROUND(RawSales[[#This Row],[cogs]],2)</f>
        <v>1</v>
      </c>
      <c r="U127" s="6" t="b">
        <f>ROUND(RawSales[[#This Row],[cogs]]*0.05,2)=ROUND(RawSales[[#This Row],[Tax 5%]],2)</f>
        <v>1</v>
      </c>
      <c r="V127" s="6" t="b">
        <f>ROUND(RawSales[[#This Row],[cogs]]+RawSales[[#This Row],[Tax 5%]],2)=ROUND(RawSales[[#This Row],[Sales]],2)</f>
        <v>1</v>
      </c>
    </row>
    <row r="128" spans="1:22" x14ac:dyDescent="0.35">
      <c r="A128" s="4" t="s">
        <v>291</v>
      </c>
      <c r="B128" t="s">
        <v>38</v>
      </c>
      <c r="C128" t="s">
        <v>39</v>
      </c>
      <c r="D128" t="s">
        <v>22</v>
      </c>
      <c r="E128" t="s">
        <v>23</v>
      </c>
      <c r="F128" t="s">
        <v>49</v>
      </c>
      <c r="G128" s="6">
        <v>5189</v>
      </c>
      <c r="H128" s="7">
        <v>7</v>
      </c>
      <c r="I128" s="6">
        <v>1816.15</v>
      </c>
      <c r="J128" s="6">
        <v>38139.15</v>
      </c>
      <c r="K128" s="5">
        <v>43472.958333333336</v>
      </c>
      <c r="L128" s="4" t="s">
        <v>292</v>
      </c>
      <c r="M128" t="s">
        <v>26</v>
      </c>
      <c r="N128" s="6">
        <v>36323</v>
      </c>
      <c r="O128">
        <v>4.7619047620000003</v>
      </c>
      <c r="P128" s="6">
        <v>1816.15</v>
      </c>
      <c r="Q128">
        <v>4.5</v>
      </c>
      <c r="R128" s="6">
        <f>RawSales[[#This Row],[Unit price]]*RawSales[[#This Row],[Quantity]]</f>
        <v>36323</v>
      </c>
      <c r="S128" s="6">
        <f>RawSales[[#This Row],[Subtotal]]*$B$1</f>
        <v>1816.15</v>
      </c>
      <c r="T128" s="6" t="b">
        <f>ROUND(RawSales[[#This Row],[Subtotal]],2)=ROUND(RawSales[[#This Row],[cogs]],2)</f>
        <v>1</v>
      </c>
      <c r="U128" s="6" t="b">
        <f>ROUND(RawSales[[#This Row],[cogs]]*0.05,2)=ROUND(RawSales[[#This Row],[Tax 5%]],2)</f>
        <v>1</v>
      </c>
      <c r="V128" s="6" t="b">
        <f>ROUND(RawSales[[#This Row],[cogs]]+RawSales[[#This Row],[Tax 5%]],2)=ROUND(RawSales[[#This Row],[Sales]],2)</f>
        <v>1</v>
      </c>
    </row>
    <row r="129" spans="1:22" x14ac:dyDescent="0.35">
      <c r="A129" s="4" t="s">
        <v>293</v>
      </c>
      <c r="B129" t="s">
        <v>38</v>
      </c>
      <c r="C129" t="s">
        <v>39</v>
      </c>
      <c r="D129" t="s">
        <v>30</v>
      </c>
      <c r="E129" t="s">
        <v>23</v>
      </c>
      <c r="F129" t="s">
        <v>24</v>
      </c>
      <c r="G129" s="6">
        <v>9447</v>
      </c>
      <c r="H129" s="7">
        <v>8</v>
      </c>
      <c r="I129" s="6">
        <v>3778.8</v>
      </c>
      <c r="J129" s="6">
        <v>79354.8</v>
      </c>
      <c r="K129" s="5">
        <v>43522.958333333336</v>
      </c>
      <c r="L129" s="4" t="s">
        <v>247</v>
      </c>
      <c r="M129" t="s">
        <v>26</v>
      </c>
      <c r="N129" s="6">
        <v>75576</v>
      </c>
      <c r="O129">
        <v>4.7619047620000003</v>
      </c>
      <c r="P129" s="6">
        <v>3778.8</v>
      </c>
      <c r="Q129">
        <v>9.1</v>
      </c>
      <c r="R129" s="6">
        <f>RawSales[[#This Row],[Unit price]]*RawSales[[#This Row],[Quantity]]</f>
        <v>75576</v>
      </c>
      <c r="S129" s="6">
        <f>RawSales[[#This Row],[Subtotal]]*$B$1</f>
        <v>3778.8</v>
      </c>
      <c r="T129" s="6" t="b">
        <f>ROUND(RawSales[[#This Row],[Subtotal]],2)=ROUND(RawSales[[#This Row],[cogs]],2)</f>
        <v>1</v>
      </c>
      <c r="U129" s="6" t="b">
        <f>ROUND(RawSales[[#This Row],[cogs]]*0.05,2)=ROUND(RawSales[[#This Row],[Tax 5%]],2)</f>
        <v>1</v>
      </c>
      <c r="V129" s="6" t="b">
        <f>ROUND(RawSales[[#This Row],[cogs]]+RawSales[[#This Row],[Tax 5%]],2)=ROUND(RawSales[[#This Row],[Sales]],2)</f>
        <v>1</v>
      </c>
    </row>
    <row r="130" spans="1:22" x14ac:dyDescent="0.35">
      <c r="A130" s="4" t="s">
        <v>294</v>
      </c>
      <c r="B130" t="s">
        <v>38</v>
      </c>
      <c r="C130" t="s">
        <v>39</v>
      </c>
      <c r="D130" t="s">
        <v>22</v>
      </c>
      <c r="E130" t="s">
        <v>23</v>
      </c>
      <c r="F130" t="s">
        <v>62</v>
      </c>
      <c r="G130" s="6">
        <v>6812</v>
      </c>
      <c r="H130" s="7">
        <v>1</v>
      </c>
      <c r="I130" s="6">
        <v>340.6</v>
      </c>
      <c r="J130" s="6">
        <v>7152.6</v>
      </c>
      <c r="K130" s="5">
        <v>43471.958333333336</v>
      </c>
      <c r="L130" s="4" t="s">
        <v>141</v>
      </c>
      <c r="M130" t="s">
        <v>34</v>
      </c>
      <c r="N130" s="6">
        <v>6812</v>
      </c>
      <c r="O130">
        <v>4.7619047620000003</v>
      </c>
      <c r="P130" s="6">
        <v>340.6</v>
      </c>
      <c r="Q130">
        <v>6.8</v>
      </c>
      <c r="R130" s="6">
        <f>RawSales[[#This Row],[Unit price]]*RawSales[[#This Row],[Quantity]]</f>
        <v>6812</v>
      </c>
      <c r="S130" s="6">
        <f>RawSales[[#This Row],[Subtotal]]*$B$1</f>
        <v>340.6</v>
      </c>
      <c r="T130" s="6" t="b">
        <f>ROUND(RawSales[[#This Row],[Subtotal]],2)=ROUND(RawSales[[#This Row],[cogs]],2)</f>
        <v>1</v>
      </c>
      <c r="U130" s="6" t="b">
        <f>ROUND(RawSales[[#This Row],[cogs]]*0.05,2)=ROUND(RawSales[[#This Row],[Tax 5%]],2)</f>
        <v>1</v>
      </c>
      <c r="V130" s="6" t="b">
        <f>ROUND(RawSales[[#This Row],[cogs]]+RawSales[[#This Row],[Tax 5%]],2)=ROUND(RawSales[[#This Row],[Sales]],2)</f>
        <v>1</v>
      </c>
    </row>
    <row r="131" spans="1:22" x14ac:dyDescent="0.35">
      <c r="A131" s="4" t="s">
        <v>295</v>
      </c>
      <c r="B131" t="s">
        <v>38</v>
      </c>
      <c r="C131" t="s">
        <v>39</v>
      </c>
      <c r="D131" t="s">
        <v>30</v>
      </c>
      <c r="E131" t="s">
        <v>31</v>
      </c>
      <c r="F131" t="s">
        <v>43</v>
      </c>
      <c r="G131" s="6">
        <v>4150</v>
      </c>
      <c r="H131" s="7">
        <v>4</v>
      </c>
      <c r="I131" s="6">
        <v>830</v>
      </c>
      <c r="J131" s="6">
        <v>17430</v>
      </c>
      <c r="K131" s="5">
        <v>43535.958333333336</v>
      </c>
      <c r="L131" s="4" t="s">
        <v>296</v>
      </c>
      <c r="M131" t="s">
        <v>51</v>
      </c>
      <c r="N131" s="6">
        <v>16600</v>
      </c>
      <c r="O131">
        <v>4.7619047620000003</v>
      </c>
      <c r="P131" s="6">
        <v>830</v>
      </c>
      <c r="Q131">
        <v>8.1999999999999993</v>
      </c>
      <c r="R131" s="6">
        <f>RawSales[[#This Row],[Unit price]]*RawSales[[#This Row],[Quantity]]</f>
        <v>16600</v>
      </c>
      <c r="S131" s="6">
        <f>RawSales[[#This Row],[Subtotal]]*$B$1</f>
        <v>830</v>
      </c>
      <c r="T131" s="6" t="b">
        <f>ROUND(RawSales[[#This Row],[Subtotal]],2)=ROUND(RawSales[[#This Row],[cogs]],2)</f>
        <v>1</v>
      </c>
      <c r="U131" s="6" t="b">
        <f>ROUND(RawSales[[#This Row],[cogs]]*0.05,2)=ROUND(RawSales[[#This Row],[Tax 5%]],2)</f>
        <v>1</v>
      </c>
      <c r="V131" s="6" t="b">
        <f>ROUND(RawSales[[#This Row],[cogs]]+RawSales[[#This Row],[Tax 5%]],2)=ROUND(RawSales[[#This Row],[Sales]],2)</f>
        <v>1</v>
      </c>
    </row>
    <row r="132" spans="1:22" x14ac:dyDescent="0.35">
      <c r="A132" s="4" t="s">
        <v>297</v>
      </c>
      <c r="B132" t="s">
        <v>28</v>
      </c>
      <c r="C132" t="s">
        <v>29</v>
      </c>
      <c r="D132" t="s">
        <v>30</v>
      </c>
      <c r="E132" t="s">
        <v>31</v>
      </c>
      <c r="F132" t="s">
        <v>40</v>
      </c>
      <c r="G132" s="6">
        <v>2201</v>
      </c>
      <c r="H132" s="7">
        <v>6</v>
      </c>
      <c r="I132" s="6">
        <v>660.3</v>
      </c>
      <c r="J132" s="6">
        <v>13866.3</v>
      </c>
      <c r="K132" s="5">
        <v>43466.958333333336</v>
      </c>
      <c r="L132" s="4" t="s">
        <v>298</v>
      </c>
      <c r="M132" t="s">
        <v>26</v>
      </c>
      <c r="N132" s="6">
        <v>13206</v>
      </c>
      <c r="O132">
        <v>4.7619047620000003</v>
      </c>
      <c r="P132" s="6">
        <v>660.3</v>
      </c>
      <c r="Q132">
        <v>7.6</v>
      </c>
      <c r="R132" s="6">
        <f>RawSales[[#This Row],[Unit price]]*RawSales[[#This Row],[Quantity]]</f>
        <v>13206</v>
      </c>
      <c r="S132" s="6">
        <f>RawSales[[#This Row],[Subtotal]]*$B$1</f>
        <v>660.30000000000007</v>
      </c>
      <c r="T132" s="6" t="b">
        <f>ROUND(RawSales[[#This Row],[Subtotal]],2)=ROUND(RawSales[[#This Row],[cogs]],2)</f>
        <v>1</v>
      </c>
      <c r="U132" s="6" t="b">
        <f>ROUND(RawSales[[#This Row],[cogs]]*0.05,2)=ROUND(RawSales[[#This Row],[Tax 5%]],2)</f>
        <v>1</v>
      </c>
      <c r="V132" s="6" t="b">
        <f>ROUND(RawSales[[#This Row],[cogs]]+RawSales[[#This Row],[Tax 5%]],2)=ROUND(RawSales[[#This Row],[Sales]],2)</f>
        <v>1</v>
      </c>
    </row>
    <row r="133" spans="1:22" x14ac:dyDescent="0.35">
      <c r="A133" s="4" t="s">
        <v>299</v>
      </c>
      <c r="B133" t="s">
        <v>20</v>
      </c>
      <c r="C133" t="s">
        <v>21</v>
      </c>
      <c r="D133" t="s">
        <v>22</v>
      </c>
      <c r="E133" t="s">
        <v>23</v>
      </c>
      <c r="F133" t="s">
        <v>62</v>
      </c>
      <c r="G133" s="6">
        <v>9213</v>
      </c>
      <c r="H133" s="7">
        <v>6</v>
      </c>
      <c r="I133" s="6">
        <v>2763.9</v>
      </c>
      <c r="J133" s="6">
        <v>58041.9</v>
      </c>
      <c r="K133" s="5">
        <v>43529.958333333336</v>
      </c>
      <c r="L133" s="4" t="s">
        <v>300</v>
      </c>
      <c r="M133" t="s">
        <v>26</v>
      </c>
      <c r="N133" s="6">
        <v>55278</v>
      </c>
      <c r="O133">
        <v>4.7619047620000003</v>
      </c>
      <c r="P133" s="6">
        <v>2763.9</v>
      </c>
      <c r="Q133">
        <v>8.3000000000000007</v>
      </c>
      <c r="R133" s="6">
        <f>RawSales[[#This Row],[Unit price]]*RawSales[[#This Row],[Quantity]]</f>
        <v>55278</v>
      </c>
      <c r="S133" s="6">
        <f>RawSales[[#This Row],[Subtotal]]*$B$1</f>
        <v>2763.9</v>
      </c>
      <c r="T133" s="6" t="b">
        <f>ROUND(RawSales[[#This Row],[Subtotal]],2)=ROUND(RawSales[[#This Row],[cogs]],2)</f>
        <v>1</v>
      </c>
      <c r="U133" s="6" t="b">
        <f>ROUND(RawSales[[#This Row],[cogs]]*0.05,2)=ROUND(RawSales[[#This Row],[Tax 5%]],2)</f>
        <v>1</v>
      </c>
      <c r="V133" s="6" t="b">
        <f>ROUND(RawSales[[#This Row],[cogs]]+RawSales[[#This Row],[Tax 5%]],2)=ROUND(RawSales[[#This Row],[Sales]],2)</f>
        <v>1</v>
      </c>
    </row>
    <row r="134" spans="1:22" x14ac:dyDescent="0.35">
      <c r="A134" s="4" t="s">
        <v>301</v>
      </c>
      <c r="B134" t="s">
        <v>20</v>
      </c>
      <c r="C134" t="s">
        <v>21</v>
      </c>
      <c r="D134" t="s">
        <v>30</v>
      </c>
      <c r="E134" t="s">
        <v>23</v>
      </c>
      <c r="F134" t="s">
        <v>24</v>
      </c>
      <c r="G134" s="6">
        <v>6710</v>
      </c>
      <c r="H134" s="7">
        <v>3</v>
      </c>
      <c r="I134" s="6">
        <v>1006.5</v>
      </c>
      <c r="J134" s="6">
        <v>21136.5</v>
      </c>
      <c r="K134" s="5">
        <v>43510.958333333336</v>
      </c>
      <c r="L134" s="4" t="s">
        <v>302</v>
      </c>
      <c r="M134" t="s">
        <v>26</v>
      </c>
      <c r="N134" s="6">
        <v>20130</v>
      </c>
      <c r="O134">
        <v>4.7619047620000003</v>
      </c>
      <c r="P134" s="6">
        <v>1006.5</v>
      </c>
      <c r="Q134">
        <v>7.5</v>
      </c>
      <c r="R134" s="6">
        <f>RawSales[[#This Row],[Unit price]]*RawSales[[#This Row],[Quantity]]</f>
        <v>20130</v>
      </c>
      <c r="S134" s="6">
        <f>RawSales[[#This Row],[Subtotal]]*$B$1</f>
        <v>1006.5</v>
      </c>
      <c r="T134" s="6" t="b">
        <f>ROUND(RawSales[[#This Row],[Subtotal]],2)=ROUND(RawSales[[#This Row],[cogs]],2)</f>
        <v>1</v>
      </c>
      <c r="U134" s="6" t="b">
        <f>ROUND(RawSales[[#This Row],[cogs]]*0.05,2)=ROUND(RawSales[[#This Row],[Tax 5%]],2)</f>
        <v>1</v>
      </c>
      <c r="V134" s="6" t="b">
        <f>ROUND(RawSales[[#This Row],[cogs]]+RawSales[[#This Row],[Tax 5%]],2)=ROUND(RawSales[[#This Row],[Sales]],2)</f>
        <v>1</v>
      </c>
    </row>
    <row r="135" spans="1:22" x14ac:dyDescent="0.35">
      <c r="A135" s="4" t="s">
        <v>303</v>
      </c>
      <c r="B135" t="s">
        <v>38</v>
      </c>
      <c r="C135" t="s">
        <v>39</v>
      </c>
      <c r="D135" t="s">
        <v>22</v>
      </c>
      <c r="E135" t="s">
        <v>23</v>
      </c>
      <c r="F135" t="s">
        <v>24</v>
      </c>
      <c r="G135" s="6">
        <v>2108</v>
      </c>
      <c r="H135" s="7">
        <v>3</v>
      </c>
      <c r="I135" s="6">
        <v>316.2</v>
      </c>
      <c r="J135" s="6">
        <v>6640.2</v>
      </c>
      <c r="K135" s="5">
        <v>43504.958333333336</v>
      </c>
      <c r="L135" s="4" t="s">
        <v>235</v>
      </c>
      <c r="M135" t="s">
        <v>26</v>
      </c>
      <c r="N135" s="6">
        <v>6324</v>
      </c>
      <c r="O135">
        <v>4.7619047620000003</v>
      </c>
      <c r="P135" s="6">
        <v>316.2</v>
      </c>
      <c r="Q135">
        <v>7.3</v>
      </c>
      <c r="R135" s="6">
        <f>RawSales[[#This Row],[Unit price]]*RawSales[[#This Row],[Quantity]]</f>
        <v>6324</v>
      </c>
      <c r="S135" s="6">
        <f>RawSales[[#This Row],[Subtotal]]*$B$1</f>
        <v>316.20000000000005</v>
      </c>
      <c r="T135" s="6" t="b">
        <f>ROUND(RawSales[[#This Row],[Subtotal]],2)=ROUND(RawSales[[#This Row],[cogs]],2)</f>
        <v>1</v>
      </c>
      <c r="U135" s="6" t="b">
        <f>ROUND(RawSales[[#This Row],[cogs]]*0.05,2)=ROUND(RawSales[[#This Row],[Tax 5%]],2)</f>
        <v>1</v>
      </c>
      <c r="V135" s="6" t="b">
        <f>ROUND(RawSales[[#This Row],[cogs]]+RawSales[[#This Row],[Tax 5%]],2)=ROUND(RawSales[[#This Row],[Sales]],2)</f>
        <v>1</v>
      </c>
    </row>
    <row r="136" spans="1:22" x14ac:dyDescent="0.35">
      <c r="A136" s="4" t="s">
        <v>304</v>
      </c>
      <c r="B136" t="s">
        <v>28</v>
      </c>
      <c r="C136" t="s">
        <v>29</v>
      </c>
      <c r="D136" t="s">
        <v>30</v>
      </c>
      <c r="E136" t="s">
        <v>23</v>
      </c>
      <c r="F136" t="s">
        <v>43</v>
      </c>
      <c r="G136" s="6">
        <v>1350</v>
      </c>
      <c r="H136" s="7">
        <v>10</v>
      </c>
      <c r="I136" s="6">
        <v>675</v>
      </c>
      <c r="J136" s="6">
        <v>14175</v>
      </c>
      <c r="K136" s="5">
        <v>43522.958333333336</v>
      </c>
      <c r="L136" s="4" t="s">
        <v>305</v>
      </c>
      <c r="M136" t="s">
        <v>51</v>
      </c>
      <c r="N136" s="6">
        <v>13500</v>
      </c>
      <c r="O136">
        <v>4.7619047620000003</v>
      </c>
      <c r="P136" s="6">
        <v>675</v>
      </c>
      <c r="Q136">
        <v>4.8</v>
      </c>
      <c r="R136" s="6">
        <f>RawSales[[#This Row],[Unit price]]*RawSales[[#This Row],[Quantity]]</f>
        <v>13500</v>
      </c>
      <c r="S136" s="6">
        <f>RawSales[[#This Row],[Subtotal]]*$B$1</f>
        <v>675</v>
      </c>
      <c r="T136" s="6" t="b">
        <f>ROUND(RawSales[[#This Row],[Subtotal]],2)=ROUND(RawSales[[#This Row],[cogs]],2)</f>
        <v>1</v>
      </c>
      <c r="U136" s="6" t="b">
        <f>ROUND(RawSales[[#This Row],[cogs]]*0.05,2)=ROUND(RawSales[[#This Row],[Tax 5%]],2)</f>
        <v>1</v>
      </c>
      <c r="V136" s="6" t="b">
        <f>ROUND(RawSales[[#This Row],[cogs]]+RawSales[[#This Row],[Tax 5%]],2)=ROUND(RawSales[[#This Row],[Sales]],2)</f>
        <v>1</v>
      </c>
    </row>
    <row r="137" spans="1:22" x14ac:dyDescent="0.35">
      <c r="A137" s="4" t="s">
        <v>306</v>
      </c>
      <c r="B137" t="s">
        <v>20</v>
      </c>
      <c r="C137" t="s">
        <v>21</v>
      </c>
      <c r="D137" t="s">
        <v>22</v>
      </c>
      <c r="E137" t="s">
        <v>23</v>
      </c>
      <c r="F137" t="s">
        <v>62</v>
      </c>
      <c r="G137" s="6">
        <v>3947</v>
      </c>
      <c r="H137" s="7">
        <v>2</v>
      </c>
      <c r="I137" s="6">
        <v>394.7</v>
      </c>
      <c r="J137" s="6">
        <v>8288.7000000000007</v>
      </c>
      <c r="K137" s="5">
        <v>43525.958333333336</v>
      </c>
      <c r="L137" s="4" t="s">
        <v>307</v>
      </c>
      <c r="M137" t="s">
        <v>51</v>
      </c>
      <c r="N137" s="6">
        <v>7894</v>
      </c>
      <c r="O137">
        <v>4.7619047620000003</v>
      </c>
      <c r="P137" s="6">
        <v>394.7</v>
      </c>
      <c r="Q137">
        <v>5</v>
      </c>
      <c r="R137" s="6">
        <f>RawSales[[#This Row],[Unit price]]*RawSales[[#This Row],[Quantity]]</f>
        <v>7894</v>
      </c>
      <c r="S137" s="6">
        <f>RawSales[[#This Row],[Subtotal]]*$B$1</f>
        <v>394.70000000000005</v>
      </c>
      <c r="T137" s="6" t="b">
        <f>ROUND(RawSales[[#This Row],[Subtotal]],2)=ROUND(RawSales[[#This Row],[cogs]],2)</f>
        <v>1</v>
      </c>
      <c r="U137" s="6" t="b">
        <f>ROUND(RawSales[[#This Row],[cogs]]*0.05,2)=ROUND(RawSales[[#This Row],[Tax 5%]],2)</f>
        <v>1</v>
      </c>
      <c r="V137" s="6" t="b">
        <f>ROUND(RawSales[[#This Row],[cogs]]+RawSales[[#This Row],[Tax 5%]],2)=ROUND(RawSales[[#This Row],[Sales]],2)</f>
        <v>1</v>
      </c>
    </row>
    <row r="138" spans="1:22" x14ac:dyDescent="0.35">
      <c r="A138" s="4" t="s">
        <v>308</v>
      </c>
      <c r="B138" t="s">
        <v>38</v>
      </c>
      <c r="C138" t="s">
        <v>39</v>
      </c>
      <c r="D138" t="s">
        <v>22</v>
      </c>
      <c r="E138" t="s">
        <v>23</v>
      </c>
      <c r="F138" t="s">
        <v>40</v>
      </c>
      <c r="G138" s="6">
        <v>3061</v>
      </c>
      <c r="H138" s="7">
        <v>6</v>
      </c>
      <c r="I138" s="6">
        <v>918.3</v>
      </c>
      <c r="J138" s="6">
        <v>19284.3</v>
      </c>
      <c r="K138" s="5">
        <v>43535.958333333336</v>
      </c>
      <c r="L138" s="4" t="s">
        <v>309</v>
      </c>
      <c r="M138" t="s">
        <v>26</v>
      </c>
      <c r="N138" s="6">
        <v>18366</v>
      </c>
      <c r="O138">
        <v>4.7619047620000003</v>
      </c>
      <c r="P138" s="6">
        <v>918.3</v>
      </c>
      <c r="Q138">
        <v>9.3000000000000007</v>
      </c>
      <c r="R138" s="6">
        <f>RawSales[[#This Row],[Unit price]]*RawSales[[#This Row],[Quantity]]</f>
        <v>18366</v>
      </c>
      <c r="S138" s="6">
        <f>RawSales[[#This Row],[Subtotal]]*$B$1</f>
        <v>918.30000000000007</v>
      </c>
      <c r="T138" s="6" t="b">
        <f>ROUND(RawSales[[#This Row],[Subtotal]],2)=ROUND(RawSales[[#This Row],[cogs]],2)</f>
        <v>1</v>
      </c>
      <c r="U138" s="6" t="b">
        <f>ROUND(RawSales[[#This Row],[cogs]]*0.05,2)=ROUND(RawSales[[#This Row],[Tax 5%]],2)</f>
        <v>1</v>
      </c>
      <c r="V138" s="6" t="b">
        <f>ROUND(RawSales[[#This Row],[cogs]]+RawSales[[#This Row],[Tax 5%]],2)=ROUND(RawSales[[#This Row],[Sales]],2)</f>
        <v>1</v>
      </c>
    </row>
    <row r="139" spans="1:22" x14ac:dyDescent="0.35">
      <c r="A139" s="4" t="s">
        <v>310</v>
      </c>
      <c r="B139" t="s">
        <v>38</v>
      </c>
      <c r="C139" t="s">
        <v>39</v>
      </c>
      <c r="D139" t="s">
        <v>22</v>
      </c>
      <c r="E139" t="s">
        <v>23</v>
      </c>
      <c r="F139" t="s">
        <v>49</v>
      </c>
      <c r="G139" s="6">
        <v>7429</v>
      </c>
      <c r="H139" s="7">
        <v>1</v>
      </c>
      <c r="I139" s="6">
        <v>371.45</v>
      </c>
      <c r="J139" s="6">
        <v>7800.45</v>
      </c>
      <c r="K139" s="4" t="s">
        <v>311</v>
      </c>
      <c r="L139" s="4" t="s">
        <v>312</v>
      </c>
      <c r="M139" t="s">
        <v>26</v>
      </c>
      <c r="N139" s="6">
        <v>7429</v>
      </c>
      <c r="O139">
        <v>4.7619047620000003</v>
      </c>
      <c r="P139" s="6">
        <v>371.45</v>
      </c>
      <c r="Q139">
        <v>5</v>
      </c>
      <c r="R139" s="6">
        <f>RawSales[[#This Row],[Unit price]]*RawSales[[#This Row],[Quantity]]</f>
        <v>7429</v>
      </c>
      <c r="S139" s="6">
        <f>RawSales[[#This Row],[Subtotal]]*$B$1</f>
        <v>371.45000000000005</v>
      </c>
      <c r="T139" s="6" t="b">
        <f>ROUND(RawSales[[#This Row],[Subtotal]],2)=ROUND(RawSales[[#This Row],[cogs]],2)</f>
        <v>1</v>
      </c>
      <c r="U139" s="6" t="b">
        <f>ROUND(RawSales[[#This Row],[cogs]]*0.05,2)=ROUND(RawSales[[#This Row],[Tax 5%]],2)</f>
        <v>1</v>
      </c>
      <c r="V139" s="6" t="b">
        <f>ROUND(RawSales[[#This Row],[cogs]]+RawSales[[#This Row],[Tax 5%]],2)=ROUND(RawSales[[#This Row],[Sales]],2)</f>
        <v>1</v>
      </c>
    </row>
    <row r="140" spans="1:22" x14ac:dyDescent="0.35">
      <c r="A140" s="4" t="s">
        <v>313</v>
      </c>
      <c r="B140" t="s">
        <v>28</v>
      </c>
      <c r="C140" t="s">
        <v>29</v>
      </c>
      <c r="D140" t="s">
        <v>22</v>
      </c>
      <c r="E140" t="s">
        <v>31</v>
      </c>
      <c r="F140" t="s">
        <v>49</v>
      </c>
      <c r="G140" s="6">
        <v>4061</v>
      </c>
      <c r="H140" s="7">
        <v>9</v>
      </c>
      <c r="I140" s="6">
        <v>1827.45</v>
      </c>
      <c r="J140" s="6">
        <v>38376.449999999997</v>
      </c>
      <c r="K140" s="5">
        <v>43466.958333333336</v>
      </c>
      <c r="L140" s="4" t="s">
        <v>314</v>
      </c>
      <c r="M140" t="s">
        <v>26</v>
      </c>
      <c r="N140" s="6">
        <v>36549</v>
      </c>
      <c r="O140">
        <v>4.7619047620000003</v>
      </c>
      <c r="P140" s="6">
        <v>1827.45</v>
      </c>
      <c r="Q140">
        <v>7</v>
      </c>
      <c r="R140" s="6">
        <f>RawSales[[#This Row],[Unit price]]*RawSales[[#This Row],[Quantity]]</f>
        <v>36549</v>
      </c>
      <c r="S140" s="6">
        <f>RawSales[[#This Row],[Subtotal]]*$B$1</f>
        <v>1827.45</v>
      </c>
      <c r="T140" s="6" t="b">
        <f>ROUND(RawSales[[#This Row],[Subtotal]],2)=ROUND(RawSales[[#This Row],[cogs]],2)</f>
        <v>1</v>
      </c>
      <c r="U140" s="6" t="b">
        <f>ROUND(RawSales[[#This Row],[cogs]]*0.05,2)=ROUND(RawSales[[#This Row],[Tax 5%]],2)</f>
        <v>1</v>
      </c>
      <c r="V140" s="6" t="b">
        <f>ROUND(RawSales[[#This Row],[cogs]]+RawSales[[#This Row],[Tax 5%]],2)=ROUND(RawSales[[#This Row],[Sales]],2)</f>
        <v>1</v>
      </c>
    </row>
    <row r="141" spans="1:22" x14ac:dyDescent="0.35">
      <c r="A141" s="4" t="s">
        <v>315</v>
      </c>
      <c r="B141" t="s">
        <v>28</v>
      </c>
      <c r="C141" t="s">
        <v>29</v>
      </c>
      <c r="D141" t="s">
        <v>22</v>
      </c>
      <c r="E141" t="s">
        <v>23</v>
      </c>
      <c r="F141" t="s">
        <v>43</v>
      </c>
      <c r="G141" s="6">
        <v>1915</v>
      </c>
      <c r="H141" s="7">
        <v>1</v>
      </c>
      <c r="I141" s="6">
        <v>95.75</v>
      </c>
      <c r="J141" s="6">
        <v>2010.75</v>
      </c>
      <c r="K141" s="5">
        <v>43492.958333333336</v>
      </c>
      <c r="L141" s="4" t="s">
        <v>316</v>
      </c>
      <c r="M141" t="s">
        <v>51</v>
      </c>
      <c r="N141" s="6">
        <v>1915</v>
      </c>
      <c r="O141">
        <v>4.7619047620000003</v>
      </c>
      <c r="P141" s="6">
        <v>95.75</v>
      </c>
      <c r="Q141">
        <v>9.5</v>
      </c>
      <c r="R141" s="6">
        <f>RawSales[[#This Row],[Unit price]]*RawSales[[#This Row],[Quantity]]</f>
        <v>1915</v>
      </c>
      <c r="S141" s="6">
        <f>RawSales[[#This Row],[Subtotal]]*$B$1</f>
        <v>95.75</v>
      </c>
      <c r="T141" s="6" t="b">
        <f>ROUND(RawSales[[#This Row],[Subtotal]],2)=ROUND(RawSales[[#This Row],[cogs]],2)</f>
        <v>1</v>
      </c>
      <c r="U141" s="6" t="b">
        <f>ROUND(RawSales[[#This Row],[cogs]]*0.05,2)=ROUND(RawSales[[#This Row],[Tax 5%]],2)</f>
        <v>1</v>
      </c>
      <c r="V141" s="6" t="b">
        <f>ROUND(RawSales[[#This Row],[cogs]]+RawSales[[#This Row],[Tax 5%]],2)=ROUND(RawSales[[#This Row],[Sales]],2)</f>
        <v>1</v>
      </c>
    </row>
    <row r="142" spans="1:22" x14ac:dyDescent="0.35">
      <c r="A142" s="4" t="s">
        <v>317</v>
      </c>
      <c r="B142" t="s">
        <v>38</v>
      </c>
      <c r="C142" t="s">
        <v>39</v>
      </c>
      <c r="D142" t="s">
        <v>22</v>
      </c>
      <c r="E142" t="s">
        <v>23</v>
      </c>
      <c r="F142" t="s">
        <v>32</v>
      </c>
      <c r="G142" s="6">
        <v>1595</v>
      </c>
      <c r="H142" s="7">
        <v>6</v>
      </c>
      <c r="I142" s="6">
        <v>478.5</v>
      </c>
      <c r="J142" s="6">
        <v>10048.5</v>
      </c>
      <c r="K142" s="5">
        <v>43504.958333333336</v>
      </c>
      <c r="L142" s="4" t="s">
        <v>318</v>
      </c>
      <c r="M142" t="s">
        <v>51</v>
      </c>
      <c r="N142" s="6">
        <v>9570</v>
      </c>
      <c r="O142">
        <v>4.7619047620000003</v>
      </c>
      <c r="P142" s="6">
        <v>478.5</v>
      </c>
      <c r="Q142">
        <v>5.0999999999999996</v>
      </c>
      <c r="R142" s="6">
        <f>RawSales[[#This Row],[Unit price]]*RawSales[[#This Row],[Quantity]]</f>
        <v>9570</v>
      </c>
      <c r="S142" s="6">
        <f>RawSales[[#This Row],[Subtotal]]*$B$1</f>
        <v>478.5</v>
      </c>
      <c r="T142" s="6" t="b">
        <f>ROUND(RawSales[[#This Row],[Subtotal]],2)=ROUND(RawSales[[#This Row],[cogs]],2)</f>
        <v>1</v>
      </c>
      <c r="U142" s="6" t="b">
        <f>ROUND(RawSales[[#This Row],[cogs]]*0.05,2)=ROUND(RawSales[[#This Row],[Tax 5%]],2)</f>
        <v>1</v>
      </c>
      <c r="V142" s="6" t="b">
        <f>ROUND(RawSales[[#This Row],[cogs]]+RawSales[[#This Row],[Tax 5%]],2)=ROUND(RawSales[[#This Row],[Sales]],2)</f>
        <v>1</v>
      </c>
    </row>
    <row r="143" spans="1:22" x14ac:dyDescent="0.35">
      <c r="A143" s="4" t="s">
        <v>319</v>
      </c>
      <c r="B143" t="s">
        <v>38</v>
      </c>
      <c r="C143" t="s">
        <v>39</v>
      </c>
      <c r="D143" t="s">
        <v>30</v>
      </c>
      <c r="E143" t="s">
        <v>23</v>
      </c>
      <c r="F143" t="s">
        <v>49</v>
      </c>
      <c r="G143" s="6">
        <v>6218</v>
      </c>
      <c r="H143" s="7">
        <v>10</v>
      </c>
      <c r="I143" s="6">
        <v>3109</v>
      </c>
      <c r="J143" s="6">
        <v>65289</v>
      </c>
      <c r="K143" s="5">
        <v>43495.958333333336</v>
      </c>
      <c r="L143" s="4" t="s">
        <v>320</v>
      </c>
      <c r="M143" t="s">
        <v>34</v>
      </c>
      <c r="N143" s="6">
        <v>62180</v>
      </c>
      <c r="O143">
        <v>4.7619047620000003</v>
      </c>
      <c r="P143" s="6">
        <v>3109</v>
      </c>
      <c r="Q143">
        <v>6</v>
      </c>
      <c r="R143" s="6">
        <f>RawSales[[#This Row],[Unit price]]*RawSales[[#This Row],[Quantity]]</f>
        <v>62180</v>
      </c>
      <c r="S143" s="6">
        <f>RawSales[[#This Row],[Subtotal]]*$B$1</f>
        <v>3109</v>
      </c>
      <c r="T143" s="6" t="b">
        <f>ROUND(RawSales[[#This Row],[Subtotal]],2)=ROUND(RawSales[[#This Row],[cogs]],2)</f>
        <v>1</v>
      </c>
      <c r="U143" s="6" t="b">
        <f>ROUND(RawSales[[#This Row],[cogs]]*0.05,2)=ROUND(RawSales[[#This Row],[Tax 5%]],2)</f>
        <v>1</v>
      </c>
      <c r="V143" s="6" t="b">
        <f>ROUND(RawSales[[#This Row],[cogs]]+RawSales[[#This Row],[Tax 5%]],2)=ROUND(RawSales[[#This Row],[Sales]],2)</f>
        <v>1</v>
      </c>
    </row>
    <row r="144" spans="1:22" x14ac:dyDescent="0.35">
      <c r="A144" s="4" t="s">
        <v>321</v>
      </c>
      <c r="B144" t="s">
        <v>20</v>
      </c>
      <c r="C144" t="s">
        <v>21</v>
      </c>
      <c r="D144" t="s">
        <v>22</v>
      </c>
      <c r="E144" t="s">
        <v>23</v>
      </c>
      <c r="F144" t="s">
        <v>24</v>
      </c>
      <c r="G144" s="6">
        <v>8334</v>
      </c>
      <c r="H144" s="7">
        <v>2</v>
      </c>
      <c r="I144" s="6">
        <v>833.4</v>
      </c>
      <c r="J144" s="6">
        <v>17501.400000000001</v>
      </c>
      <c r="K144" s="5">
        <v>43542.958333333336</v>
      </c>
      <c r="L144" s="4" t="s">
        <v>322</v>
      </c>
      <c r="M144" t="s">
        <v>26</v>
      </c>
      <c r="N144" s="6">
        <v>16668</v>
      </c>
      <c r="O144">
        <v>4.7619047620000003</v>
      </c>
      <c r="P144" s="6">
        <v>833.4</v>
      </c>
      <c r="R144" s="6">
        <f>RawSales[[#This Row],[Unit price]]*RawSales[[#This Row],[Quantity]]</f>
        <v>16668</v>
      </c>
      <c r="S144" s="6">
        <f>RawSales[[#This Row],[Subtotal]]*$B$1</f>
        <v>833.40000000000009</v>
      </c>
      <c r="T144" s="6" t="b">
        <f>ROUND(RawSales[[#This Row],[Subtotal]],2)=ROUND(RawSales[[#This Row],[cogs]],2)</f>
        <v>1</v>
      </c>
      <c r="U144" s="6" t="b">
        <f>ROUND(RawSales[[#This Row],[cogs]]*0.05,2)=ROUND(RawSales[[#This Row],[Tax 5%]],2)</f>
        <v>1</v>
      </c>
      <c r="V144" s="6" t="b">
        <f>ROUND(RawSales[[#This Row],[cogs]]+RawSales[[#This Row],[Tax 5%]],2)=ROUND(RawSales[[#This Row],[Sales]],2)</f>
        <v>1</v>
      </c>
    </row>
    <row r="145" spans="1:22" x14ac:dyDescent="0.35">
      <c r="A145" s="4" t="s">
        <v>323</v>
      </c>
      <c r="B145" t="s">
        <v>20</v>
      </c>
      <c r="C145" t="s">
        <v>21</v>
      </c>
      <c r="D145" t="s">
        <v>30</v>
      </c>
      <c r="E145" t="s">
        <v>23</v>
      </c>
      <c r="F145" t="s">
        <v>324</v>
      </c>
      <c r="G145" s="6">
        <v>6361</v>
      </c>
      <c r="H145" s="7">
        <v>5</v>
      </c>
      <c r="I145" s="6">
        <v>1590.25</v>
      </c>
      <c r="J145" s="6">
        <v>33395.25</v>
      </c>
      <c r="K145" s="5">
        <v>43539.958333333336</v>
      </c>
      <c r="L145" s="4" t="s">
        <v>325</v>
      </c>
      <c r="M145" t="s">
        <v>34</v>
      </c>
      <c r="N145" s="6">
        <v>31805</v>
      </c>
      <c r="O145">
        <v>4.7619047620000003</v>
      </c>
      <c r="P145" s="6">
        <v>1590.25</v>
      </c>
      <c r="Q145">
        <v>4.8</v>
      </c>
      <c r="R145" s="6">
        <f>RawSales[[#This Row],[Unit price]]*RawSales[[#This Row],[Quantity]]</f>
        <v>31805</v>
      </c>
      <c r="S145" s="6">
        <f>RawSales[[#This Row],[Subtotal]]*$B$1</f>
        <v>1590.25</v>
      </c>
      <c r="T145" s="6" t="b">
        <f>ROUND(RawSales[[#This Row],[Subtotal]],2)=ROUND(RawSales[[#This Row],[cogs]],2)</f>
        <v>1</v>
      </c>
      <c r="U145" s="6" t="b">
        <f>ROUND(RawSales[[#This Row],[cogs]]*0.05,2)=ROUND(RawSales[[#This Row],[Tax 5%]],2)</f>
        <v>1</v>
      </c>
      <c r="V145" s="6" t="b">
        <f>ROUND(RawSales[[#This Row],[cogs]]+RawSales[[#This Row],[Tax 5%]],2)=ROUND(RawSales[[#This Row],[Sales]],2)</f>
        <v>1</v>
      </c>
    </row>
    <row r="146" spans="1:22" x14ac:dyDescent="0.35">
      <c r="A146" s="4" t="s">
        <v>326</v>
      </c>
      <c r="B146" t="s">
        <v>28</v>
      </c>
      <c r="C146" t="s">
        <v>29</v>
      </c>
      <c r="D146" t="s">
        <v>30</v>
      </c>
      <c r="E146" t="s">
        <v>31</v>
      </c>
      <c r="F146" t="s">
        <v>55</v>
      </c>
      <c r="G146" s="6">
        <v>9236</v>
      </c>
      <c r="H146" s="7">
        <v>5</v>
      </c>
      <c r="I146" s="6">
        <v>2309</v>
      </c>
      <c r="J146" s="6">
        <v>48489</v>
      </c>
      <c r="K146" s="5">
        <v>43543.958333333336</v>
      </c>
      <c r="L146" s="4" t="s">
        <v>327</v>
      </c>
      <c r="M146" t="s">
        <v>34</v>
      </c>
      <c r="N146" s="6">
        <v>46180</v>
      </c>
      <c r="O146">
        <v>4.7619047620000003</v>
      </c>
      <c r="P146" s="6">
        <v>2309</v>
      </c>
      <c r="Q146">
        <v>4.9000000000000004</v>
      </c>
      <c r="R146" s="6">
        <f>RawSales[[#This Row],[Unit price]]*RawSales[[#This Row],[Quantity]]</f>
        <v>46180</v>
      </c>
      <c r="S146" s="6">
        <f>RawSales[[#This Row],[Subtotal]]*$B$1</f>
        <v>2309</v>
      </c>
      <c r="T146" s="6" t="b">
        <f>ROUND(RawSales[[#This Row],[Subtotal]],2)=ROUND(RawSales[[#This Row],[cogs]],2)</f>
        <v>1</v>
      </c>
      <c r="U146" s="6" t="b">
        <f>ROUND(RawSales[[#This Row],[cogs]]*0.05,2)=ROUND(RawSales[[#This Row],[Tax 5%]],2)</f>
        <v>1</v>
      </c>
      <c r="V146" s="6" t="b">
        <f>ROUND(RawSales[[#This Row],[cogs]]+RawSales[[#This Row],[Tax 5%]],2)=ROUND(RawSales[[#This Row],[Sales]],2)</f>
        <v>1</v>
      </c>
    </row>
    <row r="147" spans="1:22" x14ac:dyDescent="0.35">
      <c r="A147" s="4" t="s">
        <v>328</v>
      </c>
      <c r="B147" t="s">
        <v>20</v>
      </c>
      <c r="C147" t="s">
        <v>21</v>
      </c>
      <c r="D147" t="s">
        <v>22</v>
      </c>
      <c r="E147" t="s">
        <v>31</v>
      </c>
      <c r="F147" t="s">
        <v>24</v>
      </c>
      <c r="G147" s="6">
        <v>2217</v>
      </c>
      <c r="H147" s="7">
        <v>8</v>
      </c>
      <c r="I147" s="6">
        <v>886.8</v>
      </c>
      <c r="J147" s="6">
        <v>18622.8</v>
      </c>
      <c r="K147" s="5">
        <v>43526.958333333336</v>
      </c>
      <c r="L147" s="4" t="s">
        <v>223</v>
      </c>
      <c r="M147" t="s">
        <v>51</v>
      </c>
      <c r="N147" s="6">
        <v>17736</v>
      </c>
      <c r="O147">
        <v>4.7619047620000003</v>
      </c>
      <c r="P147" s="6">
        <v>886.8</v>
      </c>
      <c r="Q147">
        <v>9.6</v>
      </c>
      <c r="R147" s="6">
        <f>RawSales[[#This Row],[Unit price]]*RawSales[[#This Row],[Quantity]]</f>
        <v>17736</v>
      </c>
      <c r="S147" s="6">
        <f>RawSales[[#This Row],[Subtotal]]*$B$1</f>
        <v>886.80000000000007</v>
      </c>
      <c r="T147" s="6" t="b">
        <f>ROUND(RawSales[[#This Row],[Subtotal]],2)=ROUND(RawSales[[#This Row],[cogs]],2)</f>
        <v>1</v>
      </c>
      <c r="U147" s="6" t="b">
        <f>ROUND(RawSales[[#This Row],[cogs]]*0.05,2)=ROUND(RawSales[[#This Row],[Tax 5%]],2)</f>
        <v>1</v>
      </c>
      <c r="V147" s="6" t="b">
        <f>ROUND(RawSales[[#This Row],[cogs]]+RawSales[[#This Row],[Tax 5%]],2)=ROUND(RawSales[[#This Row],[Sales]],2)</f>
        <v>1</v>
      </c>
    </row>
    <row r="148" spans="1:22" x14ac:dyDescent="0.35">
      <c r="A148" s="4" t="s">
        <v>329</v>
      </c>
      <c r="B148" t="s">
        <v>28</v>
      </c>
      <c r="C148" t="s">
        <v>29</v>
      </c>
      <c r="D148" t="s">
        <v>22</v>
      </c>
      <c r="E148" t="s">
        <v>23</v>
      </c>
      <c r="F148" t="s">
        <v>24</v>
      </c>
      <c r="G148" s="6">
        <v>7740</v>
      </c>
      <c r="H148" s="7">
        <v>9</v>
      </c>
      <c r="I148" s="6">
        <v>3483</v>
      </c>
      <c r="J148" s="6">
        <v>73143</v>
      </c>
      <c r="K148" s="5">
        <v>43510.958333333336</v>
      </c>
      <c r="L148" s="4" t="s">
        <v>330</v>
      </c>
      <c r="M148" t="s">
        <v>51</v>
      </c>
      <c r="N148" s="6">
        <v>69660</v>
      </c>
      <c r="O148">
        <v>4.7619047620000003</v>
      </c>
      <c r="P148" s="6">
        <v>3483</v>
      </c>
      <c r="Q148">
        <v>4.5</v>
      </c>
      <c r="R148" s="6">
        <f>RawSales[[#This Row],[Unit price]]*RawSales[[#This Row],[Quantity]]</f>
        <v>69660</v>
      </c>
      <c r="S148" s="6">
        <f>RawSales[[#This Row],[Subtotal]]*$B$1</f>
        <v>3483</v>
      </c>
      <c r="T148" s="6" t="b">
        <f>ROUND(RawSales[[#This Row],[Subtotal]],2)=ROUND(RawSales[[#This Row],[cogs]],2)</f>
        <v>1</v>
      </c>
      <c r="U148" s="6" t="b">
        <f>ROUND(RawSales[[#This Row],[cogs]]*0.05,2)=ROUND(RawSales[[#This Row],[Tax 5%]],2)</f>
        <v>1</v>
      </c>
      <c r="V148" s="6" t="b">
        <f>ROUND(RawSales[[#This Row],[cogs]]+RawSales[[#This Row],[Tax 5%]],2)=ROUND(RawSales[[#This Row],[Sales]],2)</f>
        <v>1</v>
      </c>
    </row>
    <row r="149" spans="1:22" x14ac:dyDescent="0.35">
      <c r="A149" s="4" t="s">
        <v>331</v>
      </c>
      <c r="B149" t="s">
        <v>28</v>
      </c>
      <c r="C149" t="s">
        <v>29</v>
      </c>
      <c r="D149" t="s">
        <v>30</v>
      </c>
      <c r="E149" t="s">
        <v>31</v>
      </c>
      <c r="F149" t="s">
        <v>43</v>
      </c>
      <c r="G149" s="6">
        <v>6257</v>
      </c>
      <c r="H149" s="7">
        <v>4</v>
      </c>
      <c r="I149" s="6">
        <v>1251.4000000000001</v>
      </c>
      <c r="J149" s="6">
        <v>26279.4</v>
      </c>
      <c r="K149" s="5">
        <v>43520.958333333336</v>
      </c>
      <c r="L149" s="4" t="s">
        <v>332</v>
      </c>
      <c r="M149" t="s">
        <v>26</v>
      </c>
      <c r="N149" s="6">
        <v>25028</v>
      </c>
      <c r="O149">
        <v>4.7619047620000003</v>
      </c>
      <c r="P149" s="6">
        <v>1251.4000000000001</v>
      </c>
      <c r="Q149">
        <v>9.5</v>
      </c>
      <c r="R149" s="6">
        <f>RawSales[[#This Row],[Unit price]]*RawSales[[#This Row],[Quantity]]</f>
        <v>25028</v>
      </c>
      <c r="S149" s="6">
        <f>RawSales[[#This Row],[Subtotal]]*$B$1</f>
        <v>1251.4000000000001</v>
      </c>
      <c r="T149" s="6" t="b">
        <f>ROUND(RawSales[[#This Row],[Subtotal]],2)=ROUND(RawSales[[#This Row],[cogs]],2)</f>
        <v>1</v>
      </c>
      <c r="U149" s="6" t="b">
        <f>ROUND(RawSales[[#This Row],[cogs]]*0.05,2)=ROUND(RawSales[[#This Row],[Tax 5%]],2)</f>
        <v>1</v>
      </c>
      <c r="V149" s="6" t="b">
        <f>ROUND(RawSales[[#This Row],[cogs]]+RawSales[[#This Row],[Tax 5%]],2)=ROUND(RawSales[[#This Row],[Sales]],2)</f>
        <v>1</v>
      </c>
    </row>
    <row r="150" spans="1:22" x14ac:dyDescent="0.35">
      <c r="A150" s="4" t="s">
        <v>333</v>
      </c>
      <c r="B150" t="s">
        <v>38</v>
      </c>
      <c r="C150" t="s">
        <v>39</v>
      </c>
      <c r="D150" t="s">
        <v>22</v>
      </c>
      <c r="E150" t="s">
        <v>23</v>
      </c>
      <c r="F150" t="s">
        <v>40</v>
      </c>
      <c r="G150" s="6">
        <v>1245</v>
      </c>
      <c r="H150" s="7">
        <v>6</v>
      </c>
      <c r="I150" s="6">
        <v>373.5</v>
      </c>
      <c r="J150" s="6">
        <v>7843.5</v>
      </c>
      <c r="K150" s="5">
        <v>43504.958333333336</v>
      </c>
      <c r="L150" s="4" t="s">
        <v>334</v>
      </c>
      <c r="M150" t="s">
        <v>26</v>
      </c>
      <c r="N150" s="6">
        <v>7470</v>
      </c>
      <c r="O150">
        <v>4.7619047620000003</v>
      </c>
      <c r="P150" s="6">
        <v>373.5</v>
      </c>
      <c r="Q150">
        <v>4.0999999999999996</v>
      </c>
      <c r="R150" s="6">
        <f>RawSales[[#This Row],[Unit price]]*RawSales[[#This Row],[Quantity]]</f>
        <v>7470</v>
      </c>
      <c r="S150" s="6">
        <f>RawSales[[#This Row],[Subtotal]]*$B$1</f>
        <v>373.5</v>
      </c>
      <c r="T150" s="6" t="b">
        <f>ROUND(RawSales[[#This Row],[Subtotal]],2)=ROUND(RawSales[[#This Row],[cogs]],2)</f>
        <v>1</v>
      </c>
      <c r="U150" s="6" t="b">
        <f>ROUND(RawSales[[#This Row],[cogs]]*0.05,2)=ROUND(RawSales[[#This Row],[Tax 5%]],2)</f>
        <v>1</v>
      </c>
      <c r="V150" s="6" t="b">
        <f>ROUND(RawSales[[#This Row],[cogs]]+RawSales[[#This Row],[Tax 5%]],2)=ROUND(RawSales[[#This Row],[Sales]],2)</f>
        <v>1</v>
      </c>
    </row>
    <row r="151" spans="1:22" x14ac:dyDescent="0.35">
      <c r="A151" s="4" t="s">
        <v>335</v>
      </c>
      <c r="B151" t="s">
        <v>20</v>
      </c>
      <c r="C151" t="s">
        <v>21</v>
      </c>
      <c r="D151" t="s">
        <v>30</v>
      </c>
      <c r="E151" t="s">
        <v>31</v>
      </c>
      <c r="F151" t="s">
        <v>32</v>
      </c>
      <c r="G151" s="6">
        <v>3068</v>
      </c>
      <c r="H151" s="7">
        <v>3</v>
      </c>
      <c r="I151" s="6">
        <v>460.2</v>
      </c>
      <c r="J151" s="6">
        <v>9664.2000000000007</v>
      </c>
      <c r="K151" s="5">
        <v>43486.958333333336</v>
      </c>
      <c r="L151" s="4" t="s">
        <v>336</v>
      </c>
      <c r="M151" t="s">
        <v>34</v>
      </c>
      <c r="N151" s="6">
        <v>9204</v>
      </c>
      <c r="O151">
        <v>4.7619047620000003</v>
      </c>
      <c r="P151" s="6">
        <v>460.2</v>
      </c>
      <c r="Q151">
        <v>9.1</v>
      </c>
      <c r="R151" s="6">
        <f>RawSales[[#This Row],[Unit price]]*RawSales[[#This Row],[Quantity]]</f>
        <v>9204</v>
      </c>
      <c r="S151" s="6">
        <f>RawSales[[#This Row],[Subtotal]]*$B$1</f>
        <v>460.20000000000005</v>
      </c>
      <c r="T151" s="6" t="b">
        <f>ROUND(RawSales[[#This Row],[Subtotal]],2)=ROUND(RawSales[[#This Row],[cogs]],2)</f>
        <v>1</v>
      </c>
      <c r="U151" s="6" t="b">
        <f>ROUND(RawSales[[#This Row],[cogs]]*0.05,2)=ROUND(RawSales[[#This Row],[Tax 5%]],2)</f>
        <v>1</v>
      </c>
      <c r="V151" s="6" t="b">
        <f>ROUND(RawSales[[#This Row],[cogs]]+RawSales[[#This Row],[Tax 5%]],2)=ROUND(RawSales[[#This Row],[Sales]],2)</f>
        <v>1</v>
      </c>
    </row>
    <row r="152" spans="1:22" x14ac:dyDescent="0.35">
      <c r="A152" s="4" t="s">
        <v>337</v>
      </c>
      <c r="B152" t="s">
        <v>28</v>
      </c>
      <c r="C152" t="s">
        <v>29</v>
      </c>
      <c r="D152" t="s">
        <v>22</v>
      </c>
      <c r="E152" t="s">
        <v>31</v>
      </c>
      <c r="F152" t="s">
        <v>49</v>
      </c>
      <c r="G152" s="6">
        <v>6018</v>
      </c>
      <c r="H152" s="7">
        <v>4</v>
      </c>
      <c r="I152" s="6">
        <v>1203.5999999999999</v>
      </c>
      <c r="J152" s="6">
        <v>25275.599999999999</v>
      </c>
      <c r="K152" s="5">
        <v>43511.958333333336</v>
      </c>
      <c r="L152" s="4" t="s">
        <v>338</v>
      </c>
      <c r="M152" t="s">
        <v>51</v>
      </c>
      <c r="N152" s="6">
        <v>24072</v>
      </c>
      <c r="O152">
        <v>4.7619047620000003</v>
      </c>
      <c r="P152" s="6">
        <v>1203.5999999999999</v>
      </c>
      <c r="Q152">
        <v>9.4</v>
      </c>
      <c r="R152" s="6">
        <f>RawSales[[#This Row],[Unit price]]*RawSales[[#This Row],[Quantity]]</f>
        <v>24072</v>
      </c>
      <c r="S152" s="6">
        <f>RawSales[[#This Row],[Subtotal]]*$B$1</f>
        <v>1203.6000000000001</v>
      </c>
      <c r="T152" s="6" t="b">
        <f>ROUND(RawSales[[#This Row],[Subtotal]],2)=ROUND(RawSales[[#This Row],[cogs]],2)</f>
        <v>1</v>
      </c>
      <c r="U152" s="6" t="b">
        <f>ROUND(RawSales[[#This Row],[cogs]]*0.05,2)=ROUND(RawSales[[#This Row],[Tax 5%]],2)</f>
        <v>1</v>
      </c>
      <c r="V152" s="6" t="b">
        <f>ROUND(RawSales[[#This Row],[cogs]]+RawSales[[#This Row],[Tax 5%]],2)=ROUND(RawSales[[#This Row],[Sales]],2)</f>
        <v>1</v>
      </c>
    </row>
    <row r="153" spans="1:22" x14ac:dyDescent="0.35">
      <c r="A153" s="4" t="s">
        <v>339</v>
      </c>
      <c r="B153" t="s">
        <v>38</v>
      </c>
      <c r="C153" t="s">
        <v>39</v>
      </c>
      <c r="D153" t="s">
        <v>30</v>
      </c>
      <c r="E153" t="s">
        <v>31</v>
      </c>
      <c r="F153" t="s">
        <v>55</v>
      </c>
      <c r="G153" s="6">
        <v>6940</v>
      </c>
      <c r="H153" s="7">
        <v>2</v>
      </c>
      <c r="I153" s="6">
        <v>694</v>
      </c>
      <c r="J153" s="6">
        <v>14574</v>
      </c>
      <c r="K153" s="5">
        <v>43491.958333333336</v>
      </c>
      <c r="L153" s="4" t="s">
        <v>212</v>
      </c>
      <c r="M153" t="s">
        <v>34</v>
      </c>
      <c r="N153" s="6">
        <v>13880</v>
      </c>
      <c r="O153">
        <v>4.7619047620000003</v>
      </c>
      <c r="P153" s="6">
        <v>694</v>
      </c>
      <c r="Q153">
        <v>9</v>
      </c>
      <c r="R153" s="6">
        <f>RawSales[[#This Row],[Unit price]]*RawSales[[#This Row],[Quantity]]</f>
        <v>13880</v>
      </c>
      <c r="S153" s="6">
        <f>RawSales[[#This Row],[Subtotal]]*$B$1</f>
        <v>694</v>
      </c>
      <c r="T153" s="6" t="b">
        <f>ROUND(RawSales[[#This Row],[Subtotal]],2)=ROUND(RawSales[[#This Row],[cogs]],2)</f>
        <v>1</v>
      </c>
      <c r="U153" s="6" t="b">
        <f>ROUND(RawSales[[#This Row],[cogs]]*0.05,2)=ROUND(RawSales[[#This Row],[Tax 5%]],2)</f>
        <v>1</v>
      </c>
      <c r="V153" s="6" t="b">
        <f>ROUND(RawSales[[#This Row],[cogs]]+RawSales[[#This Row],[Tax 5%]],2)=ROUND(RawSales[[#This Row],[Sales]],2)</f>
        <v>1</v>
      </c>
    </row>
    <row r="154" spans="1:22" x14ac:dyDescent="0.35">
      <c r="A154" s="4" t="s">
        <v>340</v>
      </c>
      <c r="B154" t="s">
        <v>38</v>
      </c>
      <c r="C154" t="s">
        <v>39</v>
      </c>
      <c r="D154" t="s">
        <v>30</v>
      </c>
      <c r="E154" t="s">
        <v>23</v>
      </c>
      <c r="F154" t="s">
        <v>24</v>
      </c>
      <c r="G154" s="6">
        <v>1631</v>
      </c>
      <c r="H154" s="7">
        <v>9</v>
      </c>
      <c r="I154" s="6">
        <v>733.95</v>
      </c>
      <c r="J154" s="6">
        <v>15412.95</v>
      </c>
      <c r="K154" s="5">
        <v>43549.958333333336</v>
      </c>
      <c r="L154" s="4" t="s">
        <v>341</v>
      </c>
      <c r="M154" t="s">
        <v>34</v>
      </c>
      <c r="N154" s="6">
        <v>14679</v>
      </c>
      <c r="O154">
        <v>4.7619047620000003</v>
      </c>
      <c r="P154" s="6">
        <v>733.95</v>
      </c>
      <c r="Q154">
        <v>8.4</v>
      </c>
      <c r="R154" s="6">
        <f>RawSales[[#This Row],[Unit price]]*RawSales[[#This Row],[Quantity]]</f>
        <v>14679</v>
      </c>
      <c r="S154" s="6">
        <f>RawSales[[#This Row],[Subtotal]]*$B$1</f>
        <v>733.95</v>
      </c>
      <c r="T154" s="6" t="b">
        <f>ROUND(RawSales[[#This Row],[Subtotal]],2)=ROUND(RawSales[[#This Row],[cogs]],2)</f>
        <v>1</v>
      </c>
      <c r="U154" s="6" t="b">
        <f>ROUND(RawSales[[#This Row],[cogs]]*0.05,2)=ROUND(RawSales[[#This Row],[Tax 5%]],2)</f>
        <v>1</v>
      </c>
      <c r="V154" s="6" t="b">
        <f>ROUND(RawSales[[#This Row],[cogs]]+RawSales[[#This Row],[Tax 5%]],2)=ROUND(RawSales[[#This Row],[Sales]],2)</f>
        <v>1</v>
      </c>
    </row>
    <row r="155" spans="1:22" x14ac:dyDescent="0.35">
      <c r="A155" s="4" t="s">
        <v>342</v>
      </c>
      <c r="B155" t="s">
        <v>28</v>
      </c>
      <c r="C155" t="s">
        <v>29</v>
      </c>
      <c r="D155" t="s">
        <v>30</v>
      </c>
      <c r="E155" t="s">
        <v>31</v>
      </c>
      <c r="F155" t="s">
        <v>40</v>
      </c>
      <c r="G155" s="6">
        <v>2295</v>
      </c>
      <c r="H155" s="7">
        <v>10</v>
      </c>
      <c r="I155" s="6">
        <v>1147.5</v>
      </c>
      <c r="J155" s="6">
        <v>24097.5</v>
      </c>
      <c r="K155" s="5">
        <v>43501.958333333336</v>
      </c>
      <c r="L155" s="4" t="s">
        <v>343</v>
      </c>
      <c r="M155" t="s">
        <v>34</v>
      </c>
      <c r="N155" s="6">
        <v>22950</v>
      </c>
      <c r="O155">
        <v>4.7619047620000003</v>
      </c>
      <c r="P155" s="6">
        <v>1147.5</v>
      </c>
      <c r="Q155">
        <v>8.1999999999999993</v>
      </c>
      <c r="R155" s="6">
        <f>RawSales[[#This Row],[Unit price]]*RawSales[[#This Row],[Quantity]]</f>
        <v>22950</v>
      </c>
      <c r="S155" s="6">
        <f>RawSales[[#This Row],[Subtotal]]*$B$1</f>
        <v>1147.5</v>
      </c>
      <c r="T155" s="6" t="b">
        <f>ROUND(RawSales[[#This Row],[Subtotal]],2)=ROUND(RawSales[[#This Row],[cogs]],2)</f>
        <v>1</v>
      </c>
      <c r="U155" s="6" t="b">
        <f>ROUND(RawSales[[#This Row],[cogs]]*0.05,2)=ROUND(RawSales[[#This Row],[Tax 5%]],2)</f>
        <v>1</v>
      </c>
      <c r="V155" s="6" t="b">
        <f>ROUND(RawSales[[#This Row],[cogs]]+RawSales[[#This Row],[Tax 5%]],2)=ROUND(RawSales[[#This Row],[Sales]],2)</f>
        <v>1</v>
      </c>
    </row>
    <row r="156" spans="1:22" x14ac:dyDescent="0.35">
      <c r="A156" s="4" t="s">
        <v>344</v>
      </c>
      <c r="B156" t="s">
        <v>28</v>
      </c>
      <c r="C156" t="s">
        <v>29</v>
      </c>
      <c r="D156" t="s">
        <v>30</v>
      </c>
      <c r="E156" t="s">
        <v>31</v>
      </c>
      <c r="F156" t="s">
        <v>62</v>
      </c>
      <c r="G156" s="6">
        <v>9339</v>
      </c>
      <c r="H156" s="7">
        <v>6</v>
      </c>
      <c r="I156" s="6">
        <v>2801.7</v>
      </c>
      <c r="J156" s="6">
        <v>58835.7</v>
      </c>
      <c r="K156" s="5">
        <v>43550.958333333336</v>
      </c>
      <c r="L156" s="4" t="s">
        <v>345</v>
      </c>
      <c r="M156" t="s">
        <v>34</v>
      </c>
      <c r="N156" s="6">
        <v>56034</v>
      </c>
      <c r="O156">
        <v>4.7619047620000003</v>
      </c>
      <c r="P156" s="6">
        <v>2801.7</v>
      </c>
      <c r="Q156">
        <v>10</v>
      </c>
      <c r="R156" s="6">
        <f>RawSales[[#This Row],[Unit price]]*RawSales[[#This Row],[Quantity]]</f>
        <v>56034</v>
      </c>
      <c r="S156" s="6">
        <f>RawSales[[#This Row],[Subtotal]]*$B$1</f>
        <v>2801.7000000000003</v>
      </c>
      <c r="T156" s="6" t="b">
        <f>ROUND(RawSales[[#This Row],[Subtotal]],2)=ROUND(RawSales[[#This Row],[cogs]],2)</f>
        <v>1</v>
      </c>
      <c r="U156" s="6" t="b">
        <f>ROUND(RawSales[[#This Row],[cogs]]*0.05,2)=ROUND(RawSales[[#This Row],[Tax 5%]],2)</f>
        <v>1</v>
      </c>
      <c r="V156" s="6" t="b">
        <f>ROUND(RawSales[[#This Row],[cogs]]+RawSales[[#This Row],[Tax 5%]],2)=ROUND(RawSales[[#This Row],[Sales]],2)</f>
        <v>1</v>
      </c>
    </row>
    <row r="157" spans="1:22" x14ac:dyDescent="0.35">
      <c r="A157" s="4" t="s">
        <v>346</v>
      </c>
      <c r="B157" t="s">
        <v>20</v>
      </c>
      <c r="C157" t="s">
        <v>21</v>
      </c>
      <c r="D157" t="s">
        <v>30</v>
      </c>
      <c r="E157" t="s">
        <v>31</v>
      </c>
      <c r="F157" t="s">
        <v>49</v>
      </c>
      <c r="G157" s="6">
        <v>7640</v>
      </c>
      <c r="H157" s="7">
        <v>9</v>
      </c>
      <c r="I157" s="6">
        <v>3438</v>
      </c>
      <c r="J157" s="6">
        <v>72198</v>
      </c>
      <c r="K157" s="5">
        <v>43542.958333333336</v>
      </c>
      <c r="L157" s="4" t="s">
        <v>347</v>
      </c>
      <c r="M157" t="s">
        <v>34</v>
      </c>
      <c r="N157" s="6">
        <v>68760</v>
      </c>
      <c r="O157">
        <v>4.7619047620000003</v>
      </c>
      <c r="P157" s="6">
        <v>3438</v>
      </c>
      <c r="Q157">
        <v>7.5</v>
      </c>
      <c r="R157" s="6">
        <f>RawSales[[#This Row],[Unit price]]*RawSales[[#This Row],[Quantity]]</f>
        <v>68760</v>
      </c>
      <c r="S157" s="6">
        <f>RawSales[[#This Row],[Subtotal]]*$B$1</f>
        <v>3438</v>
      </c>
      <c r="T157" s="6" t="b">
        <f>ROUND(RawSales[[#This Row],[Subtotal]],2)=ROUND(RawSales[[#This Row],[cogs]],2)</f>
        <v>1</v>
      </c>
      <c r="U157" s="6" t="b">
        <f>ROUND(RawSales[[#This Row],[cogs]]*0.05,2)=ROUND(RawSales[[#This Row],[Tax 5%]],2)</f>
        <v>1</v>
      </c>
      <c r="V157" s="6" t="b">
        <f>ROUND(RawSales[[#This Row],[cogs]]+RawSales[[#This Row],[Tax 5%]],2)=ROUND(RawSales[[#This Row],[Sales]],2)</f>
        <v>1</v>
      </c>
    </row>
    <row r="158" spans="1:22" x14ac:dyDescent="0.35">
      <c r="A158" s="4" t="s">
        <v>348</v>
      </c>
      <c r="B158" t="s">
        <v>28</v>
      </c>
      <c r="C158" t="s">
        <v>29</v>
      </c>
      <c r="D158" t="s">
        <v>30</v>
      </c>
      <c r="E158" t="s">
        <v>23</v>
      </c>
      <c r="F158" t="s">
        <v>32</v>
      </c>
      <c r="G158" s="6">
        <v>9737</v>
      </c>
      <c r="H158" s="7">
        <v>10</v>
      </c>
      <c r="I158" s="6">
        <v>4868.5</v>
      </c>
      <c r="J158" s="6">
        <v>102238.5</v>
      </c>
      <c r="K158" s="5">
        <v>43479.958333333336</v>
      </c>
      <c r="L158" s="4" t="s">
        <v>349</v>
      </c>
      <c r="M158" t="s">
        <v>51</v>
      </c>
      <c r="N158" s="6">
        <v>97370</v>
      </c>
      <c r="O158">
        <v>4.7619047620000003</v>
      </c>
      <c r="P158" s="6">
        <v>4868.5</v>
      </c>
      <c r="Q158">
        <v>4.9000000000000004</v>
      </c>
      <c r="R158" s="6">
        <f>RawSales[[#This Row],[Unit price]]*RawSales[[#This Row],[Quantity]]</f>
        <v>97370</v>
      </c>
      <c r="S158" s="6">
        <f>RawSales[[#This Row],[Subtotal]]*$B$1</f>
        <v>4868.5</v>
      </c>
      <c r="T158" s="6" t="b">
        <f>ROUND(RawSales[[#This Row],[Subtotal]],2)=ROUND(RawSales[[#This Row],[cogs]],2)</f>
        <v>1</v>
      </c>
      <c r="U158" s="6" t="b">
        <f>ROUND(RawSales[[#This Row],[cogs]]*0.05,2)=ROUND(RawSales[[#This Row],[Tax 5%]],2)</f>
        <v>1</v>
      </c>
      <c r="V158" s="6" t="b">
        <f>ROUND(RawSales[[#This Row],[cogs]]+RawSales[[#This Row],[Tax 5%]],2)=ROUND(RawSales[[#This Row],[Sales]],2)</f>
        <v>1</v>
      </c>
    </row>
    <row r="159" spans="1:22" x14ac:dyDescent="0.35">
      <c r="A159" s="4" t="s">
        <v>350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s="6">
        <v>9387</v>
      </c>
      <c r="H159" s="7">
        <v>8</v>
      </c>
      <c r="I159" s="6">
        <v>3754.8</v>
      </c>
      <c r="J159" s="6">
        <v>78850.8</v>
      </c>
      <c r="K159" s="5">
        <v>43497.958333333336</v>
      </c>
      <c r="L159" s="4" t="s">
        <v>351</v>
      </c>
      <c r="M159" t="s">
        <v>51</v>
      </c>
      <c r="N159" s="6">
        <v>75096</v>
      </c>
      <c r="O159">
        <v>4.7619047620000003</v>
      </c>
      <c r="P159" s="6">
        <v>3754.8</v>
      </c>
      <c r="Q159">
        <v>8.3000000000000007</v>
      </c>
      <c r="R159" s="6">
        <f>RawSales[[#This Row],[Unit price]]*RawSales[[#This Row],[Quantity]]</f>
        <v>75096</v>
      </c>
      <c r="S159" s="6">
        <f>RawSales[[#This Row],[Subtotal]]*$B$1</f>
        <v>3754.8</v>
      </c>
      <c r="T159" s="6" t="b">
        <f>ROUND(RawSales[[#This Row],[Subtotal]],2)=ROUND(RawSales[[#This Row],[cogs]],2)</f>
        <v>1</v>
      </c>
      <c r="U159" s="6" t="b">
        <f>ROUND(RawSales[[#This Row],[cogs]]*0.05,2)=ROUND(RawSales[[#This Row],[Tax 5%]],2)</f>
        <v>1</v>
      </c>
      <c r="V159" s="6" t="b">
        <f>ROUND(RawSales[[#This Row],[cogs]]+RawSales[[#This Row],[Tax 5%]],2)=ROUND(RawSales[[#This Row],[Sales]],2)</f>
        <v>1</v>
      </c>
    </row>
    <row r="160" spans="1:22" x14ac:dyDescent="0.35">
      <c r="A160" s="4" t="s">
        <v>352</v>
      </c>
      <c r="B160" t="s">
        <v>20</v>
      </c>
      <c r="C160" t="s">
        <v>21</v>
      </c>
      <c r="D160" t="s">
        <v>30</v>
      </c>
      <c r="E160" t="s">
        <v>23</v>
      </c>
      <c r="F160" t="s">
        <v>49</v>
      </c>
      <c r="G160" s="6">
        <v>1209</v>
      </c>
      <c r="H160" s="7">
        <v>1</v>
      </c>
      <c r="I160" s="6">
        <v>60.45</v>
      </c>
      <c r="J160" s="6">
        <v>1269.45</v>
      </c>
      <c r="K160" s="4" t="s">
        <v>353</v>
      </c>
      <c r="L160" s="4" t="s">
        <v>354</v>
      </c>
      <c r="M160" t="s">
        <v>51</v>
      </c>
      <c r="N160" s="6">
        <v>1209</v>
      </c>
      <c r="O160">
        <v>4.7619047620000003</v>
      </c>
      <c r="P160" s="6">
        <v>60.45</v>
      </c>
      <c r="Q160">
        <v>8.1999999999999993</v>
      </c>
      <c r="R160" s="6">
        <f>RawSales[[#This Row],[Unit price]]*RawSales[[#This Row],[Quantity]]</f>
        <v>1209</v>
      </c>
      <c r="S160" s="6">
        <f>RawSales[[#This Row],[Subtotal]]*$B$1</f>
        <v>60.45</v>
      </c>
      <c r="T160" s="6" t="b">
        <f>ROUND(RawSales[[#This Row],[Subtotal]],2)=ROUND(RawSales[[#This Row],[cogs]],2)</f>
        <v>1</v>
      </c>
      <c r="U160" s="6" t="b">
        <f>ROUND(RawSales[[#This Row],[cogs]]*0.05,2)=ROUND(RawSales[[#This Row],[Tax 5%]],2)</f>
        <v>1</v>
      </c>
      <c r="V160" s="6" t="b">
        <f>ROUND(RawSales[[#This Row],[cogs]]+RawSales[[#This Row],[Tax 5%]],2)=ROUND(RawSales[[#This Row],[Sales]],2)</f>
        <v>1</v>
      </c>
    </row>
    <row r="161" spans="1:22" x14ac:dyDescent="0.35">
      <c r="A161" s="4" t="s">
        <v>355</v>
      </c>
      <c r="B161" t="s">
        <v>38</v>
      </c>
      <c r="C161" t="s">
        <v>39</v>
      </c>
      <c r="D161" t="s">
        <v>22</v>
      </c>
      <c r="E161" t="s">
        <v>23</v>
      </c>
      <c r="F161" t="s">
        <v>32</v>
      </c>
      <c r="G161" s="6">
        <v>8377</v>
      </c>
      <c r="H161" s="7">
        <v>6</v>
      </c>
      <c r="I161" s="6">
        <v>2513.1</v>
      </c>
      <c r="J161" s="6">
        <v>52775.1</v>
      </c>
      <c r="K161" s="5">
        <v>43487.958333333336</v>
      </c>
      <c r="L161" s="4" t="s">
        <v>356</v>
      </c>
      <c r="M161" t="s">
        <v>34</v>
      </c>
      <c r="N161" s="6">
        <v>50262</v>
      </c>
      <c r="O161">
        <v>4.7619047620000003</v>
      </c>
      <c r="P161" s="6">
        <v>2513.1</v>
      </c>
      <c r="Q161">
        <v>5.4</v>
      </c>
      <c r="R161" s="6">
        <f>RawSales[[#This Row],[Unit price]]*RawSales[[#This Row],[Quantity]]</f>
        <v>50262</v>
      </c>
      <c r="S161" s="6">
        <f>RawSales[[#This Row],[Subtotal]]*$B$1</f>
        <v>2513.1000000000004</v>
      </c>
      <c r="T161" s="6" t="b">
        <f>ROUND(RawSales[[#This Row],[Subtotal]],2)=ROUND(RawSales[[#This Row],[cogs]],2)</f>
        <v>1</v>
      </c>
      <c r="U161" s="6" t="b">
        <f>ROUND(RawSales[[#This Row],[cogs]]*0.05,2)=ROUND(RawSales[[#This Row],[Tax 5%]],2)</f>
        <v>1</v>
      </c>
      <c r="V161" s="6" t="b">
        <f>ROUND(RawSales[[#This Row],[cogs]]+RawSales[[#This Row],[Tax 5%]],2)=ROUND(RawSales[[#This Row],[Sales]],2)</f>
        <v>1</v>
      </c>
    </row>
    <row r="162" spans="1:22" x14ac:dyDescent="0.35">
      <c r="A162" s="4" t="s">
        <v>357</v>
      </c>
      <c r="B162" t="s">
        <v>28</v>
      </c>
      <c r="C162" t="s">
        <v>29</v>
      </c>
      <c r="D162" t="s">
        <v>30</v>
      </c>
      <c r="E162" t="s">
        <v>23</v>
      </c>
      <c r="F162" t="s">
        <v>32</v>
      </c>
      <c r="G162" s="6">
        <v>6315</v>
      </c>
      <c r="H162" s="7">
        <v>6</v>
      </c>
      <c r="I162" s="6">
        <v>1894.5</v>
      </c>
      <c r="J162" s="6">
        <v>39784.5</v>
      </c>
      <c r="K162" s="5">
        <v>43467.958333333336</v>
      </c>
      <c r="L162" s="4" t="s">
        <v>358</v>
      </c>
      <c r="M162" t="s">
        <v>34</v>
      </c>
      <c r="N162" s="6">
        <v>37890</v>
      </c>
      <c r="O162">
        <v>4.7619047620000003</v>
      </c>
      <c r="P162" s="6">
        <v>1894.5</v>
      </c>
      <c r="Q162">
        <v>9.8000000000000007</v>
      </c>
      <c r="R162" s="6">
        <f>RawSales[[#This Row],[Unit price]]*RawSales[[#This Row],[Quantity]]</f>
        <v>37890</v>
      </c>
      <c r="S162" s="6">
        <f>RawSales[[#This Row],[Subtotal]]*$B$1</f>
        <v>1894.5</v>
      </c>
      <c r="T162" s="6" t="b">
        <f>ROUND(RawSales[[#This Row],[Subtotal]],2)=ROUND(RawSales[[#This Row],[cogs]],2)</f>
        <v>1</v>
      </c>
      <c r="U162" s="6" t="b">
        <f>ROUND(RawSales[[#This Row],[cogs]]*0.05,2)=ROUND(RawSales[[#This Row],[Tax 5%]],2)</f>
        <v>1</v>
      </c>
      <c r="V162" s="6" t="b">
        <f>ROUND(RawSales[[#This Row],[cogs]]+RawSales[[#This Row],[Tax 5%]],2)=ROUND(RawSales[[#This Row],[Sales]],2)</f>
        <v>1</v>
      </c>
    </row>
    <row r="163" spans="1:22" x14ac:dyDescent="0.35">
      <c r="A163" s="4" t="s">
        <v>359</v>
      </c>
      <c r="B163" t="s">
        <v>28</v>
      </c>
      <c r="C163" t="s">
        <v>29</v>
      </c>
      <c r="D163" t="s">
        <v>30</v>
      </c>
      <c r="E163" t="s">
        <v>23</v>
      </c>
      <c r="F163" t="s">
        <v>49</v>
      </c>
      <c r="G163" s="6">
        <v>7986</v>
      </c>
      <c r="H163" s="7">
        <v>7</v>
      </c>
      <c r="I163" s="6">
        <v>2795.1</v>
      </c>
      <c r="J163" s="6">
        <v>58697.1</v>
      </c>
      <c r="K163" s="5">
        <v>43474.958333333336</v>
      </c>
      <c r="L163" s="4" t="s">
        <v>320</v>
      </c>
      <c r="M163" t="s">
        <v>51</v>
      </c>
      <c r="N163" s="6">
        <v>55902</v>
      </c>
      <c r="O163">
        <v>4.7619047620000003</v>
      </c>
      <c r="P163" s="6">
        <v>2795.1</v>
      </c>
      <c r="Q163">
        <v>5.5</v>
      </c>
      <c r="R163" s="6">
        <f>RawSales[[#This Row],[Unit price]]*RawSales[[#This Row],[Quantity]]</f>
        <v>55902</v>
      </c>
      <c r="S163" s="6">
        <f>RawSales[[#This Row],[Subtotal]]*$B$1</f>
        <v>2795.1000000000004</v>
      </c>
      <c r="T163" s="6" t="b">
        <f>ROUND(RawSales[[#This Row],[Subtotal]],2)=ROUND(RawSales[[#This Row],[cogs]],2)</f>
        <v>1</v>
      </c>
      <c r="U163" s="6" t="b">
        <f>ROUND(RawSales[[#This Row],[cogs]]*0.05,2)=ROUND(RawSales[[#This Row],[Tax 5%]],2)</f>
        <v>1</v>
      </c>
      <c r="V163" s="6" t="b">
        <f>ROUND(RawSales[[#This Row],[cogs]]+RawSales[[#This Row],[Tax 5%]],2)=ROUND(RawSales[[#This Row],[Sales]],2)</f>
        <v>1</v>
      </c>
    </row>
    <row r="164" spans="1:22" x14ac:dyDescent="0.35">
      <c r="A164" s="4" t="s">
        <v>360</v>
      </c>
      <c r="B164" t="s">
        <v>20</v>
      </c>
      <c r="C164" t="s">
        <v>21</v>
      </c>
      <c r="D164" t="s">
        <v>22</v>
      </c>
      <c r="E164" t="s">
        <v>31</v>
      </c>
      <c r="F164" t="s">
        <v>40</v>
      </c>
      <c r="G164" s="6">
        <v>3636</v>
      </c>
      <c r="H164" s="7">
        <v>4</v>
      </c>
      <c r="I164" s="6">
        <v>727.2</v>
      </c>
      <c r="J164" s="6">
        <v>15271.2</v>
      </c>
      <c r="K164" s="5">
        <v>43548.958333333336</v>
      </c>
      <c r="L164" s="4" t="s">
        <v>86</v>
      </c>
      <c r="M164" t="s">
        <v>26</v>
      </c>
      <c r="N164" s="6">
        <v>14544</v>
      </c>
      <c r="O164">
        <v>4.7619047620000003</v>
      </c>
      <c r="P164" s="6">
        <v>727.2</v>
      </c>
      <c r="Q164">
        <v>7.6</v>
      </c>
      <c r="R164" s="6">
        <f>RawSales[[#This Row],[Unit price]]*RawSales[[#This Row],[Quantity]]</f>
        <v>14544</v>
      </c>
      <c r="S164" s="6">
        <f>RawSales[[#This Row],[Subtotal]]*$B$1</f>
        <v>727.2</v>
      </c>
      <c r="T164" s="6" t="b">
        <f>ROUND(RawSales[[#This Row],[Subtotal]],2)=ROUND(RawSales[[#This Row],[cogs]],2)</f>
        <v>1</v>
      </c>
      <c r="U164" s="6" t="b">
        <f>ROUND(RawSales[[#This Row],[cogs]]*0.05,2)=ROUND(RawSales[[#This Row],[Tax 5%]],2)</f>
        <v>1</v>
      </c>
      <c r="V164" s="6" t="b">
        <f>ROUND(RawSales[[#This Row],[cogs]]+RawSales[[#This Row],[Tax 5%]],2)=ROUND(RawSales[[#This Row],[Sales]],2)</f>
        <v>1</v>
      </c>
    </row>
    <row r="165" spans="1:22" x14ac:dyDescent="0.35">
      <c r="A165" s="4" t="s">
        <v>361</v>
      </c>
      <c r="B165" t="s">
        <v>20</v>
      </c>
      <c r="C165" t="s">
        <v>21</v>
      </c>
      <c r="D165" t="s">
        <v>30</v>
      </c>
      <c r="E165" t="s">
        <v>31</v>
      </c>
      <c r="F165" t="s">
        <v>24</v>
      </c>
      <c r="G165" s="6">
        <v>5220</v>
      </c>
      <c r="H165" s="7">
        <v>3</v>
      </c>
      <c r="I165" s="6">
        <v>783</v>
      </c>
      <c r="J165" s="6">
        <v>16443</v>
      </c>
      <c r="K165" s="5">
        <v>43510.958333333336</v>
      </c>
      <c r="L165" s="4" t="s">
        <v>362</v>
      </c>
      <c r="M165" t="s">
        <v>51</v>
      </c>
      <c r="N165" s="6">
        <v>15660</v>
      </c>
      <c r="O165">
        <v>4.7619047620000003</v>
      </c>
      <c r="P165" s="6">
        <v>783</v>
      </c>
      <c r="Q165">
        <v>9.5</v>
      </c>
      <c r="R165" s="6">
        <f>RawSales[[#This Row],[Unit price]]*RawSales[[#This Row],[Quantity]]</f>
        <v>15660</v>
      </c>
      <c r="S165" s="6">
        <f>RawSales[[#This Row],[Subtotal]]*$B$1</f>
        <v>783</v>
      </c>
      <c r="T165" s="6" t="b">
        <f>ROUND(RawSales[[#This Row],[Subtotal]],2)=ROUND(RawSales[[#This Row],[cogs]],2)</f>
        <v>1</v>
      </c>
      <c r="U165" s="6" t="b">
        <f>ROUND(RawSales[[#This Row],[cogs]]*0.05,2)=ROUND(RawSales[[#This Row],[Tax 5%]],2)</f>
        <v>1</v>
      </c>
      <c r="V165" s="6" t="b">
        <f>ROUND(RawSales[[#This Row],[cogs]]+RawSales[[#This Row],[Tax 5%]],2)=ROUND(RawSales[[#This Row],[Sales]],2)</f>
        <v>1</v>
      </c>
    </row>
    <row r="166" spans="1:22" x14ac:dyDescent="0.35">
      <c r="A166" s="4" t="s">
        <v>363</v>
      </c>
      <c r="B166" t="s">
        <v>28</v>
      </c>
      <c r="C166" t="s">
        <v>29</v>
      </c>
      <c r="D166" t="s">
        <v>22</v>
      </c>
      <c r="E166" t="s">
        <v>23</v>
      </c>
      <c r="F166" t="s">
        <v>43</v>
      </c>
      <c r="G166" s="6">
        <v>3035</v>
      </c>
      <c r="H166" s="7">
        <v>7</v>
      </c>
      <c r="I166" s="6">
        <v>1062.25</v>
      </c>
      <c r="J166" s="6">
        <v>22307.25</v>
      </c>
      <c r="K166" s="5">
        <v>43542.958333333336</v>
      </c>
      <c r="L166" s="4" t="s">
        <v>354</v>
      </c>
      <c r="M166" t="s">
        <v>26</v>
      </c>
      <c r="N166" s="6">
        <v>21245</v>
      </c>
      <c r="O166">
        <v>4.7619047620000003</v>
      </c>
      <c r="P166" s="6">
        <v>1062.25</v>
      </c>
      <c r="Q166">
        <v>8</v>
      </c>
      <c r="R166" s="6">
        <f>RawSales[[#This Row],[Unit price]]*RawSales[[#This Row],[Quantity]]</f>
        <v>21245</v>
      </c>
      <c r="S166" s="6">
        <f>RawSales[[#This Row],[Subtotal]]*$B$1</f>
        <v>1062.25</v>
      </c>
      <c r="T166" s="6" t="b">
        <f>ROUND(RawSales[[#This Row],[Subtotal]],2)=ROUND(RawSales[[#This Row],[cogs]],2)</f>
        <v>1</v>
      </c>
      <c r="U166" s="6" t="b">
        <f>ROUND(RawSales[[#This Row],[cogs]]*0.05,2)=ROUND(RawSales[[#This Row],[Tax 5%]],2)</f>
        <v>1</v>
      </c>
      <c r="V166" s="6" t="b">
        <f>ROUND(RawSales[[#This Row],[cogs]]+RawSales[[#This Row],[Tax 5%]],2)=ROUND(RawSales[[#This Row],[Sales]],2)</f>
        <v>1</v>
      </c>
    </row>
    <row r="167" spans="1:22" x14ac:dyDescent="0.35">
      <c r="A167" s="4" t="s">
        <v>364</v>
      </c>
      <c r="B167" t="s">
        <v>28</v>
      </c>
      <c r="C167" t="s">
        <v>29</v>
      </c>
      <c r="D167" t="s">
        <v>30</v>
      </c>
      <c r="E167" t="s">
        <v>23</v>
      </c>
      <c r="F167" t="s">
        <v>49</v>
      </c>
      <c r="G167" s="6">
        <v>8137</v>
      </c>
      <c r="H167" s="7">
        <v>2</v>
      </c>
      <c r="I167" s="6">
        <v>813.7</v>
      </c>
      <c r="J167" s="6">
        <v>17087.7</v>
      </c>
      <c r="K167" s="5">
        <v>43490.958333333336</v>
      </c>
      <c r="L167" s="4" t="s">
        <v>365</v>
      </c>
      <c r="M167" t="s">
        <v>26</v>
      </c>
      <c r="N167" s="6">
        <v>16274</v>
      </c>
      <c r="O167">
        <v>4.7619047620000003</v>
      </c>
      <c r="P167" s="6">
        <v>813.7</v>
      </c>
      <c r="Q167">
        <v>6.5</v>
      </c>
      <c r="R167" s="6">
        <f>RawSales[[#This Row],[Unit price]]*RawSales[[#This Row],[Quantity]]</f>
        <v>16274</v>
      </c>
      <c r="S167" s="6">
        <f>RawSales[[#This Row],[Subtotal]]*$B$1</f>
        <v>813.7</v>
      </c>
      <c r="T167" s="6" t="b">
        <f>ROUND(RawSales[[#This Row],[Subtotal]],2)=ROUND(RawSales[[#This Row],[cogs]],2)</f>
        <v>1</v>
      </c>
      <c r="U167" s="6" t="b">
        <f>ROUND(RawSales[[#This Row],[cogs]]*0.05,2)=ROUND(RawSales[[#This Row],[Tax 5%]],2)</f>
        <v>1</v>
      </c>
      <c r="V167" s="6" t="b">
        <f>ROUND(RawSales[[#This Row],[cogs]]+RawSales[[#This Row],[Tax 5%]],2)=ROUND(RawSales[[#This Row],[Sales]],2)</f>
        <v>1</v>
      </c>
    </row>
    <row r="168" spans="1:22" x14ac:dyDescent="0.35">
      <c r="A168" s="4" t="s">
        <v>366</v>
      </c>
      <c r="B168" t="s">
        <v>28</v>
      </c>
      <c r="C168" t="s">
        <v>29</v>
      </c>
      <c r="D168" t="s">
        <v>30</v>
      </c>
      <c r="E168" t="s">
        <v>31</v>
      </c>
      <c r="F168" t="s">
        <v>40</v>
      </c>
      <c r="G168" s="6">
        <v>4602</v>
      </c>
      <c r="H168" s="7">
        <v>6</v>
      </c>
      <c r="I168" s="6">
        <v>1380.6</v>
      </c>
      <c r="J168" s="6">
        <v>28992.6</v>
      </c>
      <c r="K168" s="5">
        <v>43502.958333333336</v>
      </c>
      <c r="L168" s="4" t="s">
        <v>367</v>
      </c>
      <c r="M168" t="s">
        <v>26</v>
      </c>
      <c r="N168" s="6">
        <v>27612</v>
      </c>
      <c r="O168">
        <v>4.7619047620000003</v>
      </c>
      <c r="P168" s="6">
        <v>1380.6</v>
      </c>
      <c r="Q168">
        <v>7.1</v>
      </c>
      <c r="R168" s="6">
        <f>RawSales[[#This Row],[Unit price]]*RawSales[[#This Row],[Quantity]]</f>
        <v>27612</v>
      </c>
      <c r="S168" s="6">
        <f>RawSales[[#This Row],[Subtotal]]*$B$1</f>
        <v>1380.6000000000001</v>
      </c>
      <c r="T168" s="6" t="b">
        <f>ROUND(RawSales[[#This Row],[Subtotal]],2)=ROUND(RawSales[[#This Row],[cogs]],2)</f>
        <v>1</v>
      </c>
      <c r="U168" s="6" t="b">
        <f>ROUND(RawSales[[#This Row],[cogs]]*0.05,2)=ROUND(RawSales[[#This Row],[Tax 5%]],2)</f>
        <v>1</v>
      </c>
      <c r="V168" s="6" t="b">
        <f>ROUND(RawSales[[#This Row],[cogs]]+RawSales[[#This Row],[Tax 5%]],2)=ROUND(RawSales[[#This Row],[Sales]],2)</f>
        <v>1</v>
      </c>
    </row>
    <row r="169" spans="1:22" x14ac:dyDescent="0.35">
      <c r="A169" s="4" t="s">
        <v>368</v>
      </c>
      <c r="B169" t="s">
        <v>20</v>
      </c>
      <c r="C169" t="s">
        <v>21</v>
      </c>
      <c r="D169" t="s">
        <v>22</v>
      </c>
      <c r="E169" t="s">
        <v>23</v>
      </c>
      <c r="F169" t="s">
        <v>62</v>
      </c>
      <c r="G169" s="6">
        <v>3225</v>
      </c>
      <c r="H169" s="7">
        <v>5</v>
      </c>
      <c r="I169" s="6">
        <v>806.25</v>
      </c>
      <c r="J169" s="6">
        <v>16931.25</v>
      </c>
      <c r="K169" s="5">
        <v>43491.958333333336</v>
      </c>
      <c r="L169" s="4" t="s">
        <v>369</v>
      </c>
      <c r="M169" t="s">
        <v>26</v>
      </c>
      <c r="N169" s="6">
        <v>16125</v>
      </c>
      <c r="O169">
        <v>4.7619047620000003</v>
      </c>
      <c r="P169" s="6">
        <v>806.25</v>
      </c>
      <c r="Q169">
        <v>9</v>
      </c>
      <c r="R169" s="6">
        <f>RawSales[[#This Row],[Unit price]]*RawSales[[#This Row],[Quantity]]</f>
        <v>16125</v>
      </c>
      <c r="S169" s="6">
        <f>RawSales[[#This Row],[Subtotal]]*$B$1</f>
        <v>806.25</v>
      </c>
      <c r="T169" s="6" t="b">
        <f>ROUND(RawSales[[#This Row],[Subtotal]],2)=ROUND(RawSales[[#This Row],[cogs]],2)</f>
        <v>1</v>
      </c>
      <c r="U169" s="6" t="b">
        <f>ROUND(RawSales[[#This Row],[cogs]]*0.05,2)=ROUND(RawSales[[#This Row],[Tax 5%]],2)</f>
        <v>1</v>
      </c>
      <c r="V169" s="6" t="b">
        <f>ROUND(RawSales[[#This Row],[cogs]]+RawSales[[#This Row],[Tax 5%]],2)=ROUND(RawSales[[#This Row],[Sales]],2)</f>
        <v>1</v>
      </c>
    </row>
    <row r="170" spans="1:22" x14ac:dyDescent="0.35">
      <c r="A170" s="4" t="s">
        <v>370</v>
      </c>
      <c r="B170" t="s">
        <v>28</v>
      </c>
      <c r="C170" t="s">
        <v>29</v>
      </c>
      <c r="D170" t="s">
        <v>22</v>
      </c>
      <c r="E170" t="s">
        <v>31</v>
      </c>
      <c r="F170" t="s">
        <v>43</v>
      </c>
      <c r="G170" s="6">
        <v>2590</v>
      </c>
      <c r="H170" s="7">
        <v>10</v>
      </c>
      <c r="I170" s="6">
        <v>1295</v>
      </c>
      <c r="J170" s="6">
        <v>27195</v>
      </c>
      <c r="K170" s="5">
        <v>43501.958333333336</v>
      </c>
      <c r="L170" s="4" t="s">
        <v>371</v>
      </c>
      <c r="M170" t="s">
        <v>34</v>
      </c>
      <c r="N170" s="6">
        <v>25900</v>
      </c>
      <c r="O170">
        <v>4.7619047620000003</v>
      </c>
      <c r="P170" s="6">
        <v>1295</v>
      </c>
      <c r="Q170">
        <v>8.6999999999999993</v>
      </c>
      <c r="R170" s="6">
        <f>RawSales[[#This Row],[Unit price]]*RawSales[[#This Row],[Quantity]]</f>
        <v>25900</v>
      </c>
      <c r="S170" s="6">
        <f>RawSales[[#This Row],[Subtotal]]*$B$1</f>
        <v>1295</v>
      </c>
      <c r="T170" s="6" t="b">
        <f>ROUND(RawSales[[#This Row],[Subtotal]],2)=ROUND(RawSales[[#This Row],[cogs]],2)</f>
        <v>1</v>
      </c>
      <c r="U170" s="6" t="b">
        <f>ROUND(RawSales[[#This Row],[cogs]]*0.05,2)=ROUND(RawSales[[#This Row],[Tax 5%]],2)</f>
        <v>1</v>
      </c>
      <c r="V170" s="6" t="b">
        <f>ROUND(RawSales[[#This Row],[cogs]]+RawSales[[#This Row],[Tax 5%]],2)=ROUND(RawSales[[#This Row],[Sales]],2)</f>
        <v>1</v>
      </c>
    </row>
    <row r="171" spans="1:22" x14ac:dyDescent="0.35">
      <c r="A171" s="4" t="s">
        <v>372</v>
      </c>
      <c r="B171" t="s">
        <v>38</v>
      </c>
      <c r="C171" t="s">
        <v>39</v>
      </c>
      <c r="D171" t="s">
        <v>30</v>
      </c>
      <c r="E171" t="s">
        <v>31</v>
      </c>
      <c r="F171" t="s">
        <v>43</v>
      </c>
      <c r="G171" s="6">
        <v>7021</v>
      </c>
      <c r="H171" s="7">
        <v>6</v>
      </c>
      <c r="I171" s="6">
        <v>2106.3000000000002</v>
      </c>
      <c r="J171" s="6">
        <v>44232.3</v>
      </c>
      <c r="K171" s="5">
        <v>43553.958333333336</v>
      </c>
      <c r="L171" s="4" t="s">
        <v>373</v>
      </c>
      <c r="M171" t="s">
        <v>26</v>
      </c>
      <c r="N171" s="6">
        <v>42126</v>
      </c>
      <c r="O171">
        <v>4.7619047620000003</v>
      </c>
      <c r="P171" s="6">
        <v>2106.3000000000002</v>
      </c>
      <c r="Q171">
        <v>7.4</v>
      </c>
      <c r="R171" s="6">
        <f>RawSales[[#This Row],[Unit price]]*RawSales[[#This Row],[Quantity]]</f>
        <v>42126</v>
      </c>
      <c r="S171" s="6">
        <f>RawSales[[#This Row],[Subtotal]]*$B$1</f>
        <v>2106.3000000000002</v>
      </c>
      <c r="T171" s="6" t="b">
        <f>ROUND(RawSales[[#This Row],[Subtotal]],2)=ROUND(RawSales[[#This Row],[cogs]],2)</f>
        <v>1</v>
      </c>
      <c r="U171" s="6" t="b">
        <f>ROUND(RawSales[[#This Row],[cogs]]*0.05,2)=ROUND(RawSales[[#This Row],[Tax 5%]],2)</f>
        <v>1</v>
      </c>
      <c r="V171" s="6" t="b">
        <f>ROUND(RawSales[[#This Row],[cogs]]+RawSales[[#This Row],[Tax 5%]],2)=ROUND(RawSales[[#This Row],[Sales]],2)</f>
        <v>1</v>
      </c>
    </row>
    <row r="172" spans="1:22" x14ac:dyDescent="0.35">
      <c r="A172" s="4" t="s">
        <v>374</v>
      </c>
      <c r="B172" t="s">
        <v>28</v>
      </c>
      <c r="C172" t="s">
        <v>29</v>
      </c>
      <c r="D172" t="s">
        <v>22</v>
      </c>
      <c r="E172" t="s">
        <v>23</v>
      </c>
      <c r="F172" t="s">
        <v>49</v>
      </c>
      <c r="G172" s="6">
        <v>5473</v>
      </c>
      <c r="H172" s="7">
        <v>7</v>
      </c>
      <c r="I172" s="6">
        <v>1915.55</v>
      </c>
      <c r="J172" s="6">
        <v>40226.550000000003</v>
      </c>
      <c r="K172" s="5">
        <v>43537.958333333336</v>
      </c>
      <c r="L172" s="4" t="s">
        <v>375</v>
      </c>
      <c r="M172" t="s">
        <v>51</v>
      </c>
      <c r="N172" s="6">
        <v>38311</v>
      </c>
      <c r="O172">
        <v>4.7619047620000003</v>
      </c>
      <c r="P172" s="6">
        <v>1915.55</v>
      </c>
      <c r="Q172">
        <v>8.5</v>
      </c>
      <c r="R172" s="6">
        <f>RawSales[[#This Row],[Unit price]]*RawSales[[#This Row],[Quantity]]</f>
        <v>38311</v>
      </c>
      <c r="S172" s="6">
        <f>RawSales[[#This Row],[Subtotal]]*$B$1</f>
        <v>1915.5500000000002</v>
      </c>
      <c r="T172" s="6" t="b">
        <f>ROUND(RawSales[[#This Row],[Subtotal]],2)=ROUND(RawSales[[#This Row],[cogs]],2)</f>
        <v>1</v>
      </c>
      <c r="U172" s="6" t="b">
        <f>ROUND(RawSales[[#This Row],[cogs]]*0.05,2)=ROUND(RawSales[[#This Row],[Tax 5%]],2)</f>
        <v>1</v>
      </c>
      <c r="V172" s="6" t="b">
        <f>ROUND(RawSales[[#This Row],[cogs]]+RawSales[[#This Row],[Tax 5%]],2)=ROUND(RawSales[[#This Row],[Sales]],2)</f>
        <v>1</v>
      </c>
    </row>
    <row r="173" spans="1:22" x14ac:dyDescent="0.35">
      <c r="A173" s="4" t="s">
        <v>376</v>
      </c>
      <c r="B173" t="s">
        <v>20</v>
      </c>
      <c r="C173" t="s">
        <v>21</v>
      </c>
      <c r="D173" t="s">
        <v>22</v>
      </c>
      <c r="E173" t="s">
        <v>23</v>
      </c>
      <c r="F173" t="s">
        <v>43</v>
      </c>
      <c r="G173" s="6">
        <v>8960</v>
      </c>
      <c r="H173" s="7">
        <v>8</v>
      </c>
      <c r="I173" s="6">
        <v>3584</v>
      </c>
      <c r="J173" s="6">
        <v>75264</v>
      </c>
      <c r="K173" s="5">
        <v>43502.958333333336</v>
      </c>
      <c r="L173" s="4" t="s">
        <v>377</v>
      </c>
      <c r="M173" t="s">
        <v>34</v>
      </c>
      <c r="N173" s="6">
        <v>71680</v>
      </c>
      <c r="O173">
        <v>4.7619047620000003</v>
      </c>
      <c r="P173" s="6">
        <v>3584</v>
      </c>
      <c r="Q173">
        <v>6.6</v>
      </c>
      <c r="R173" s="6">
        <f>RawSales[[#This Row],[Unit price]]*RawSales[[#This Row],[Quantity]]</f>
        <v>71680</v>
      </c>
      <c r="S173" s="6">
        <f>RawSales[[#This Row],[Subtotal]]*$B$1</f>
        <v>3584</v>
      </c>
      <c r="T173" s="6" t="b">
        <f>ROUND(RawSales[[#This Row],[Subtotal]],2)=ROUND(RawSales[[#This Row],[cogs]],2)</f>
        <v>1</v>
      </c>
      <c r="U173" s="6" t="b">
        <f>ROUND(RawSales[[#This Row],[cogs]]*0.05,2)=ROUND(RawSales[[#This Row],[Tax 5%]],2)</f>
        <v>1</v>
      </c>
      <c r="V173" s="6" t="b">
        <f>ROUND(RawSales[[#This Row],[cogs]]+RawSales[[#This Row],[Tax 5%]],2)=ROUND(RawSales[[#This Row],[Sales]],2)</f>
        <v>1</v>
      </c>
    </row>
    <row r="174" spans="1:22" x14ac:dyDescent="0.35">
      <c r="A174" s="4" t="s">
        <v>378</v>
      </c>
      <c r="B174" t="s">
        <v>20</v>
      </c>
      <c r="C174" t="s">
        <v>21</v>
      </c>
      <c r="D174" t="s">
        <v>30</v>
      </c>
      <c r="E174" t="s">
        <v>23</v>
      </c>
      <c r="F174" t="s">
        <v>239</v>
      </c>
      <c r="G174" s="6">
        <v>2942</v>
      </c>
      <c r="H174" s="7">
        <v>10</v>
      </c>
      <c r="I174" s="6">
        <v>1471</v>
      </c>
      <c r="J174" s="6">
        <v>30891</v>
      </c>
      <c r="K174" s="5">
        <v>43476.958333333336</v>
      </c>
      <c r="L174" s="4" t="s">
        <v>379</v>
      </c>
      <c r="M174" t="s">
        <v>34</v>
      </c>
      <c r="N174" s="6">
        <v>29420</v>
      </c>
      <c r="O174">
        <v>4.7619047620000003</v>
      </c>
      <c r="P174" s="6">
        <v>1471</v>
      </c>
      <c r="Q174">
        <v>8.9</v>
      </c>
      <c r="R174" s="6">
        <f>RawSales[[#This Row],[Unit price]]*RawSales[[#This Row],[Quantity]]</f>
        <v>29420</v>
      </c>
      <c r="S174" s="6">
        <f>RawSales[[#This Row],[Subtotal]]*$B$1</f>
        <v>1471</v>
      </c>
      <c r="T174" s="6" t="b">
        <f>ROUND(RawSales[[#This Row],[Subtotal]],2)=ROUND(RawSales[[#This Row],[cogs]],2)</f>
        <v>1</v>
      </c>
      <c r="U174" s="6" t="b">
        <f>ROUND(RawSales[[#This Row],[cogs]]*0.05,2)=ROUND(RawSales[[#This Row],[Tax 5%]],2)</f>
        <v>1</v>
      </c>
      <c r="V174" s="6" t="b">
        <f>ROUND(RawSales[[#This Row],[cogs]]+RawSales[[#This Row],[Tax 5%]],2)=ROUND(RawSales[[#This Row],[Sales]],2)</f>
        <v>1</v>
      </c>
    </row>
    <row r="175" spans="1:22" x14ac:dyDescent="0.35">
      <c r="A175" s="4" t="s">
        <v>380</v>
      </c>
      <c r="B175" t="s">
        <v>28</v>
      </c>
      <c r="C175" t="s">
        <v>29</v>
      </c>
      <c r="D175" t="s">
        <v>30</v>
      </c>
      <c r="E175" t="s">
        <v>23</v>
      </c>
      <c r="F175" t="s">
        <v>43</v>
      </c>
      <c r="G175" s="6">
        <v>1476</v>
      </c>
      <c r="H175" s="7">
        <v>2</v>
      </c>
      <c r="I175" s="6">
        <v>147.6</v>
      </c>
      <c r="J175" s="6">
        <v>3099.6</v>
      </c>
      <c r="K175" s="5">
        <v>43513.958333333336</v>
      </c>
      <c r="L175" s="4" t="s">
        <v>381</v>
      </c>
      <c r="M175" t="s">
        <v>34</v>
      </c>
      <c r="N175" s="6">
        <v>2952</v>
      </c>
      <c r="O175">
        <v>4.7619047620000003</v>
      </c>
      <c r="P175" s="6">
        <v>147.6</v>
      </c>
      <c r="Q175">
        <v>4.3</v>
      </c>
      <c r="R175" s="6">
        <f>RawSales[[#This Row],[Unit price]]*RawSales[[#This Row],[Quantity]]</f>
        <v>2952</v>
      </c>
      <c r="S175" s="6">
        <f>RawSales[[#This Row],[Subtotal]]*$B$1</f>
        <v>147.6</v>
      </c>
      <c r="T175" s="6" t="b">
        <f>ROUND(RawSales[[#This Row],[Subtotal]],2)=ROUND(RawSales[[#This Row],[cogs]],2)</f>
        <v>1</v>
      </c>
      <c r="U175" s="6" t="b">
        <f>ROUND(RawSales[[#This Row],[cogs]]*0.05,2)=ROUND(RawSales[[#This Row],[Tax 5%]],2)</f>
        <v>1</v>
      </c>
      <c r="V175" s="6" t="b">
        <f>ROUND(RawSales[[#This Row],[cogs]]+RawSales[[#This Row],[Tax 5%]],2)=ROUND(RawSales[[#This Row],[Sales]],2)</f>
        <v>1</v>
      </c>
    </row>
    <row r="176" spans="1:22" x14ac:dyDescent="0.35">
      <c r="A176" s="4" t="s">
        <v>382</v>
      </c>
      <c r="B176" t="s">
        <v>20</v>
      </c>
      <c r="C176" t="s">
        <v>21</v>
      </c>
      <c r="D176" t="s">
        <v>22</v>
      </c>
      <c r="E176" t="s">
        <v>31</v>
      </c>
      <c r="F176" t="s">
        <v>43</v>
      </c>
      <c r="G176" s="6">
        <v>5194</v>
      </c>
      <c r="H176" s="7">
        <v>10</v>
      </c>
      <c r="I176" s="6">
        <v>2597</v>
      </c>
      <c r="J176" s="6">
        <v>54537</v>
      </c>
      <c r="K176" s="5">
        <v>43532.958333333336</v>
      </c>
      <c r="L176" s="4" t="s">
        <v>383</v>
      </c>
      <c r="M176" t="s">
        <v>34</v>
      </c>
      <c r="N176" s="6">
        <v>51940</v>
      </c>
      <c r="O176">
        <v>4.7619047620000003</v>
      </c>
      <c r="P176" s="6">
        <v>2597</v>
      </c>
      <c r="Q176">
        <v>6.5</v>
      </c>
      <c r="R176" s="6">
        <f>RawSales[[#This Row],[Unit price]]*RawSales[[#This Row],[Quantity]]</f>
        <v>51940</v>
      </c>
      <c r="S176" s="6">
        <f>RawSales[[#This Row],[Subtotal]]*$B$1</f>
        <v>2597</v>
      </c>
      <c r="T176" s="6" t="b">
        <f>ROUND(RawSales[[#This Row],[Subtotal]],2)=ROUND(RawSales[[#This Row],[cogs]],2)</f>
        <v>1</v>
      </c>
      <c r="U176" s="6" t="b">
        <f>ROUND(RawSales[[#This Row],[cogs]]*0.05,2)=ROUND(RawSales[[#This Row],[Tax 5%]],2)</f>
        <v>1</v>
      </c>
      <c r="V176" s="6" t="b">
        <f>ROUND(RawSales[[#This Row],[cogs]]+RawSales[[#This Row],[Tax 5%]],2)=ROUND(RawSales[[#This Row],[Sales]],2)</f>
        <v>1</v>
      </c>
    </row>
    <row r="177" spans="1:22" x14ac:dyDescent="0.35">
      <c r="A177" s="4" t="s">
        <v>384</v>
      </c>
      <c r="B177" t="s">
        <v>38</v>
      </c>
      <c r="C177" t="s">
        <v>39</v>
      </c>
      <c r="D177" t="s">
        <v>30</v>
      </c>
      <c r="E177" t="s">
        <v>23</v>
      </c>
      <c r="F177" t="s">
        <v>40</v>
      </c>
      <c r="G177" s="6">
        <v>3024</v>
      </c>
      <c r="H177" s="7">
        <v>1</v>
      </c>
      <c r="I177" s="6">
        <v>151.19999999999999</v>
      </c>
      <c r="J177" s="6">
        <v>3175.2</v>
      </c>
      <c r="K177" s="4" t="s">
        <v>385</v>
      </c>
      <c r="L177" s="4" t="s">
        <v>386</v>
      </c>
      <c r="M177" t="s">
        <v>26</v>
      </c>
      <c r="N177" s="6">
        <v>3024</v>
      </c>
      <c r="O177">
        <v>4.7619047620000003</v>
      </c>
      <c r="P177" s="6">
        <v>151.19999999999999</v>
      </c>
      <c r="Q177">
        <v>8.4</v>
      </c>
      <c r="R177" s="6">
        <f>RawSales[[#This Row],[Unit price]]*RawSales[[#This Row],[Quantity]]</f>
        <v>3024</v>
      </c>
      <c r="S177" s="6">
        <f>RawSales[[#This Row],[Subtotal]]*$B$1</f>
        <v>151.20000000000002</v>
      </c>
      <c r="T177" s="6" t="b">
        <f>ROUND(RawSales[[#This Row],[Subtotal]],2)=ROUND(RawSales[[#This Row],[cogs]],2)</f>
        <v>1</v>
      </c>
      <c r="U177" s="6" t="b">
        <f>ROUND(RawSales[[#This Row],[cogs]]*0.05,2)=ROUND(RawSales[[#This Row],[Tax 5%]],2)</f>
        <v>1</v>
      </c>
      <c r="V177" s="6" t="b">
        <f>ROUND(RawSales[[#This Row],[cogs]]+RawSales[[#This Row],[Tax 5%]],2)=ROUND(RawSales[[#This Row],[Sales]],2)</f>
        <v>1</v>
      </c>
    </row>
    <row r="178" spans="1:22" x14ac:dyDescent="0.35">
      <c r="A178" s="4" t="s">
        <v>387</v>
      </c>
      <c r="B178" t="s">
        <v>20</v>
      </c>
      <c r="C178" t="s">
        <v>21</v>
      </c>
      <c r="D178" t="s">
        <v>30</v>
      </c>
      <c r="E178" t="s">
        <v>23</v>
      </c>
      <c r="F178" t="s">
        <v>62</v>
      </c>
      <c r="G178" s="6">
        <v>9476</v>
      </c>
      <c r="H178" s="7">
        <v>4</v>
      </c>
      <c r="I178" s="6">
        <v>1895.2</v>
      </c>
      <c r="J178" s="6">
        <v>39799.199999999997</v>
      </c>
      <c r="K178" s="5">
        <v>43506.958333333336</v>
      </c>
      <c r="L178" s="4" t="s">
        <v>388</v>
      </c>
      <c r="M178" t="s">
        <v>34</v>
      </c>
      <c r="N178" s="6">
        <v>37904</v>
      </c>
      <c r="O178">
        <v>4.7619047620000003</v>
      </c>
      <c r="P178" s="6">
        <v>1895.2</v>
      </c>
      <c r="Q178">
        <v>7.8</v>
      </c>
      <c r="R178" s="6">
        <f>RawSales[[#This Row],[Unit price]]*RawSales[[#This Row],[Quantity]]</f>
        <v>37904</v>
      </c>
      <c r="S178" s="6">
        <f>RawSales[[#This Row],[Subtotal]]*$B$1</f>
        <v>1895.2</v>
      </c>
      <c r="T178" s="6" t="b">
        <f>ROUND(RawSales[[#This Row],[Subtotal]],2)=ROUND(RawSales[[#This Row],[cogs]],2)</f>
        <v>1</v>
      </c>
      <c r="U178" s="6" t="b">
        <f>ROUND(RawSales[[#This Row],[cogs]]*0.05,2)=ROUND(RawSales[[#This Row],[Tax 5%]],2)</f>
        <v>1</v>
      </c>
      <c r="V178" s="6" t="b">
        <f>ROUND(RawSales[[#This Row],[cogs]]+RawSales[[#This Row],[Tax 5%]],2)=ROUND(RawSales[[#This Row],[Sales]],2)</f>
        <v>1</v>
      </c>
    </row>
    <row r="179" spans="1:22" x14ac:dyDescent="0.35">
      <c r="A179" s="4" t="s">
        <v>389</v>
      </c>
      <c r="B179" t="s">
        <v>38</v>
      </c>
      <c r="C179" t="s">
        <v>39</v>
      </c>
      <c r="D179" t="s">
        <v>22</v>
      </c>
      <c r="E179" t="s">
        <v>31</v>
      </c>
      <c r="F179" t="s">
        <v>49</v>
      </c>
      <c r="G179" s="6">
        <v>9982</v>
      </c>
      <c r="H179" s="7">
        <v>9</v>
      </c>
      <c r="I179" s="6">
        <v>4491.8999999999996</v>
      </c>
      <c r="J179" s="6">
        <v>94329.9</v>
      </c>
      <c r="K179" s="4" t="s">
        <v>390</v>
      </c>
      <c r="L179" s="4" t="s">
        <v>75</v>
      </c>
      <c r="M179" t="s">
        <v>26</v>
      </c>
      <c r="N179" s="6">
        <v>89838</v>
      </c>
      <c r="O179">
        <v>4.7619047620000003</v>
      </c>
      <c r="P179" s="6">
        <v>4491.8999999999996</v>
      </c>
      <c r="Q179">
        <v>6.6</v>
      </c>
      <c r="R179" s="6">
        <f>RawSales[[#This Row],[Unit price]]*RawSales[[#This Row],[Quantity]]</f>
        <v>89838</v>
      </c>
      <c r="S179" s="6">
        <f>RawSales[[#This Row],[Subtotal]]*$B$1</f>
        <v>4491.9000000000005</v>
      </c>
      <c r="T179" s="6" t="b">
        <f>ROUND(RawSales[[#This Row],[Subtotal]],2)=ROUND(RawSales[[#This Row],[cogs]],2)</f>
        <v>1</v>
      </c>
      <c r="U179" s="6" t="b">
        <f>ROUND(RawSales[[#This Row],[cogs]]*0.05,2)=ROUND(RawSales[[#This Row],[Tax 5%]],2)</f>
        <v>1</v>
      </c>
      <c r="V179" s="6" t="b">
        <f>ROUND(RawSales[[#This Row],[cogs]]+RawSales[[#This Row],[Tax 5%]],2)=ROUND(RawSales[[#This Row],[Sales]],2)</f>
        <v>1</v>
      </c>
    </row>
    <row r="180" spans="1:22" x14ac:dyDescent="0.35">
      <c r="A180" s="4" t="s">
        <v>391</v>
      </c>
      <c r="B180" t="s">
        <v>38</v>
      </c>
      <c r="C180" t="s">
        <v>39</v>
      </c>
      <c r="D180" t="s">
        <v>30</v>
      </c>
      <c r="E180" t="s">
        <v>31</v>
      </c>
      <c r="F180" t="s">
        <v>49</v>
      </c>
      <c r="G180" s="6">
        <v>9982</v>
      </c>
      <c r="H180" s="7">
        <v>2</v>
      </c>
      <c r="I180" s="6">
        <v>998.2</v>
      </c>
      <c r="J180" s="6">
        <v>20962.2</v>
      </c>
      <c r="K180" s="5">
        <v>43466.958333333336</v>
      </c>
      <c r="L180" s="4" t="s">
        <v>392</v>
      </c>
      <c r="M180" t="s">
        <v>51</v>
      </c>
      <c r="N180" s="6">
        <v>19964</v>
      </c>
      <c r="O180">
        <v>4.7619047620000003</v>
      </c>
      <c r="P180" s="6">
        <v>998.2</v>
      </c>
      <c r="Q180">
        <v>6.7</v>
      </c>
      <c r="R180" s="6">
        <f>RawSales[[#This Row],[Unit price]]*RawSales[[#This Row],[Quantity]]</f>
        <v>19964</v>
      </c>
      <c r="S180" s="6">
        <f>RawSales[[#This Row],[Subtotal]]*$B$1</f>
        <v>998.2</v>
      </c>
      <c r="T180" s="6" t="b">
        <f>ROUND(RawSales[[#This Row],[Subtotal]],2)=ROUND(RawSales[[#This Row],[cogs]],2)</f>
        <v>1</v>
      </c>
      <c r="U180" s="6" t="b">
        <f>ROUND(RawSales[[#This Row],[cogs]]*0.05,2)=ROUND(RawSales[[#This Row],[Tax 5%]],2)</f>
        <v>1</v>
      </c>
      <c r="V180" s="6" t="b">
        <f>ROUND(RawSales[[#This Row],[cogs]]+RawSales[[#This Row],[Tax 5%]],2)=ROUND(RawSales[[#This Row],[Sales]],2)</f>
        <v>1</v>
      </c>
    </row>
    <row r="181" spans="1:22" x14ac:dyDescent="0.35">
      <c r="A181" s="4" t="s">
        <v>393</v>
      </c>
      <c r="B181" t="s">
        <v>20</v>
      </c>
      <c r="C181" t="s">
        <v>21</v>
      </c>
      <c r="D181" t="s">
        <v>30</v>
      </c>
      <c r="E181" t="s">
        <v>23</v>
      </c>
      <c r="F181" t="s">
        <v>24</v>
      </c>
      <c r="G181" s="6">
        <v>5234</v>
      </c>
      <c r="H181" s="7">
        <v>3</v>
      </c>
      <c r="I181" s="6">
        <v>785.1</v>
      </c>
      <c r="J181" s="6">
        <v>16487.099999999999</v>
      </c>
      <c r="K181" s="5">
        <v>43550.958333333336</v>
      </c>
      <c r="L181" s="4" t="s">
        <v>394</v>
      </c>
      <c r="M181" t="s">
        <v>26</v>
      </c>
      <c r="N181" s="6">
        <v>15702</v>
      </c>
      <c r="O181">
        <v>4.7619047620000003</v>
      </c>
      <c r="P181" s="6">
        <v>785.1</v>
      </c>
      <c r="Q181">
        <v>9.1999999999999993</v>
      </c>
      <c r="R181" s="6">
        <f>RawSales[[#This Row],[Unit price]]*RawSales[[#This Row],[Quantity]]</f>
        <v>15702</v>
      </c>
      <c r="S181" s="6">
        <f>RawSales[[#This Row],[Subtotal]]*$B$1</f>
        <v>785.1</v>
      </c>
      <c r="T181" s="6" t="b">
        <f>ROUND(RawSales[[#This Row],[Subtotal]],2)=ROUND(RawSales[[#This Row],[cogs]],2)</f>
        <v>1</v>
      </c>
      <c r="U181" s="6" t="b">
        <f>ROUND(RawSales[[#This Row],[cogs]]*0.05,2)=ROUND(RawSales[[#This Row],[Tax 5%]],2)</f>
        <v>1</v>
      </c>
      <c r="V181" s="6" t="b">
        <f>ROUND(RawSales[[#This Row],[cogs]]+RawSales[[#This Row],[Tax 5%]],2)=ROUND(RawSales[[#This Row],[Sales]],2)</f>
        <v>1</v>
      </c>
    </row>
    <row r="182" spans="1:22" x14ac:dyDescent="0.35">
      <c r="A182" s="4" t="s">
        <v>395</v>
      </c>
      <c r="B182" t="s">
        <v>38</v>
      </c>
      <c r="C182" t="s">
        <v>39</v>
      </c>
      <c r="D182" t="s">
        <v>22</v>
      </c>
      <c r="E182" t="s">
        <v>23</v>
      </c>
      <c r="F182" t="s">
        <v>62</v>
      </c>
      <c r="G182" s="6">
        <v>3522</v>
      </c>
      <c r="H182" s="7">
        <v>6</v>
      </c>
      <c r="I182" s="6">
        <v>1056.5999999999999</v>
      </c>
      <c r="J182" s="6">
        <v>22188.6</v>
      </c>
      <c r="K182" s="5">
        <v>43537.958333333336</v>
      </c>
      <c r="L182" s="4" t="s">
        <v>396</v>
      </c>
      <c r="M182" t="s">
        <v>34</v>
      </c>
      <c r="N182" s="6">
        <v>21132</v>
      </c>
      <c r="O182">
        <v>4.7619047620000003</v>
      </c>
      <c r="P182" s="6">
        <v>1056.5999999999999</v>
      </c>
      <c r="Q182">
        <v>6.5</v>
      </c>
      <c r="R182" s="6">
        <f>RawSales[[#This Row],[Unit price]]*RawSales[[#This Row],[Quantity]]</f>
        <v>21132</v>
      </c>
      <c r="S182" s="6">
        <f>RawSales[[#This Row],[Subtotal]]*$B$1</f>
        <v>1056.6000000000001</v>
      </c>
      <c r="T182" s="6" t="b">
        <f>ROUND(RawSales[[#This Row],[Subtotal]],2)=ROUND(RawSales[[#This Row],[cogs]],2)</f>
        <v>1</v>
      </c>
      <c r="U182" s="6" t="b">
        <f>ROUND(RawSales[[#This Row],[cogs]]*0.05,2)=ROUND(RawSales[[#This Row],[Tax 5%]],2)</f>
        <v>1</v>
      </c>
      <c r="V182" s="6" t="b">
        <f>ROUND(RawSales[[#This Row],[cogs]]+RawSales[[#This Row],[Tax 5%]],2)=ROUND(RawSales[[#This Row],[Sales]],2)</f>
        <v>1</v>
      </c>
    </row>
    <row r="183" spans="1:22" x14ac:dyDescent="0.35">
      <c r="A183" s="4" t="s">
        <v>397</v>
      </c>
      <c r="B183" t="s">
        <v>38</v>
      </c>
      <c r="C183" t="s">
        <v>39</v>
      </c>
      <c r="D183" t="s">
        <v>22</v>
      </c>
      <c r="E183" t="s">
        <v>23</v>
      </c>
      <c r="F183" t="s">
        <v>32</v>
      </c>
      <c r="G183" s="6">
        <v>8861</v>
      </c>
      <c r="H183" s="7">
        <v>1</v>
      </c>
      <c r="I183" s="6">
        <v>443.05</v>
      </c>
      <c r="J183" s="6">
        <v>9304.0499999999993</v>
      </c>
      <c r="K183" s="5">
        <v>43483.958333333336</v>
      </c>
      <c r="L183" s="4" t="s">
        <v>398</v>
      </c>
      <c r="M183" t="s">
        <v>26</v>
      </c>
      <c r="N183" s="6">
        <v>8861</v>
      </c>
      <c r="O183">
        <v>4.7619047620000003</v>
      </c>
      <c r="P183" s="6">
        <v>443.05</v>
      </c>
      <c r="Q183">
        <v>7.7</v>
      </c>
      <c r="R183" s="6">
        <f>RawSales[[#This Row],[Unit price]]*RawSales[[#This Row],[Quantity]]</f>
        <v>8861</v>
      </c>
      <c r="S183" s="6">
        <f>RawSales[[#This Row],[Subtotal]]*$B$1</f>
        <v>443.05</v>
      </c>
      <c r="T183" s="6" t="b">
        <f>ROUND(RawSales[[#This Row],[Subtotal]],2)=ROUND(RawSales[[#This Row],[cogs]],2)</f>
        <v>1</v>
      </c>
      <c r="U183" s="6" t="b">
        <f>ROUND(RawSales[[#This Row],[cogs]]*0.05,2)=ROUND(RawSales[[#This Row],[Tax 5%]],2)</f>
        <v>1</v>
      </c>
      <c r="V183" s="6" t="b">
        <f>ROUND(RawSales[[#This Row],[cogs]]+RawSales[[#This Row],[Tax 5%]],2)=ROUND(RawSales[[#This Row],[Sales]],2)</f>
        <v>1</v>
      </c>
    </row>
    <row r="184" spans="1:22" x14ac:dyDescent="0.35">
      <c r="A184" s="4" t="s">
        <v>399</v>
      </c>
      <c r="B184" t="s">
        <v>20</v>
      </c>
      <c r="C184" t="s">
        <v>21</v>
      </c>
      <c r="D184" t="s">
        <v>30</v>
      </c>
      <c r="E184" t="s">
        <v>23</v>
      </c>
      <c r="F184" t="s">
        <v>49</v>
      </c>
      <c r="G184" s="6">
        <v>9467</v>
      </c>
      <c r="H184" s="7">
        <v>4</v>
      </c>
      <c r="I184" s="6">
        <v>1893.4</v>
      </c>
      <c r="J184" s="6">
        <v>39761.4</v>
      </c>
      <c r="K184" s="5">
        <v>43534.958333333336</v>
      </c>
      <c r="L184" s="4" t="s">
        <v>400</v>
      </c>
      <c r="M184" t="s">
        <v>26</v>
      </c>
      <c r="N184" s="6">
        <v>37868</v>
      </c>
      <c r="O184">
        <v>4.7619047620000003</v>
      </c>
      <c r="P184" s="6">
        <v>1893.4</v>
      </c>
      <c r="Q184">
        <v>6.8</v>
      </c>
      <c r="R184" s="6">
        <f>RawSales[[#This Row],[Unit price]]*RawSales[[#This Row],[Quantity]]</f>
        <v>37868</v>
      </c>
      <c r="S184" s="6">
        <f>RawSales[[#This Row],[Subtotal]]*$B$1</f>
        <v>1893.4</v>
      </c>
      <c r="T184" s="6" t="b">
        <f>ROUND(RawSales[[#This Row],[Subtotal]],2)=ROUND(RawSales[[#This Row],[cogs]],2)</f>
        <v>1</v>
      </c>
      <c r="U184" s="6" t="b">
        <f>ROUND(RawSales[[#This Row],[cogs]]*0.05,2)=ROUND(RawSales[[#This Row],[Tax 5%]],2)</f>
        <v>1</v>
      </c>
      <c r="V184" s="6" t="b">
        <f>ROUND(RawSales[[#This Row],[cogs]]+RawSales[[#This Row],[Tax 5%]],2)=ROUND(RawSales[[#This Row],[Sales]],2)</f>
        <v>1</v>
      </c>
    </row>
    <row r="185" spans="1:22" x14ac:dyDescent="0.35">
      <c r="A185" s="4" t="s">
        <v>401</v>
      </c>
      <c r="B185" t="s">
        <v>28</v>
      </c>
      <c r="C185" t="s">
        <v>29</v>
      </c>
      <c r="D185" t="s">
        <v>22</v>
      </c>
      <c r="E185" t="s">
        <v>23</v>
      </c>
      <c r="F185" t="s">
        <v>32</v>
      </c>
      <c r="G185" s="6">
        <v>9459</v>
      </c>
      <c r="H185" s="7">
        <v>7</v>
      </c>
      <c r="I185" s="6">
        <v>3310.65</v>
      </c>
      <c r="J185" s="6">
        <v>69523.649999999994</v>
      </c>
      <c r="K185" s="5">
        <v>43481.958333333336</v>
      </c>
      <c r="L185" s="4" t="s">
        <v>402</v>
      </c>
      <c r="M185" t="s">
        <v>51</v>
      </c>
      <c r="N185" s="6">
        <v>66213</v>
      </c>
      <c r="O185">
        <v>4.7619047620000003</v>
      </c>
      <c r="P185" s="6">
        <v>3310.65</v>
      </c>
      <c r="Q185">
        <v>4.9000000000000004</v>
      </c>
      <c r="R185" s="6">
        <f>RawSales[[#This Row],[Unit price]]*RawSales[[#This Row],[Quantity]]</f>
        <v>66213</v>
      </c>
      <c r="S185" s="6">
        <f>RawSales[[#This Row],[Subtotal]]*$B$1</f>
        <v>3310.65</v>
      </c>
      <c r="T185" s="6" t="b">
        <f>ROUND(RawSales[[#This Row],[Subtotal]],2)=ROUND(RawSales[[#This Row],[cogs]],2)</f>
        <v>1</v>
      </c>
      <c r="U185" s="6" t="b">
        <f>ROUND(RawSales[[#This Row],[cogs]]*0.05,2)=ROUND(RawSales[[#This Row],[Tax 5%]],2)</f>
        <v>1</v>
      </c>
      <c r="V185" s="6" t="b">
        <f>ROUND(RawSales[[#This Row],[cogs]]+RawSales[[#This Row],[Tax 5%]],2)=ROUND(RawSales[[#This Row],[Sales]],2)</f>
        <v>1</v>
      </c>
    </row>
    <row r="186" spans="1:22" x14ac:dyDescent="0.35">
      <c r="A186" s="4" t="s">
        <v>403</v>
      </c>
      <c r="B186" t="s">
        <v>38</v>
      </c>
      <c r="C186" t="s">
        <v>39</v>
      </c>
      <c r="D186" t="s">
        <v>30</v>
      </c>
      <c r="E186" t="s">
        <v>31</v>
      </c>
      <c r="F186" t="s">
        <v>43</v>
      </c>
      <c r="G186" s="6">
        <v>5319</v>
      </c>
      <c r="H186" s="7">
        <v>7</v>
      </c>
      <c r="I186" s="6">
        <v>1861.65</v>
      </c>
      <c r="J186" s="6">
        <v>39094.65</v>
      </c>
      <c r="K186" s="5">
        <v>43478.958333333336</v>
      </c>
      <c r="L186" s="4" t="s">
        <v>404</v>
      </c>
      <c r="M186" t="s">
        <v>34</v>
      </c>
      <c r="N186" s="6">
        <v>37233</v>
      </c>
      <c r="O186">
        <v>4.7619047620000003</v>
      </c>
      <c r="P186" s="6">
        <v>1861.65</v>
      </c>
      <c r="Q186">
        <v>5</v>
      </c>
      <c r="R186" s="6">
        <f>RawSales[[#This Row],[Unit price]]*RawSales[[#This Row],[Quantity]]</f>
        <v>37233</v>
      </c>
      <c r="S186" s="6">
        <f>RawSales[[#This Row],[Subtotal]]*$B$1</f>
        <v>1861.65</v>
      </c>
      <c r="T186" s="6" t="b">
        <f>ROUND(RawSales[[#This Row],[Subtotal]],2)=ROUND(RawSales[[#This Row],[cogs]],2)</f>
        <v>1</v>
      </c>
      <c r="U186" s="6" t="b">
        <f>ROUND(RawSales[[#This Row],[cogs]]*0.05,2)=ROUND(RawSales[[#This Row],[Tax 5%]],2)</f>
        <v>1</v>
      </c>
      <c r="V186" s="6" t="b">
        <f>ROUND(RawSales[[#This Row],[cogs]]+RawSales[[#This Row],[Tax 5%]],2)=ROUND(RawSales[[#This Row],[Sales]],2)</f>
        <v>1</v>
      </c>
    </row>
    <row r="187" spans="1:22" x14ac:dyDescent="0.35">
      <c r="A187" s="4" t="s">
        <v>405</v>
      </c>
      <c r="B187" t="s">
        <v>20</v>
      </c>
      <c r="C187" t="s">
        <v>21</v>
      </c>
      <c r="D187" t="s">
        <v>22</v>
      </c>
      <c r="E187" t="s">
        <v>31</v>
      </c>
      <c r="F187" t="s">
        <v>24</v>
      </c>
      <c r="G187" s="6">
        <v>5134</v>
      </c>
      <c r="H187" s="7">
        <v>5</v>
      </c>
      <c r="I187" s="6">
        <v>1283.5</v>
      </c>
      <c r="J187" s="6">
        <v>26953.5</v>
      </c>
      <c r="K187" s="5">
        <v>43551.958333333336</v>
      </c>
      <c r="L187" s="4" t="s">
        <v>406</v>
      </c>
      <c r="M187" t="s">
        <v>51</v>
      </c>
      <c r="N187" s="6">
        <v>25670</v>
      </c>
      <c r="O187">
        <v>4.7619047620000003</v>
      </c>
      <c r="P187" s="6">
        <v>1283.5</v>
      </c>
      <c r="Q187">
        <v>9.1</v>
      </c>
      <c r="R187" s="6">
        <f>RawSales[[#This Row],[Unit price]]*RawSales[[#This Row],[Quantity]]</f>
        <v>25670</v>
      </c>
      <c r="S187" s="6">
        <f>RawSales[[#This Row],[Subtotal]]*$B$1</f>
        <v>1283.5</v>
      </c>
      <c r="T187" s="6" t="b">
        <f>ROUND(RawSales[[#This Row],[Subtotal]],2)=ROUND(RawSales[[#This Row],[cogs]],2)</f>
        <v>1</v>
      </c>
      <c r="U187" s="6" t="b">
        <f>ROUND(RawSales[[#This Row],[cogs]]*0.05,2)=ROUND(RawSales[[#This Row],[Tax 5%]],2)</f>
        <v>1</v>
      </c>
      <c r="V187" s="6" t="b">
        <f>ROUND(RawSales[[#This Row],[cogs]]+RawSales[[#This Row],[Tax 5%]],2)=ROUND(RawSales[[#This Row],[Sales]],2)</f>
        <v>1</v>
      </c>
    </row>
    <row r="188" spans="1:22" x14ac:dyDescent="0.35">
      <c r="A188" s="4" t="s">
        <v>407</v>
      </c>
      <c r="B188" t="s">
        <v>20</v>
      </c>
      <c r="C188" t="s">
        <v>21</v>
      </c>
      <c r="D188" t="s">
        <v>22</v>
      </c>
      <c r="E188" t="s">
        <v>31</v>
      </c>
      <c r="F188" t="s">
        <v>43</v>
      </c>
      <c r="G188" s="6">
        <v>5317</v>
      </c>
      <c r="H188" s="7">
        <v>7</v>
      </c>
      <c r="I188" s="6">
        <v>1860.95</v>
      </c>
      <c r="J188" s="6">
        <v>39079.949999999997</v>
      </c>
      <c r="K188" s="5">
        <v>43485.958333333336</v>
      </c>
      <c r="L188" s="4" t="s">
        <v>408</v>
      </c>
      <c r="M188" t="s">
        <v>26</v>
      </c>
      <c r="N188" s="6">
        <v>37219</v>
      </c>
      <c r="O188">
        <v>4.7619047620000003</v>
      </c>
      <c r="P188" s="6">
        <v>1860.95</v>
      </c>
      <c r="Q188">
        <v>8.9</v>
      </c>
      <c r="R188" s="6">
        <f>RawSales[[#This Row],[Unit price]]*RawSales[[#This Row],[Quantity]]</f>
        <v>37219</v>
      </c>
      <c r="S188" s="6">
        <f>RawSales[[#This Row],[Subtotal]]*$B$1</f>
        <v>1860.95</v>
      </c>
      <c r="T188" s="6" t="b">
        <f>ROUND(RawSales[[#This Row],[Subtotal]],2)=ROUND(RawSales[[#This Row],[cogs]],2)</f>
        <v>1</v>
      </c>
      <c r="U188" s="6" t="b">
        <f>ROUND(RawSales[[#This Row],[cogs]]*0.05,2)=ROUND(RawSales[[#This Row],[Tax 5%]],2)</f>
        <v>1</v>
      </c>
      <c r="V188" s="6" t="b">
        <f>ROUND(RawSales[[#This Row],[cogs]]+RawSales[[#This Row],[Tax 5%]],2)=ROUND(RawSales[[#This Row],[Sales]],2)</f>
        <v>1</v>
      </c>
    </row>
    <row r="189" spans="1:22" x14ac:dyDescent="0.35">
      <c r="A189" s="4" t="s">
        <v>409</v>
      </c>
      <c r="B189" t="s">
        <v>28</v>
      </c>
      <c r="C189" t="s">
        <v>29</v>
      </c>
      <c r="D189" t="s">
        <v>30</v>
      </c>
      <c r="E189" t="s">
        <v>23</v>
      </c>
      <c r="F189" t="s">
        <v>62</v>
      </c>
      <c r="G189" s="6">
        <v>5191</v>
      </c>
      <c r="H189" s="7">
        <v>10</v>
      </c>
      <c r="I189" s="6">
        <v>2595.5</v>
      </c>
      <c r="J189" s="6">
        <v>54505.5</v>
      </c>
      <c r="K189" s="5">
        <v>43511.958333333336</v>
      </c>
      <c r="L189" s="4" t="s">
        <v>410</v>
      </c>
      <c r="M189" t="s">
        <v>26</v>
      </c>
      <c r="N189" s="6">
        <v>51910</v>
      </c>
      <c r="O189">
        <v>4.7619047620000003</v>
      </c>
      <c r="P189" s="6">
        <v>2595.5</v>
      </c>
      <c r="Q189">
        <v>8.1999999999999993</v>
      </c>
      <c r="R189" s="6">
        <f>RawSales[[#This Row],[Unit price]]*RawSales[[#This Row],[Quantity]]</f>
        <v>51910</v>
      </c>
      <c r="S189" s="6">
        <f>RawSales[[#This Row],[Subtotal]]*$B$1</f>
        <v>2595.5</v>
      </c>
      <c r="T189" s="6" t="b">
        <f>ROUND(RawSales[[#This Row],[Subtotal]],2)=ROUND(RawSales[[#This Row],[cogs]],2)</f>
        <v>1</v>
      </c>
      <c r="U189" s="6" t="b">
        <f>ROUND(RawSales[[#This Row],[cogs]]*0.05,2)=ROUND(RawSales[[#This Row],[Tax 5%]],2)</f>
        <v>1</v>
      </c>
      <c r="V189" s="6" t="b">
        <f>ROUND(RawSales[[#This Row],[cogs]]+RawSales[[#This Row],[Tax 5%]],2)=ROUND(RawSales[[#This Row],[Sales]],2)</f>
        <v>1</v>
      </c>
    </row>
    <row r="190" spans="1:22" x14ac:dyDescent="0.35">
      <c r="A190" s="4" t="s">
        <v>411</v>
      </c>
      <c r="B190" t="s">
        <v>20</v>
      </c>
      <c r="C190" t="s">
        <v>21</v>
      </c>
      <c r="D190" t="s">
        <v>22</v>
      </c>
      <c r="E190" t="s">
        <v>31</v>
      </c>
      <c r="F190" t="s">
        <v>40</v>
      </c>
      <c r="G190" s="6">
        <v>3225</v>
      </c>
      <c r="H190" s="7">
        <v>4</v>
      </c>
      <c r="I190" s="6">
        <v>645</v>
      </c>
      <c r="J190" s="6">
        <v>13545</v>
      </c>
      <c r="K190" s="5">
        <v>43508.958333333336</v>
      </c>
      <c r="L190" s="4" t="s">
        <v>412</v>
      </c>
      <c r="M190" t="s">
        <v>34</v>
      </c>
      <c r="N190" s="6">
        <v>12900</v>
      </c>
      <c r="O190">
        <v>4.7619047620000003</v>
      </c>
      <c r="P190" s="6">
        <v>645</v>
      </c>
      <c r="Q190">
        <v>6.5</v>
      </c>
      <c r="R190" s="6">
        <f>RawSales[[#This Row],[Unit price]]*RawSales[[#This Row],[Quantity]]</f>
        <v>12900</v>
      </c>
      <c r="S190" s="6">
        <f>RawSales[[#This Row],[Subtotal]]*$B$1</f>
        <v>645</v>
      </c>
      <c r="T190" s="6" t="b">
        <f>ROUND(RawSales[[#This Row],[Subtotal]],2)=ROUND(RawSales[[#This Row],[cogs]],2)</f>
        <v>1</v>
      </c>
      <c r="U190" s="6" t="b">
        <f>ROUND(RawSales[[#This Row],[cogs]]*0.05,2)=ROUND(RawSales[[#This Row],[Tax 5%]],2)</f>
        <v>1</v>
      </c>
      <c r="V190" s="6" t="b">
        <f>ROUND(RawSales[[#This Row],[cogs]]+RawSales[[#This Row],[Tax 5%]],2)=ROUND(RawSales[[#This Row],[Sales]],2)</f>
        <v>1</v>
      </c>
    </row>
    <row r="191" spans="1:22" x14ac:dyDescent="0.35">
      <c r="A191" s="4" t="s">
        <v>413</v>
      </c>
      <c r="B191" t="s">
        <v>38</v>
      </c>
      <c r="C191" t="s">
        <v>39</v>
      </c>
      <c r="D191" t="s">
        <v>22</v>
      </c>
      <c r="E191" t="s">
        <v>31</v>
      </c>
      <c r="F191" t="s">
        <v>43</v>
      </c>
      <c r="G191" s="6">
        <v>8123</v>
      </c>
      <c r="H191" s="7">
        <v>7</v>
      </c>
      <c r="I191" s="6">
        <v>2843.05</v>
      </c>
      <c r="J191" s="6">
        <v>59704.05</v>
      </c>
      <c r="K191" s="5">
        <v>43479.958333333336</v>
      </c>
      <c r="L191" s="4" t="s">
        <v>414</v>
      </c>
      <c r="M191" t="s">
        <v>26</v>
      </c>
      <c r="N191" s="6">
        <v>56861</v>
      </c>
      <c r="O191">
        <v>4.7619047620000003</v>
      </c>
      <c r="P191" s="6">
        <v>2843.05</v>
      </c>
      <c r="Q191">
        <v>9</v>
      </c>
      <c r="R191" s="6">
        <f>RawSales[[#This Row],[Unit price]]*RawSales[[#This Row],[Quantity]]</f>
        <v>56861</v>
      </c>
      <c r="S191" s="6">
        <f>RawSales[[#This Row],[Subtotal]]*$B$1</f>
        <v>2843.05</v>
      </c>
      <c r="T191" s="6" t="b">
        <f>ROUND(RawSales[[#This Row],[Subtotal]],2)=ROUND(RawSales[[#This Row],[cogs]],2)</f>
        <v>1</v>
      </c>
      <c r="U191" s="6" t="b">
        <f>ROUND(RawSales[[#This Row],[cogs]]*0.05,2)=ROUND(RawSales[[#This Row],[Tax 5%]],2)</f>
        <v>1</v>
      </c>
      <c r="V191" s="6" t="b">
        <f>ROUND(RawSales[[#This Row],[cogs]]+RawSales[[#This Row],[Tax 5%]],2)=ROUND(RawSales[[#This Row],[Sales]],2)</f>
        <v>1</v>
      </c>
    </row>
    <row r="192" spans="1:22" x14ac:dyDescent="0.35">
      <c r="A192" s="4" t="s">
        <v>415</v>
      </c>
      <c r="B192" t="s">
        <v>28</v>
      </c>
      <c r="C192" t="s">
        <v>29</v>
      </c>
      <c r="D192" t="s">
        <v>22</v>
      </c>
      <c r="E192" t="s">
        <v>23</v>
      </c>
      <c r="F192" t="s">
        <v>24</v>
      </c>
      <c r="G192" s="6">
        <v>8463</v>
      </c>
      <c r="H192" s="7">
        <v>10</v>
      </c>
      <c r="I192" s="6">
        <v>4231.5</v>
      </c>
      <c r="J192" s="6">
        <v>88861.5</v>
      </c>
      <c r="K192" s="5">
        <v>43465.958333333336</v>
      </c>
      <c r="L192" s="4" t="s">
        <v>416</v>
      </c>
      <c r="M192" t="s">
        <v>51</v>
      </c>
      <c r="N192" s="6">
        <v>84630</v>
      </c>
      <c r="O192">
        <v>4.7619047620000003</v>
      </c>
      <c r="P192" s="6">
        <v>4231.5</v>
      </c>
      <c r="Q192">
        <v>9</v>
      </c>
      <c r="R192" s="6">
        <f>RawSales[[#This Row],[Unit price]]*RawSales[[#This Row],[Quantity]]</f>
        <v>84630</v>
      </c>
      <c r="S192" s="6">
        <f>RawSales[[#This Row],[Subtotal]]*$B$1</f>
        <v>4231.5</v>
      </c>
      <c r="T192" s="6" t="b">
        <f>ROUND(RawSales[[#This Row],[Subtotal]],2)=ROUND(RawSales[[#This Row],[cogs]],2)</f>
        <v>1</v>
      </c>
      <c r="U192" s="6" t="b">
        <f>ROUND(RawSales[[#This Row],[cogs]]*0.05,2)=ROUND(RawSales[[#This Row],[Tax 5%]],2)</f>
        <v>1</v>
      </c>
      <c r="V192" s="6" t="b">
        <f>ROUND(RawSales[[#This Row],[cogs]]+RawSales[[#This Row],[Tax 5%]],2)=ROUND(RawSales[[#This Row],[Sales]],2)</f>
        <v>1</v>
      </c>
    </row>
    <row r="193" spans="1:22" x14ac:dyDescent="0.35">
      <c r="A193" s="4" t="s">
        <v>417</v>
      </c>
      <c r="B193" t="s">
        <v>20</v>
      </c>
      <c r="C193" t="s">
        <v>21</v>
      </c>
      <c r="D193" t="s">
        <v>30</v>
      </c>
      <c r="E193" t="s">
        <v>23</v>
      </c>
      <c r="F193" t="s">
        <v>40</v>
      </c>
      <c r="G193" s="6">
        <v>2896</v>
      </c>
      <c r="H193" s="7">
        <v>1</v>
      </c>
      <c r="I193" s="6">
        <v>144.80000000000001</v>
      </c>
      <c r="J193" s="6">
        <v>3040.8</v>
      </c>
      <c r="K193" s="5">
        <v>43502.958333333336</v>
      </c>
      <c r="L193" s="4" t="s">
        <v>418</v>
      </c>
      <c r="M193" t="s">
        <v>51</v>
      </c>
      <c r="N193" s="6">
        <v>2896</v>
      </c>
      <c r="O193">
        <v>4.7619047620000003</v>
      </c>
      <c r="P193" s="6">
        <v>144.80000000000001</v>
      </c>
      <c r="Q193">
        <v>6.2</v>
      </c>
      <c r="R193" s="6">
        <f>RawSales[[#This Row],[Unit price]]*RawSales[[#This Row],[Quantity]]</f>
        <v>2896</v>
      </c>
      <c r="S193" s="6">
        <f>RawSales[[#This Row],[Subtotal]]*$B$1</f>
        <v>144.80000000000001</v>
      </c>
      <c r="T193" s="6" t="b">
        <f>ROUND(RawSales[[#This Row],[Subtotal]],2)=ROUND(RawSales[[#This Row],[cogs]],2)</f>
        <v>1</v>
      </c>
      <c r="U193" s="6" t="b">
        <f>ROUND(RawSales[[#This Row],[cogs]]*0.05,2)=ROUND(RawSales[[#This Row],[Tax 5%]],2)</f>
        <v>1</v>
      </c>
      <c r="V193" s="6" t="b">
        <f>ROUND(RawSales[[#This Row],[cogs]]+RawSales[[#This Row],[Tax 5%]],2)=ROUND(RawSales[[#This Row],[Sales]],2)</f>
        <v>1</v>
      </c>
    </row>
    <row r="194" spans="1:22" x14ac:dyDescent="0.35">
      <c r="A194" s="4" t="s">
        <v>419</v>
      </c>
      <c r="B194" t="s">
        <v>28</v>
      </c>
      <c r="C194" t="s">
        <v>29</v>
      </c>
      <c r="D194" t="s">
        <v>30</v>
      </c>
      <c r="E194" t="s">
        <v>23</v>
      </c>
      <c r="F194" t="s">
        <v>62</v>
      </c>
      <c r="G194" s="6">
        <v>4297</v>
      </c>
      <c r="H194" s="7">
        <v>3</v>
      </c>
      <c r="I194" s="6">
        <v>644.54999999999995</v>
      </c>
      <c r="J194" s="6">
        <v>13535.55</v>
      </c>
      <c r="K194" s="5">
        <v>43498.958333333336</v>
      </c>
      <c r="L194" s="4" t="s">
        <v>420</v>
      </c>
      <c r="M194" t="s">
        <v>26</v>
      </c>
      <c r="N194" s="6">
        <v>12891</v>
      </c>
      <c r="O194">
        <v>4.7619047620000003</v>
      </c>
      <c r="P194" s="6">
        <v>644.54999999999995</v>
      </c>
      <c r="Q194">
        <v>9.3000000000000007</v>
      </c>
      <c r="R194" s="6">
        <f>RawSales[[#This Row],[Unit price]]*RawSales[[#This Row],[Quantity]]</f>
        <v>12891</v>
      </c>
      <c r="S194" s="6">
        <f>RawSales[[#This Row],[Subtotal]]*$B$1</f>
        <v>644.55000000000007</v>
      </c>
      <c r="T194" s="6" t="b">
        <f>ROUND(RawSales[[#This Row],[Subtotal]],2)=ROUND(RawSales[[#This Row],[cogs]],2)</f>
        <v>1</v>
      </c>
      <c r="U194" s="6" t="b">
        <f>ROUND(RawSales[[#This Row],[cogs]]*0.05,2)=ROUND(RawSales[[#This Row],[Tax 5%]],2)</f>
        <v>1</v>
      </c>
      <c r="V194" s="6" t="b">
        <f>ROUND(RawSales[[#This Row],[cogs]]+RawSales[[#This Row],[Tax 5%]],2)=ROUND(RawSales[[#This Row],[Sales]],2)</f>
        <v>1</v>
      </c>
    </row>
    <row r="195" spans="1:22" x14ac:dyDescent="0.35">
      <c r="A195" s="4" t="s">
        <v>421</v>
      </c>
      <c r="B195" t="s">
        <v>38</v>
      </c>
      <c r="C195" t="s">
        <v>39</v>
      </c>
      <c r="D195" t="s">
        <v>30</v>
      </c>
      <c r="E195" t="s">
        <v>23</v>
      </c>
      <c r="F195" t="s">
        <v>40</v>
      </c>
      <c r="G195" s="6">
        <v>9969</v>
      </c>
      <c r="H195" s="7">
        <v>1</v>
      </c>
      <c r="I195" s="6">
        <v>498.45</v>
      </c>
      <c r="J195" s="6">
        <v>10467.450000000001</v>
      </c>
      <c r="K195" s="5">
        <v>43522.958333333336</v>
      </c>
      <c r="L195" s="4" t="s">
        <v>94</v>
      </c>
      <c r="M195" t="s">
        <v>51</v>
      </c>
      <c r="N195" s="6">
        <v>9969</v>
      </c>
      <c r="O195">
        <v>4.7619047620000003</v>
      </c>
      <c r="P195" s="6">
        <v>498.45</v>
      </c>
      <c r="Q195">
        <v>8</v>
      </c>
      <c r="R195" s="6">
        <f>RawSales[[#This Row],[Unit price]]*RawSales[[#This Row],[Quantity]]</f>
        <v>9969</v>
      </c>
      <c r="S195" s="6">
        <f>RawSales[[#This Row],[Subtotal]]*$B$1</f>
        <v>498.45000000000005</v>
      </c>
      <c r="T195" s="6" t="b">
        <f>ROUND(RawSales[[#This Row],[Subtotal]],2)=ROUND(RawSales[[#This Row],[cogs]],2)</f>
        <v>1</v>
      </c>
      <c r="U195" s="6" t="b">
        <f>ROUND(RawSales[[#This Row],[cogs]]*0.05,2)=ROUND(RawSales[[#This Row],[Tax 5%]],2)</f>
        <v>1</v>
      </c>
      <c r="V195" s="6" t="b">
        <f>ROUND(RawSales[[#This Row],[cogs]]+RawSales[[#This Row],[Tax 5%]],2)=ROUND(RawSales[[#This Row],[Sales]],2)</f>
        <v>1</v>
      </c>
    </row>
    <row r="196" spans="1:22" x14ac:dyDescent="0.35">
      <c r="A196" s="4" t="s">
        <v>422</v>
      </c>
      <c r="B196" t="s">
        <v>38</v>
      </c>
      <c r="C196" t="s">
        <v>39</v>
      </c>
      <c r="D196" t="s">
        <v>30</v>
      </c>
      <c r="E196" t="s">
        <v>31</v>
      </c>
      <c r="F196" t="s">
        <v>49</v>
      </c>
      <c r="G196" s="6">
        <v>1278</v>
      </c>
      <c r="H196" s="7">
        <v>1</v>
      </c>
      <c r="I196" s="6">
        <v>63.9</v>
      </c>
      <c r="J196" s="6">
        <v>1341.9</v>
      </c>
      <c r="K196" s="5">
        <v>43472.958333333336</v>
      </c>
      <c r="L196" s="4" t="s">
        <v>423</v>
      </c>
      <c r="M196" t="s">
        <v>34</v>
      </c>
      <c r="N196" s="6">
        <v>1278</v>
      </c>
      <c r="O196">
        <v>4.7619047620000003</v>
      </c>
      <c r="P196" s="6">
        <v>63.9</v>
      </c>
      <c r="Q196">
        <v>9.5</v>
      </c>
      <c r="R196" s="6">
        <f>RawSales[[#This Row],[Unit price]]*RawSales[[#This Row],[Quantity]]</f>
        <v>1278</v>
      </c>
      <c r="S196" s="6">
        <f>RawSales[[#This Row],[Subtotal]]*$B$1</f>
        <v>63.900000000000006</v>
      </c>
      <c r="T196" s="6" t="b">
        <f>ROUND(RawSales[[#This Row],[Subtotal]],2)=ROUND(RawSales[[#This Row],[cogs]],2)</f>
        <v>1</v>
      </c>
      <c r="U196" s="6" t="b">
        <f>ROUND(RawSales[[#This Row],[cogs]]*0.05,2)=ROUND(RawSales[[#This Row],[Tax 5%]],2)</f>
        <v>1</v>
      </c>
      <c r="V196" s="6" t="b">
        <f>ROUND(RawSales[[#This Row],[cogs]]+RawSales[[#This Row],[Tax 5%]],2)=ROUND(RawSales[[#This Row],[Sales]],2)</f>
        <v>1</v>
      </c>
    </row>
    <row r="197" spans="1:22" x14ac:dyDescent="0.35">
      <c r="A197" s="4" t="s">
        <v>424</v>
      </c>
      <c r="B197" t="s">
        <v>20</v>
      </c>
      <c r="C197" t="s">
        <v>21</v>
      </c>
      <c r="D197" t="s">
        <v>22</v>
      </c>
      <c r="E197" t="s">
        <v>31</v>
      </c>
      <c r="F197" t="s">
        <v>24</v>
      </c>
      <c r="G197" s="6">
        <v>8062</v>
      </c>
      <c r="H197" s="7">
        <v>6</v>
      </c>
      <c r="I197" s="6">
        <v>2418.6</v>
      </c>
      <c r="J197" s="6">
        <v>50790.6</v>
      </c>
      <c r="K197" s="5">
        <v>43523.958333333336</v>
      </c>
      <c r="L197" s="4" t="s">
        <v>425</v>
      </c>
      <c r="M197" t="s">
        <v>26</v>
      </c>
      <c r="N197" s="6">
        <v>48372</v>
      </c>
      <c r="O197">
        <v>4.7619047620000003</v>
      </c>
      <c r="P197" s="6">
        <v>2418.6</v>
      </c>
      <c r="Q197">
        <v>9.1</v>
      </c>
      <c r="R197" s="6">
        <f>RawSales[[#This Row],[Unit price]]*RawSales[[#This Row],[Quantity]]</f>
        <v>48372</v>
      </c>
      <c r="S197" s="6">
        <f>RawSales[[#This Row],[Subtotal]]*$B$1</f>
        <v>2418.6</v>
      </c>
      <c r="T197" s="6" t="b">
        <f>ROUND(RawSales[[#This Row],[Subtotal]],2)=ROUND(RawSales[[#This Row],[cogs]],2)</f>
        <v>1</v>
      </c>
      <c r="U197" s="6" t="b">
        <f>ROUND(RawSales[[#This Row],[cogs]]*0.05,2)=ROUND(RawSales[[#This Row],[Tax 5%]],2)</f>
        <v>1</v>
      </c>
      <c r="V197" s="6" t="b">
        <f>ROUND(RawSales[[#This Row],[cogs]]+RawSales[[#This Row],[Tax 5%]],2)=ROUND(RawSales[[#This Row],[Sales]],2)</f>
        <v>1</v>
      </c>
    </row>
    <row r="198" spans="1:22" x14ac:dyDescent="0.35">
      <c r="A198" s="4" t="s">
        <v>426</v>
      </c>
      <c r="B198" t="s">
        <v>20</v>
      </c>
      <c r="C198" t="s">
        <v>21</v>
      </c>
      <c r="D198" t="s">
        <v>22</v>
      </c>
      <c r="E198" t="s">
        <v>31</v>
      </c>
      <c r="F198" t="s">
        <v>24</v>
      </c>
      <c r="G198" s="6">
        <v>6745</v>
      </c>
      <c r="H198" s="7">
        <v>10</v>
      </c>
      <c r="I198" s="6">
        <v>3372.5</v>
      </c>
      <c r="J198" s="6">
        <v>70822.5</v>
      </c>
      <c r="K198" s="5">
        <v>43498.958333333336</v>
      </c>
      <c r="L198" s="4" t="s">
        <v>427</v>
      </c>
      <c r="M198" t="s">
        <v>34</v>
      </c>
      <c r="N198" s="6">
        <v>67450</v>
      </c>
      <c r="O198">
        <v>4.7619047620000003</v>
      </c>
      <c r="P198" s="6">
        <v>3372.5</v>
      </c>
      <c r="Q198">
        <v>4.2</v>
      </c>
      <c r="R198" s="6">
        <f>RawSales[[#This Row],[Unit price]]*RawSales[[#This Row],[Quantity]]</f>
        <v>67450</v>
      </c>
      <c r="S198" s="6">
        <f>RawSales[[#This Row],[Subtotal]]*$B$1</f>
        <v>3372.5</v>
      </c>
      <c r="T198" s="6" t="b">
        <f>ROUND(RawSales[[#This Row],[Subtotal]],2)=ROUND(RawSales[[#This Row],[cogs]],2)</f>
        <v>1</v>
      </c>
      <c r="U198" s="6" t="b">
        <f>ROUND(RawSales[[#This Row],[cogs]]*0.05,2)=ROUND(RawSales[[#This Row],[Tax 5%]],2)</f>
        <v>1</v>
      </c>
      <c r="V198" s="6" t="b">
        <f>ROUND(RawSales[[#This Row],[cogs]]+RawSales[[#This Row],[Tax 5%]],2)=ROUND(RawSales[[#This Row],[Sales]],2)</f>
        <v>1</v>
      </c>
    </row>
    <row r="199" spans="1:22" x14ac:dyDescent="0.35">
      <c r="A199" s="4" t="s">
        <v>428</v>
      </c>
      <c r="B199" t="s">
        <v>20</v>
      </c>
      <c r="C199" t="s">
        <v>21</v>
      </c>
      <c r="D199" t="s">
        <v>30</v>
      </c>
      <c r="E199" t="s">
        <v>23</v>
      </c>
      <c r="F199" t="s">
        <v>24</v>
      </c>
      <c r="G199" s="6">
        <v>5656</v>
      </c>
      <c r="H199" s="7">
        <v>5</v>
      </c>
      <c r="I199" s="6">
        <v>1414</v>
      </c>
      <c r="J199" s="6">
        <v>29694</v>
      </c>
      <c r="K199" s="5">
        <v>43545.958333333336</v>
      </c>
      <c r="L199" s="4" t="s">
        <v>116</v>
      </c>
      <c r="M199" t="s">
        <v>51</v>
      </c>
      <c r="N199" s="6">
        <v>28280</v>
      </c>
      <c r="O199">
        <v>4.7619047620000003</v>
      </c>
      <c r="P199" s="6">
        <v>1414</v>
      </c>
      <c r="Q199">
        <v>4.5</v>
      </c>
      <c r="R199" s="6">
        <f>RawSales[[#This Row],[Unit price]]*RawSales[[#This Row],[Quantity]]</f>
        <v>28280</v>
      </c>
      <c r="S199" s="6">
        <f>RawSales[[#This Row],[Subtotal]]*$B$1</f>
        <v>1414</v>
      </c>
      <c r="T199" s="6" t="b">
        <f>ROUND(RawSales[[#This Row],[Subtotal]],2)=ROUND(RawSales[[#This Row],[cogs]],2)</f>
        <v>1</v>
      </c>
      <c r="U199" s="6" t="b">
        <f>ROUND(RawSales[[#This Row],[cogs]]*0.05,2)=ROUND(RawSales[[#This Row],[Tax 5%]],2)</f>
        <v>1</v>
      </c>
      <c r="V199" s="6" t="b">
        <f>ROUND(RawSales[[#This Row],[cogs]]+RawSales[[#This Row],[Tax 5%]],2)=ROUND(RawSales[[#This Row],[Sales]],2)</f>
        <v>1</v>
      </c>
    </row>
    <row r="200" spans="1:22" x14ac:dyDescent="0.35">
      <c r="A200" s="4" t="s">
        <v>429</v>
      </c>
      <c r="B200" t="s">
        <v>28</v>
      </c>
      <c r="C200" t="s">
        <v>29</v>
      </c>
      <c r="D200" t="s">
        <v>30</v>
      </c>
      <c r="E200" t="s">
        <v>31</v>
      </c>
      <c r="F200" t="s">
        <v>62</v>
      </c>
      <c r="G200" s="6">
        <v>2301</v>
      </c>
      <c r="H200" s="7">
        <v>6</v>
      </c>
      <c r="I200" s="6">
        <v>690.3</v>
      </c>
      <c r="J200" s="6">
        <v>14496.3</v>
      </c>
      <c r="K200" s="5">
        <v>43476.958333333336</v>
      </c>
      <c r="L200" s="4" t="s">
        <v>430</v>
      </c>
      <c r="M200" t="s">
        <v>34</v>
      </c>
      <c r="N200" s="6">
        <v>13806</v>
      </c>
      <c r="O200">
        <v>4.7619047620000003</v>
      </c>
      <c r="P200" s="6">
        <v>690.3</v>
      </c>
      <c r="Q200">
        <v>7.9</v>
      </c>
      <c r="R200" s="6">
        <f>RawSales[[#This Row],[Unit price]]*RawSales[[#This Row],[Quantity]]</f>
        <v>13806</v>
      </c>
      <c r="S200" s="6">
        <f>RawSales[[#This Row],[Subtotal]]*$B$1</f>
        <v>690.30000000000007</v>
      </c>
      <c r="T200" s="6" t="b">
        <f>ROUND(RawSales[[#This Row],[Subtotal]],2)=ROUND(RawSales[[#This Row],[cogs]],2)</f>
        <v>1</v>
      </c>
      <c r="U200" s="6" t="b">
        <f>ROUND(RawSales[[#This Row],[cogs]]*0.05,2)=ROUND(RawSales[[#This Row],[Tax 5%]],2)</f>
        <v>1</v>
      </c>
      <c r="V200" s="6" t="b">
        <f>ROUND(RawSales[[#This Row],[cogs]]+RawSales[[#This Row],[Tax 5%]],2)=ROUND(RawSales[[#This Row],[Sales]],2)</f>
        <v>1</v>
      </c>
    </row>
    <row r="201" spans="1:22" x14ac:dyDescent="0.35">
      <c r="A201" s="4" t="s">
        <v>431</v>
      </c>
      <c r="B201" t="s">
        <v>28</v>
      </c>
      <c r="C201" t="s">
        <v>29</v>
      </c>
      <c r="D201" t="s">
        <v>22</v>
      </c>
      <c r="E201" t="s">
        <v>31</v>
      </c>
      <c r="F201" t="s">
        <v>49</v>
      </c>
      <c r="G201" s="6">
        <v>2542</v>
      </c>
      <c r="H201" s="7">
        <v>8</v>
      </c>
      <c r="I201" s="6">
        <v>1016.8</v>
      </c>
      <c r="J201" s="6">
        <v>21352.799999999999</v>
      </c>
      <c r="K201" s="5">
        <v>43542.958333333336</v>
      </c>
      <c r="L201" s="4" t="s">
        <v>149</v>
      </c>
      <c r="M201" t="s">
        <v>51</v>
      </c>
      <c r="N201" s="6">
        <v>20336</v>
      </c>
      <c r="O201">
        <v>4.7619047620000003</v>
      </c>
      <c r="P201" s="6">
        <v>1016.8</v>
      </c>
      <c r="Q201">
        <v>6.7</v>
      </c>
      <c r="R201" s="6">
        <f>RawSales[[#This Row],[Unit price]]*RawSales[[#This Row],[Quantity]]</f>
        <v>20336</v>
      </c>
      <c r="S201" s="6">
        <f>RawSales[[#This Row],[Subtotal]]*$B$1</f>
        <v>1016.8000000000001</v>
      </c>
      <c r="T201" s="6" t="b">
        <f>ROUND(RawSales[[#This Row],[Subtotal]],2)=ROUND(RawSales[[#This Row],[cogs]],2)</f>
        <v>1</v>
      </c>
      <c r="U201" s="6" t="b">
        <f>ROUND(RawSales[[#This Row],[cogs]]*0.05,2)=ROUND(RawSales[[#This Row],[Tax 5%]],2)</f>
        <v>1</v>
      </c>
      <c r="V201" s="6" t="b">
        <f>ROUND(RawSales[[#This Row],[cogs]]+RawSales[[#This Row],[Tax 5%]],2)=ROUND(RawSales[[#This Row],[Sales]],2)</f>
        <v>1</v>
      </c>
    </row>
    <row r="202" spans="1:22" x14ac:dyDescent="0.35">
      <c r="A202" s="4" t="s">
        <v>432</v>
      </c>
      <c r="B202" t="s">
        <v>38</v>
      </c>
      <c r="C202" t="s">
        <v>39</v>
      </c>
      <c r="D202" t="s">
        <v>30</v>
      </c>
      <c r="E202" t="s">
        <v>23</v>
      </c>
      <c r="F202" t="s">
        <v>43</v>
      </c>
      <c r="G202" s="6">
        <v>5832</v>
      </c>
      <c r="H202" s="7">
        <v>2</v>
      </c>
      <c r="I202" s="6">
        <v>583.20000000000005</v>
      </c>
      <c r="J202" s="6">
        <v>12247.2</v>
      </c>
      <c r="K202" s="5">
        <v>43509.958333333336</v>
      </c>
      <c r="L202" s="4" t="s">
        <v>433</v>
      </c>
      <c r="M202" t="s">
        <v>34</v>
      </c>
      <c r="N202" s="6">
        <v>11664</v>
      </c>
      <c r="O202">
        <v>4.7619047620000003</v>
      </c>
      <c r="P202" s="6">
        <v>583.20000000000005</v>
      </c>
      <c r="Q202">
        <v>6</v>
      </c>
      <c r="R202" s="6">
        <f>RawSales[[#This Row],[Unit price]]*RawSales[[#This Row],[Quantity]]</f>
        <v>11664</v>
      </c>
      <c r="S202" s="6">
        <f>RawSales[[#This Row],[Subtotal]]*$B$1</f>
        <v>583.20000000000005</v>
      </c>
      <c r="T202" s="6" t="b">
        <f>ROUND(RawSales[[#This Row],[Subtotal]],2)=ROUND(RawSales[[#This Row],[cogs]],2)</f>
        <v>1</v>
      </c>
      <c r="U202" s="6" t="b">
        <f>ROUND(RawSales[[#This Row],[cogs]]*0.05,2)=ROUND(RawSales[[#This Row],[Tax 5%]],2)</f>
        <v>1</v>
      </c>
      <c r="V202" s="6" t="b">
        <f>ROUND(RawSales[[#This Row],[cogs]]+RawSales[[#This Row],[Tax 5%]],2)=ROUND(RawSales[[#This Row],[Sales]],2)</f>
        <v>1</v>
      </c>
    </row>
    <row r="203" spans="1:22" x14ac:dyDescent="0.35">
      <c r="A203" s="4" t="s">
        <v>434</v>
      </c>
      <c r="B203" t="s">
        <v>28</v>
      </c>
      <c r="C203" t="s">
        <v>29</v>
      </c>
      <c r="D203" t="s">
        <v>22</v>
      </c>
      <c r="E203" t="s">
        <v>23</v>
      </c>
      <c r="F203" t="s">
        <v>49</v>
      </c>
      <c r="G203" s="6">
        <v>5136</v>
      </c>
      <c r="H203" s="7">
        <v>1</v>
      </c>
      <c r="I203" s="6">
        <v>256.8</v>
      </c>
      <c r="J203" s="6">
        <v>5392.8</v>
      </c>
      <c r="K203" s="5">
        <v>43480.958333333336</v>
      </c>
      <c r="L203" s="4" t="s">
        <v>435</v>
      </c>
      <c r="M203" t="s">
        <v>34</v>
      </c>
      <c r="N203" s="6">
        <v>5136</v>
      </c>
      <c r="O203">
        <v>4.7619047620000003</v>
      </c>
      <c r="P203" s="6">
        <v>256.8</v>
      </c>
      <c r="Q203">
        <v>5.2</v>
      </c>
      <c r="R203" s="6">
        <f>RawSales[[#This Row],[Unit price]]*RawSales[[#This Row],[Quantity]]</f>
        <v>5136</v>
      </c>
      <c r="S203" s="6">
        <f>RawSales[[#This Row],[Subtotal]]*$B$1</f>
        <v>256.8</v>
      </c>
      <c r="T203" s="6" t="b">
        <f>ROUND(RawSales[[#This Row],[Subtotal]],2)=ROUND(RawSales[[#This Row],[cogs]],2)</f>
        <v>1</v>
      </c>
      <c r="U203" s="6" t="b">
        <f>ROUND(RawSales[[#This Row],[cogs]]*0.05,2)=ROUND(RawSales[[#This Row],[Tax 5%]],2)</f>
        <v>1</v>
      </c>
      <c r="V203" s="6" t="b">
        <f>ROUND(RawSales[[#This Row],[cogs]]+RawSales[[#This Row],[Tax 5%]],2)=ROUND(RawSales[[#This Row],[Sales]],2)</f>
        <v>1</v>
      </c>
    </row>
    <row r="204" spans="1:22" x14ac:dyDescent="0.35">
      <c r="A204" s="4" t="s">
        <v>436</v>
      </c>
      <c r="B204" t="s">
        <v>20</v>
      </c>
      <c r="C204" t="s">
        <v>21</v>
      </c>
      <c r="D204" t="s">
        <v>30</v>
      </c>
      <c r="E204" t="s">
        <v>23</v>
      </c>
      <c r="F204" t="s">
        <v>324</v>
      </c>
      <c r="G204" s="6">
        <v>4094</v>
      </c>
      <c r="H204" s="7">
        <v>5</v>
      </c>
      <c r="I204" s="6">
        <v>1023.5</v>
      </c>
      <c r="J204" s="6">
        <v>21493.5</v>
      </c>
      <c r="K204" s="5">
        <v>43470.958333333336</v>
      </c>
      <c r="L204" s="4" t="s">
        <v>96</v>
      </c>
      <c r="M204" t="s">
        <v>34</v>
      </c>
      <c r="N204" s="6">
        <v>20470</v>
      </c>
      <c r="O204">
        <v>4.7619047620000003</v>
      </c>
      <c r="P204" s="6">
        <v>1023.5</v>
      </c>
      <c r="Q204">
        <v>9.9</v>
      </c>
      <c r="R204" s="6">
        <f>RawSales[[#This Row],[Unit price]]*RawSales[[#This Row],[Quantity]]</f>
        <v>20470</v>
      </c>
      <c r="S204" s="6">
        <f>RawSales[[#This Row],[Subtotal]]*$B$1</f>
        <v>1023.5</v>
      </c>
      <c r="T204" s="6" t="b">
        <f>ROUND(RawSales[[#This Row],[Subtotal]],2)=ROUND(RawSales[[#This Row],[cogs]],2)</f>
        <v>1</v>
      </c>
      <c r="U204" s="6" t="b">
        <f>ROUND(RawSales[[#This Row],[cogs]]*0.05,2)=ROUND(RawSales[[#This Row],[Tax 5%]],2)</f>
        <v>1</v>
      </c>
      <c r="V204" s="6" t="b">
        <f>ROUND(RawSales[[#This Row],[cogs]]+RawSales[[#This Row],[Tax 5%]],2)=ROUND(RawSales[[#This Row],[Sales]],2)</f>
        <v>1</v>
      </c>
    </row>
    <row r="205" spans="1:22" x14ac:dyDescent="0.35">
      <c r="A205" s="4" t="s">
        <v>437</v>
      </c>
      <c r="B205" t="s">
        <v>28</v>
      </c>
      <c r="C205" t="s">
        <v>29</v>
      </c>
      <c r="D205" t="s">
        <v>30</v>
      </c>
      <c r="E205" t="s">
        <v>23</v>
      </c>
      <c r="F205" t="s">
        <v>40</v>
      </c>
      <c r="G205" s="6">
        <v>8825</v>
      </c>
      <c r="H205" s="7">
        <v>9</v>
      </c>
      <c r="I205" s="6">
        <v>3971.25</v>
      </c>
      <c r="J205" s="6">
        <v>83396.25</v>
      </c>
      <c r="K205" s="5">
        <v>43510.958333333336</v>
      </c>
      <c r="L205" s="4" t="s">
        <v>438</v>
      </c>
      <c r="M205" t="s">
        <v>51</v>
      </c>
      <c r="N205" s="6">
        <v>79425</v>
      </c>
      <c r="O205">
        <v>4.7619047620000003</v>
      </c>
      <c r="P205" s="6">
        <v>3971.25</v>
      </c>
      <c r="Q205">
        <v>7.6</v>
      </c>
      <c r="R205" s="6">
        <f>RawSales[[#This Row],[Unit price]]*RawSales[[#This Row],[Quantity]]</f>
        <v>79425</v>
      </c>
      <c r="S205" s="6">
        <f>RawSales[[#This Row],[Subtotal]]*$B$1</f>
        <v>3971.25</v>
      </c>
      <c r="T205" s="6" t="b">
        <f>ROUND(RawSales[[#This Row],[Subtotal]],2)=ROUND(RawSales[[#This Row],[cogs]],2)</f>
        <v>1</v>
      </c>
      <c r="U205" s="6" t="b">
        <f>ROUND(RawSales[[#This Row],[cogs]]*0.05,2)=ROUND(RawSales[[#This Row],[Tax 5%]],2)</f>
        <v>1</v>
      </c>
      <c r="V205" s="6" t="b">
        <f>ROUND(RawSales[[#This Row],[cogs]]+RawSales[[#This Row],[Tax 5%]],2)=ROUND(RawSales[[#This Row],[Sales]],2)</f>
        <v>1</v>
      </c>
    </row>
    <row r="206" spans="1:22" x14ac:dyDescent="0.35">
      <c r="A206" s="4" t="s">
        <v>89</v>
      </c>
      <c r="B206" t="s">
        <v>38</v>
      </c>
      <c r="C206" t="s">
        <v>39</v>
      </c>
      <c r="D206" t="s">
        <v>30</v>
      </c>
      <c r="E206" t="s">
        <v>31</v>
      </c>
      <c r="F206" t="s">
        <v>40</v>
      </c>
      <c r="G206" s="6">
        <v>5876</v>
      </c>
      <c r="H206" s="7">
        <v>10</v>
      </c>
      <c r="I206" s="6">
        <v>2938</v>
      </c>
      <c r="J206" s="6">
        <v>61698</v>
      </c>
      <c r="K206" s="4" t="s">
        <v>439</v>
      </c>
      <c r="L206" s="4" t="s">
        <v>90</v>
      </c>
      <c r="M206" t="s">
        <v>34</v>
      </c>
      <c r="N206" s="6">
        <v>58760</v>
      </c>
      <c r="O206">
        <v>4.7619047620000003</v>
      </c>
      <c r="P206" s="6">
        <v>2938</v>
      </c>
      <c r="Q206">
        <v>9</v>
      </c>
      <c r="R206" s="6">
        <f>RawSales[[#This Row],[Unit price]]*RawSales[[#This Row],[Quantity]]</f>
        <v>58760</v>
      </c>
      <c r="S206" s="6">
        <f>RawSales[[#This Row],[Subtotal]]*$B$1</f>
        <v>2938</v>
      </c>
      <c r="T206" s="6" t="b">
        <f>ROUND(RawSales[[#This Row],[Subtotal]],2)=ROUND(RawSales[[#This Row],[cogs]],2)</f>
        <v>1</v>
      </c>
      <c r="U206" s="6" t="b">
        <f>ROUND(RawSales[[#This Row],[cogs]]*0.05,2)=ROUND(RawSales[[#This Row],[Tax 5%]],2)</f>
        <v>1</v>
      </c>
      <c r="V206" s="6" t="b">
        <f>ROUND(RawSales[[#This Row],[cogs]]+RawSales[[#This Row],[Tax 5%]],2)=ROUND(RawSales[[#This Row],[Sales]],2)</f>
        <v>1</v>
      </c>
    </row>
    <row r="207" spans="1:22" x14ac:dyDescent="0.35">
      <c r="A207" s="4" t="s">
        <v>440</v>
      </c>
      <c r="B207" t="s">
        <v>20</v>
      </c>
      <c r="C207" t="s">
        <v>21</v>
      </c>
      <c r="D207" t="s">
        <v>22</v>
      </c>
      <c r="E207" t="s">
        <v>31</v>
      </c>
      <c r="F207" t="s">
        <v>40</v>
      </c>
      <c r="G207" s="6">
        <v>2418</v>
      </c>
      <c r="H207" s="7">
        <v>8</v>
      </c>
      <c r="I207" s="6">
        <v>967.2</v>
      </c>
      <c r="J207" s="6">
        <v>20311.2</v>
      </c>
      <c r="K207" s="5">
        <v>43492.958333333336</v>
      </c>
      <c r="L207" s="4" t="s">
        <v>218</v>
      </c>
      <c r="M207" t="s">
        <v>34</v>
      </c>
      <c r="N207" s="6">
        <v>19344</v>
      </c>
      <c r="O207">
        <v>4.7619047620000003</v>
      </c>
      <c r="P207" s="6">
        <v>967.2</v>
      </c>
      <c r="Q207">
        <v>9.8000000000000007</v>
      </c>
      <c r="R207" s="6">
        <f>RawSales[[#This Row],[Unit price]]*RawSales[[#This Row],[Quantity]]</f>
        <v>19344</v>
      </c>
      <c r="S207" s="6">
        <f>RawSales[[#This Row],[Subtotal]]*$B$1</f>
        <v>967.2</v>
      </c>
      <c r="T207" s="6" t="b">
        <f>ROUND(RawSales[[#This Row],[Subtotal]],2)=ROUND(RawSales[[#This Row],[cogs]],2)</f>
        <v>1</v>
      </c>
      <c r="U207" s="6" t="b">
        <f>ROUND(RawSales[[#This Row],[cogs]]*0.05,2)=ROUND(RawSales[[#This Row],[Tax 5%]],2)</f>
        <v>1</v>
      </c>
      <c r="V207" s="6" t="b">
        <f>ROUND(RawSales[[#This Row],[cogs]]+RawSales[[#This Row],[Tax 5%]],2)=ROUND(RawSales[[#This Row],[Sales]],2)</f>
        <v>1</v>
      </c>
    </row>
    <row r="208" spans="1:22" x14ac:dyDescent="0.35">
      <c r="A208" s="4" t="s">
        <v>441</v>
      </c>
      <c r="B208" t="s">
        <v>38</v>
      </c>
      <c r="C208" t="s">
        <v>39</v>
      </c>
      <c r="D208" t="s">
        <v>30</v>
      </c>
      <c r="E208" t="s">
        <v>31</v>
      </c>
      <c r="F208" t="s">
        <v>32</v>
      </c>
      <c r="G208" s="6">
        <v>6526</v>
      </c>
      <c r="H208" s="7">
        <v>8</v>
      </c>
      <c r="I208" s="6">
        <v>2610.4</v>
      </c>
      <c r="J208" s="6">
        <v>54818.400000000001</v>
      </c>
      <c r="K208" s="5">
        <v>43538.958333333336</v>
      </c>
      <c r="L208" s="4" t="s">
        <v>442</v>
      </c>
      <c r="M208" t="s">
        <v>34</v>
      </c>
      <c r="N208" s="6">
        <v>52208</v>
      </c>
      <c r="O208">
        <v>4.7619047620000003</v>
      </c>
      <c r="P208" s="6">
        <v>2610.4</v>
      </c>
      <c r="Q208">
        <v>6.3</v>
      </c>
      <c r="R208" s="6">
        <f>RawSales[[#This Row],[Unit price]]*RawSales[[#This Row],[Quantity]]</f>
        <v>52208</v>
      </c>
      <c r="S208" s="6">
        <f>RawSales[[#This Row],[Subtotal]]*$B$1</f>
        <v>2610.4</v>
      </c>
      <c r="T208" s="6" t="b">
        <f>ROUND(RawSales[[#This Row],[Subtotal]],2)=ROUND(RawSales[[#This Row],[cogs]],2)</f>
        <v>1</v>
      </c>
      <c r="U208" s="6" t="b">
        <f>ROUND(RawSales[[#This Row],[cogs]]*0.05,2)=ROUND(RawSales[[#This Row],[Tax 5%]],2)</f>
        <v>1</v>
      </c>
      <c r="V208" s="6" t="b">
        <f>ROUND(RawSales[[#This Row],[cogs]]+RawSales[[#This Row],[Tax 5%]],2)=ROUND(RawSales[[#This Row],[Sales]],2)</f>
        <v>1</v>
      </c>
    </row>
    <row r="209" spans="1:22" x14ac:dyDescent="0.35">
      <c r="A209" s="4" t="s">
        <v>443</v>
      </c>
      <c r="B209" t="s">
        <v>38</v>
      </c>
      <c r="C209" t="s">
        <v>39</v>
      </c>
      <c r="D209" t="s">
        <v>22</v>
      </c>
      <c r="E209" t="s">
        <v>23</v>
      </c>
      <c r="F209" t="s">
        <v>49</v>
      </c>
      <c r="G209" s="6">
        <v>8048</v>
      </c>
      <c r="H209" s="7">
        <v>3</v>
      </c>
      <c r="I209" s="6">
        <v>1207.2</v>
      </c>
      <c r="J209" s="6">
        <v>25351.200000000001</v>
      </c>
      <c r="K209" s="5">
        <v>43510.958333333336</v>
      </c>
      <c r="L209" s="4" t="s">
        <v>444</v>
      </c>
      <c r="M209" t="s">
        <v>26</v>
      </c>
      <c r="N209" s="6">
        <v>24144</v>
      </c>
      <c r="O209">
        <v>4.7619047620000003</v>
      </c>
      <c r="P209" s="6">
        <v>1207.2</v>
      </c>
      <c r="Q209">
        <v>8.1</v>
      </c>
      <c r="R209" s="6">
        <f>RawSales[[#This Row],[Unit price]]*RawSales[[#This Row],[Quantity]]</f>
        <v>24144</v>
      </c>
      <c r="S209" s="6">
        <f>RawSales[[#This Row],[Subtotal]]*$B$1</f>
        <v>1207.2</v>
      </c>
      <c r="T209" s="6" t="b">
        <f>ROUND(RawSales[[#This Row],[Subtotal]],2)=ROUND(RawSales[[#This Row],[cogs]],2)</f>
        <v>1</v>
      </c>
      <c r="U209" s="6" t="b">
        <f>ROUND(RawSales[[#This Row],[cogs]]*0.05,2)=ROUND(RawSales[[#This Row],[Tax 5%]],2)</f>
        <v>1</v>
      </c>
      <c r="V209" s="6" t="b">
        <f>ROUND(RawSales[[#This Row],[cogs]]+RawSales[[#This Row],[Tax 5%]],2)=ROUND(RawSales[[#This Row],[Sales]],2)</f>
        <v>1</v>
      </c>
    </row>
    <row r="210" spans="1:22" x14ac:dyDescent="0.35">
      <c r="A210" s="4" t="s">
        <v>445</v>
      </c>
      <c r="B210" t="s">
        <v>20</v>
      </c>
      <c r="C210" t="s">
        <v>21</v>
      </c>
      <c r="D210" t="s">
        <v>22</v>
      </c>
      <c r="E210" t="s">
        <v>23</v>
      </c>
      <c r="F210" t="s">
        <v>40</v>
      </c>
      <c r="G210" s="6">
        <v>7959</v>
      </c>
      <c r="H210" s="7">
        <v>3</v>
      </c>
      <c r="I210" s="6">
        <v>1193.8499999999999</v>
      </c>
      <c r="J210" s="6">
        <v>25070.85</v>
      </c>
      <c r="K210" s="5">
        <v>43472.958333333336</v>
      </c>
      <c r="L210" s="4" t="s">
        <v>446</v>
      </c>
      <c r="M210" t="s">
        <v>26</v>
      </c>
      <c r="N210" s="6">
        <v>23877</v>
      </c>
      <c r="O210">
        <v>4.7619047620000003</v>
      </c>
      <c r="P210" s="6">
        <v>1193.8499999999999</v>
      </c>
      <c r="Q210">
        <v>6.6</v>
      </c>
      <c r="R210" s="6">
        <f>RawSales[[#This Row],[Unit price]]*RawSales[[#This Row],[Quantity]]</f>
        <v>23877</v>
      </c>
      <c r="S210" s="6">
        <f>RawSales[[#This Row],[Subtotal]]*$B$1</f>
        <v>1193.8500000000001</v>
      </c>
      <c r="T210" s="6" t="b">
        <f>ROUND(RawSales[[#This Row],[Subtotal]],2)=ROUND(RawSales[[#This Row],[cogs]],2)</f>
        <v>1</v>
      </c>
      <c r="U210" s="6" t="b">
        <f>ROUND(RawSales[[#This Row],[cogs]]*0.05,2)=ROUND(RawSales[[#This Row],[Tax 5%]],2)</f>
        <v>1</v>
      </c>
      <c r="V210" s="6" t="b">
        <f>ROUND(RawSales[[#This Row],[cogs]]+RawSales[[#This Row],[Tax 5%]],2)=ROUND(RawSales[[#This Row],[Sales]],2)</f>
        <v>1</v>
      </c>
    </row>
    <row r="211" spans="1:22" x14ac:dyDescent="0.35">
      <c r="A211" s="4" t="s">
        <v>447</v>
      </c>
      <c r="B211" t="s">
        <v>28</v>
      </c>
      <c r="C211" t="s">
        <v>29</v>
      </c>
      <c r="D211" t="s">
        <v>22</v>
      </c>
      <c r="E211" t="s">
        <v>23</v>
      </c>
      <c r="F211" t="s">
        <v>32</v>
      </c>
      <c r="G211" s="6">
        <v>7768</v>
      </c>
      <c r="H211" s="7">
        <v>9</v>
      </c>
      <c r="I211" s="6">
        <v>3495.6</v>
      </c>
      <c r="J211" s="6">
        <v>73407.600000000006</v>
      </c>
      <c r="K211" s="5">
        <v>43499.958333333336</v>
      </c>
      <c r="L211" s="4" t="s">
        <v>448</v>
      </c>
      <c r="M211" t="s">
        <v>34</v>
      </c>
      <c r="N211" s="6">
        <v>69912</v>
      </c>
      <c r="O211">
        <v>4.7619047620000003</v>
      </c>
      <c r="P211" s="6">
        <v>3495.6</v>
      </c>
      <c r="Q211">
        <v>9.8000000000000007</v>
      </c>
      <c r="R211" s="6">
        <f>RawSales[[#This Row],[Unit price]]*RawSales[[#This Row],[Quantity]]</f>
        <v>69912</v>
      </c>
      <c r="S211" s="6">
        <f>RawSales[[#This Row],[Subtotal]]*$B$1</f>
        <v>3495.6000000000004</v>
      </c>
      <c r="T211" s="6" t="b">
        <f>ROUND(RawSales[[#This Row],[Subtotal]],2)=ROUND(RawSales[[#This Row],[cogs]],2)</f>
        <v>1</v>
      </c>
      <c r="U211" s="6" t="b">
        <f>ROUND(RawSales[[#This Row],[cogs]]*0.05,2)=ROUND(RawSales[[#This Row],[Tax 5%]],2)</f>
        <v>1</v>
      </c>
      <c r="V211" s="6" t="b">
        <f>ROUND(RawSales[[#This Row],[cogs]]+RawSales[[#This Row],[Tax 5%]],2)=ROUND(RawSales[[#This Row],[Sales]],2)</f>
        <v>1</v>
      </c>
    </row>
    <row r="212" spans="1:22" x14ac:dyDescent="0.35">
      <c r="A212" s="4" t="s">
        <v>449</v>
      </c>
      <c r="B212" t="s">
        <v>28</v>
      </c>
      <c r="C212" t="s">
        <v>29</v>
      </c>
      <c r="D212" t="s">
        <v>22</v>
      </c>
      <c r="E212" t="s">
        <v>31</v>
      </c>
      <c r="F212" t="s">
        <v>43</v>
      </c>
      <c r="G212" s="6">
        <v>4257</v>
      </c>
      <c r="H212" s="7">
        <v>8</v>
      </c>
      <c r="I212" s="6">
        <v>1702.8</v>
      </c>
      <c r="J212" s="6">
        <v>35758.800000000003</v>
      </c>
      <c r="K212" s="5">
        <v>43520.958333333336</v>
      </c>
      <c r="L212" s="4" t="s">
        <v>450</v>
      </c>
      <c r="M212" t="s">
        <v>34</v>
      </c>
      <c r="N212" s="6">
        <v>34056</v>
      </c>
      <c r="O212">
        <v>4.7619047620000003</v>
      </c>
      <c r="P212" s="6">
        <v>1702.8</v>
      </c>
      <c r="Q212">
        <v>5.6</v>
      </c>
      <c r="R212" s="6">
        <f>RawSales[[#This Row],[Unit price]]*RawSales[[#This Row],[Quantity]]</f>
        <v>34056</v>
      </c>
      <c r="S212" s="6">
        <f>RawSales[[#This Row],[Subtotal]]*$B$1</f>
        <v>1702.8000000000002</v>
      </c>
      <c r="T212" s="6" t="b">
        <f>ROUND(RawSales[[#This Row],[Subtotal]],2)=ROUND(RawSales[[#This Row],[cogs]],2)</f>
        <v>1</v>
      </c>
      <c r="U212" s="6" t="b">
        <f>ROUND(RawSales[[#This Row],[cogs]]*0.05,2)=ROUND(RawSales[[#This Row],[Tax 5%]],2)</f>
        <v>1</v>
      </c>
      <c r="V212" s="6" t="b">
        <f>ROUND(RawSales[[#This Row],[cogs]]+RawSales[[#This Row],[Tax 5%]],2)=ROUND(RawSales[[#This Row],[Sales]],2)</f>
        <v>1</v>
      </c>
    </row>
    <row r="213" spans="1:22" x14ac:dyDescent="0.35">
      <c r="A213" s="4" t="s">
        <v>451</v>
      </c>
      <c r="B213" t="s">
        <v>28</v>
      </c>
      <c r="C213" t="s">
        <v>29</v>
      </c>
      <c r="D213" t="s">
        <v>22</v>
      </c>
      <c r="E213" t="s">
        <v>23</v>
      </c>
      <c r="F213" t="s">
        <v>32</v>
      </c>
      <c r="G213" s="6">
        <v>8672</v>
      </c>
      <c r="H213" s="7">
        <v>1</v>
      </c>
      <c r="I213" s="6">
        <v>433.6</v>
      </c>
      <c r="J213" s="6">
        <v>9105.6</v>
      </c>
      <c r="K213" s="5">
        <v>43481.958333333336</v>
      </c>
      <c r="L213" s="4" t="s">
        <v>452</v>
      </c>
      <c r="M213" t="s">
        <v>34</v>
      </c>
      <c r="N213" s="6">
        <v>8672</v>
      </c>
      <c r="O213">
        <v>4.7619047620000003</v>
      </c>
      <c r="P213" s="6">
        <v>433.6</v>
      </c>
      <c r="Q213">
        <v>7.9</v>
      </c>
      <c r="R213" s="6">
        <f>RawSales[[#This Row],[Unit price]]*RawSales[[#This Row],[Quantity]]</f>
        <v>8672</v>
      </c>
      <c r="S213" s="6">
        <f>RawSales[[#This Row],[Subtotal]]*$B$1</f>
        <v>433.6</v>
      </c>
      <c r="T213" s="6" t="b">
        <f>ROUND(RawSales[[#This Row],[Subtotal]],2)=ROUND(RawSales[[#This Row],[cogs]],2)</f>
        <v>1</v>
      </c>
      <c r="U213" s="6" t="b">
        <f>ROUND(RawSales[[#This Row],[cogs]]*0.05,2)=ROUND(RawSales[[#This Row],[Tax 5%]],2)</f>
        <v>1</v>
      </c>
      <c r="V213" s="6" t="b">
        <f>ROUND(RawSales[[#This Row],[cogs]]+RawSales[[#This Row],[Tax 5%]],2)=ROUND(RawSales[[#This Row],[Sales]],2)</f>
        <v>1</v>
      </c>
    </row>
    <row r="214" spans="1:22" x14ac:dyDescent="0.35">
      <c r="A214" s="4" t="s">
        <v>453</v>
      </c>
      <c r="B214" t="s">
        <v>38</v>
      </c>
      <c r="C214" t="s">
        <v>39</v>
      </c>
      <c r="D214" t="s">
        <v>22</v>
      </c>
      <c r="E214" t="s">
        <v>23</v>
      </c>
      <c r="F214" t="s">
        <v>140</v>
      </c>
      <c r="G214" s="6">
        <v>5192</v>
      </c>
      <c r="H214" s="7">
        <v>5</v>
      </c>
      <c r="I214" s="6">
        <v>1298</v>
      </c>
      <c r="J214" s="6">
        <v>27258</v>
      </c>
      <c r="K214" s="5">
        <v>43526.958333333336</v>
      </c>
      <c r="L214" s="4" t="s">
        <v>454</v>
      </c>
      <c r="M214" t="s">
        <v>26</v>
      </c>
      <c r="N214" s="6">
        <v>25960</v>
      </c>
      <c r="O214">
        <v>4.7619047620000003</v>
      </c>
      <c r="P214" s="6">
        <v>1298</v>
      </c>
      <c r="Q214">
        <v>7.5</v>
      </c>
      <c r="R214" s="6">
        <f>RawSales[[#This Row],[Unit price]]*RawSales[[#This Row],[Quantity]]</f>
        <v>25960</v>
      </c>
      <c r="S214" s="6">
        <f>RawSales[[#This Row],[Subtotal]]*$B$1</f>
        <v>1298</v>
      </c>
      <c r="T214" s="6" t="b">
        <f>ROUND(RawSales[[#This Row],[Subtotal]],2)=ROUND(RawSales[[#This Row],[cogs]],2)</f>
        <v>1</v>
      </c>
      <c r="U214" s="6" t="b">
        <f>ROUND(RawSales[[#This Row],[cogs]]*0.05,2)=ROUND(RawSales[[#This Row],[Tax 5%]],2)</f>
        <v>1</v>
      </c>
      <c r="V214" s="6" t="b">
        <f>ROUND(RawSales[[#This Row],[cogs]]+RawSales[[#This Row],[Tax 5%]],2)=ROUND(RawSales[[#This Row],[Sales]],2)</f>
        <v>1</v>
      </c>
    </row>
    <row r="215" spans="1:22" x14ac:dyDescent="0.35">
      <c r="A215" s="4" t="s">
        <v>455</v>
      </c>
      <c r="B215" t="s">
        <v>20</v>
      </c>
      <c r="C215" t="s">
        <v>21</v>
      </c>
      <c r="D215" t="s">
        <v>22</v>
      </c>
      <c r="E215" t="s">
        <v>23</v>
      </c>
      <c r="F215" t="s">
        <v>24</v>
      </c>
      <c r="G215" s="6">
        <v>4763</v>
      </c>
      <c r="H215" s="7">
        <v>9</v>
      </c>
      <c r="I215" s="6">
        <v>2143.35</v>
      </c>
      <c r="J215" s="6">
        <v>45010.35</v>
      </c>
      <c r="K215" s="5">
        <v>43487.958333333336</v>
      </c>
      <c r="L215" s="4" t="s">
        <v>456</v>
      </c>
      <c r="M215" t="s">
        <v>26</v>
      </c>
      <c r="N215" s="6">
        <v>42867</v>
      </c>
      <c r="O215">
        <v>4.7619047620000003</v>
      </c>
      <c r="P215" s="6">
        <v>2143.35</v>
      </c>
      <c r="Q215">
        <v>5</v>
      </c>
      <c r="R215" s="6">
        <f>RawSales[[#This Row],[Unit price]]*RawSales[[#This Row],[Quantity]]</f>
        <v>42867</v>
      </c>
      <c r="S215" s="6">
        <f>RawSales[[#This Row],[Subtotal]]*$B$1</f>
        <v>2143.35</v>
      </c>
      <c r="T215" s="6" t="b">
        <f>ROUND(RawSales[[#This Row],[Subtotal]],2)=ROUND(RawSales[[#This Row],[cogs]],2)</f>
        <v>1</v>
      </c>
      <c r="U215" s="6" t="b">
        <f>ROUND(RawSales[[#This Row],[cogs]]*0.05,2)=ROUND(RawSales[[#This Row],[Tax 5%]],2)</f>
        <v>1</v>
      </c>
      <c r="V215" s="6" t="b">
        <f>ROUND(RawSales[[#This Row],[cogs]]+RawSales[[#This Row],[Tax 5%]],2)=ROUND(RawSales[[#This Row],[Sales]],2)</f>
        <v>1</v>
      </c>
    </row>
    <row r="216" spans="1:22" x14ac:dyDescent="0.35">
      <c r="A216" s="4" t="s">
        <v>457</v>
      </c>
      <c r="B216" t="s">
        <v>38</v>
      </c>
      <c r="C216" t="s">
        <v>39</v>
      </c>
      <c r="D216" t="s">
        <v>30</v>
      </c>
      <c r="E216" t="s">
        <v>31</v>
      </c>
      <c r="F216" t="s">
        <v>40</v>
      </c>
      <c r="G216" s="6">
        <v>2221</v>
      </c>
      <c r="H216" s="7">
        <v>6</v>
      </c>
      <c r="I216" s="6">
        <v>666.3</v>
      </c>
      <c r="J216" s="6">
        <v>13992.3</v>
      </c>
      <c r="K216" s="5">
        <v>43530.958333333336</v>
      </c>
      <c r="L216" s="4" t="s">
        <v>94</v>
      </c>
      <c r="M216" t="s">
        <v>51</v>
      </c>
      <c r="N216" s="6">
        <v>13326</v>
      </c>
      <c r="O216">
        <v>4.7619047620000003</v>
      </c>
      <c r="P216" s="6">
        <v>666.3</v>
      </c>
      <c r="Q216">
        <v>8.6</v>
      </c>
      <c r="R216" s="6">
        <f>RawSales[[#This Row],[Unit price]]*RawSales[[#This Row],[Quantity]]</f>
        <v>13326</v>
      </c>
      <c r="S216" s="6">
        <f>RawSales[[#This Row],[Subtotal]]*$B$1</f>
        <v>666.30000000000007</v>
      </c>
      <c r="T216" s="6" t="b">
        <f>ROUND(RawSales[[#This Row],[Subtotal]],2)=ROUND(RawSales[[#This Row],[cogs]],2)</f>
        <v>1</v>
      </c>
      <c r="U216" s="6" t="b">
        <f>ROUND(RawSales[[#This Row],[cogs]]*0.05,2)=ROUND(RawSales[[#This Row],[Tax 5%]],2)</f>
        <v>1</v>
      </c>
      <c r="V216" s="6" t="b">
        <f>ROUND(RawSales[[#This Row],[cogs]]+RawSales[[#This Row],[Tax 5%]],2)=ROUND(RawSales[[#This Row],[Sales]],2)</f>
        <v>1</v>
      </c>
    </row>
    <row r="217" spans="1:22" x14ac:dyDescent="0.35">
      <c r="A217" s="4" t="s">
        <v>458</v>
      </c>
      <c r="B217" t="s">
        <v>38</v>
      </c>
      <c r="C217" t="s">
        <v>39</v>
      </c>
      <c r="D217" t="s">
        <v>22</v>
      </c>
      <c r="E217" t="s">
        <v>23</v>
      </c>
      <c r="F217" t="s">
        <v>62</v>
      </c>
      <c r="G217" s="6">
        <v>1549</v>
      </c>
      <c r="H217" s="7">
        <v>2</v>
      </c>
      <c r="I217" s="6">
        <v>154.9</v>
      </c>
      <c r="J217" s="6">
        <v>3252.9</v>
      </c>
      <c r="K217" s="5">
        <v>43480.958333333336</v>
      </c>
      <c r="L217" s="4" t="s">
        <v>459</v>
      </c>
      <c r="M217" t="s">
        <v>26</v>
      </c>
      <c r="N217" s="6">
        <v>3098</v>
      </c>
      <c r="O217">
        <v>4.7619047620000003</v>
      </c>
      <c r="P217" s="6">
        <v>154.9</v>
      </c>
      <c r="Q217">
        <v>6.3</v>
      </c>
      <c r="R217" s="6">
        <f>RawSales[[#This Row],[Unit price]]*RawSales[[#This Row],[Quantity]]</f>
        <v>3098</v>
      </c>
      <c r="S217" s="6">
        <f>RawSales[[#This Row],[Subtotal]]*$B$1</f>
        <v>154.9</v>
      </c>
      <c r="T217" s="6" t="b">
        <f>ROUND(RawSales[[#This Row],[Subtotal]],2)=ROUND(RawSales[[#This Row],[cogs]],2)</f>
        <v>1</v>
      </c>
      <c r="U217" s="6" t="b">
        <f>ROUND(RawSales[[#This Row],[cogs]]*0.05,2)=ROUND(RawSales[[#This Row],[Tax 5%]],2)</f>
        <v>1</v>
      </c>
      <c r="V217" s="6" t="b">
        <f>ROUND(RawSales[[#This Row],[cogs]]+RawSales[[#This Row],[Tax 5%]],2)=ROUND(RawSales[[#This Row],[Sales]],2)</f>
        <v>1</v>
      </c>
    </row>
    <row r="218" spans="1:22" x14ac:dyDescent="0.35">
      <c r="A218" s="4" t="s">
        <v>460</v>
      </c>
      <c r="B218" t="s">
        <v>20</v>
      </c>
      <c r="C218" t="s">
        <v>21</v>
      </c>
      <c r="D218" t="s">
        <v>22</v>
      </c>
      <c r="E218" t="s">
        <v>31</v>
      </c>
      <c r="F218" t="s">
        <v>49</v>
      </c>
      <c r="G218" s="6">
        <v>1794</v>
      </c>
      <c r="H218" s="7">
        <v>5</v>
      </c>
      <c r="I218" s="6">
        <v>448.5</v>
      </c>
      <c r="J218" s="6">
        <v>9418.5</v>
      </c>
      <c r="K218" s="5">
        <v>43487.958333333336</v>
      </c>
      <c r="L218" s="4" t="s">
        <v>442</v>
      </c>
      <c r="M218" t="s">
        <v>34</v>
      </c>
      <c r="N218" s="6">
        <v>8970</v>
      </c>
      <c r="O218">
        <v>4.7619047620000003</v>
      </c>
      <c r="P218" s="6">
        <v>448.5</v>
      </c>
      <c r="Q218">
        <v>6.8</v>
      </c>
      <c r="R218" s="6">
        <f>RawSales[[#This Row],[Unit price]]*RawSales[[#This Row],[Quantity]]</f>
        <v>8970</v>
      </c>
      <c r="S218" s="6">
        <f>RawSales[[#This Row],[Subtotal]]*$B$1</f>
        <v>448.5</v>
      </c>
      <c r="T218" s="6" t="b">
        <f>ROUND(RawSales[[#This Row],[Subtotal]],2)=ROUND(RawSales[[#This Row],[cogs]],2)</f>
        <v>1</v>
      </c>
      <c r="U218" s="6" t="b">
        <f>ROUND(RawSales[[#This Row],[cogs]]*0.05,2)=ROUND(RawSales[[#This Row],[Tax 5%]],2)</f>
        <v>1</v>
      </c>
      <c r="V218" s="6" t="b">
        <f>ROUND(RawSales[[#This Row],[cogs]]+RawSales[[#This Row],[Tax 5%]],2)=ROUND(RawSales[[#This Row],[Sales]],2)</f>
        <v>1</v>
      </c>
    </row>
    <row r="219" spans="1:22" x14ac:dyDescent="0.35">
      <c r="A219" s="4" t="s">
        <v>461</v>
      </c>
      <c r="B219" t="s">
        <v>20</v>
      </c>
      <c r="C219" t="s">
        <v>21</v>
      </c>
      <c r="D219" t="s">
        <v>30</v>
      </c>
      <c r="E219" t="s">
        <v>31</v>
      </c>
      <c r="F219" t="s">
        <v>40</v>
      </c>
      <c r="G219" s="6">
        <v>7831</v>
      </c>
      <c r="H219" s="7">
        <v>3</v>
      </c>
      <c r="I219" s="6">
        <v>1174.6500000000001</v>
      </c>
      <c r="J219" s="6">
        <v>24667.65</v>
      </c>
      <c r="K219" s="5">
        <v>43528.958333333336</v>
      </c>
      <c r="L219" s="4" t="s">
        <v>176</v>
      </c>
      <c r="M219" t="s">
        <v>34</v>
      </c>
      <c r="N219" s="6">
        <v>23493</v>
      </c>
      <c r="O219">
        <v>4.7619047620000003</v>
      </c>
      <c r="P219" s="6">
        <v>1174.6500000000001</v>
      </c>
      <c r="Q219">
        <v>5.4</v>
      </c>
      <c r="R219" s="6">
        <f>RawSales[[#This Row],[Unit price]]*RawSales[[#This Row],[Quantity]]</f>
        <v>23493</v>
      </c>
      <c r="S219" s="6">
        <f>RawSales[[#This Row],[Subtotal]]*$B$1</f>
        <v>1174.6500000000001</v>
      </c>
      <c r="T219" s="6" t="b">
        <f>ROUND(RawSales[[#This Row],[Subtotal]],2)=ROUND(RawSales[[#This Row],[cogs]],2)</f>
        <v>1</v>
      </c>
      <c r="U219" s="6" t="b">
        <f>ROUND(RawSales[[#This Row],[cogs]]*0.05,2)=ROUND(RawSales[[#This Row],[Tax 5%]],2)</f>
        <v>1</v>
      </c>
      <c r="V219" s="6" t="b">
        <f>ROUND(RawSales[[#This Row],[cogs]]+RawSales[[#This Row],[Tax 5%]],2)=ROUND(RawSales[[#This Row],[Sales]],2)</f>
        <v>1</v>
      </c>
    </row>
    <row r="220" spans="1:22" x14ac:dyDescent="0.35">
      <c r="A220" s="4" t="s">
        <v>462</v>
      </c>
      <c r="B220" t="s">
        <v>20</v>
      </c>
      <c r="C220" t="s">
        <v>21</v>
      </c>
      <c r="D220" t="s">
        <v>30</v>
      </c>
      <c r="E220" t="s">
        <v>23</v>
      </c>
      <c r="F220" t="s">
        <v>40</v>
      </c>
      <c r="G220" s="6">
        <v>2631</v>
      </c>
      <c r="H220" s="7">
        <v>5</v>
      </c>
      <c r="I220" s="6">
        <v>657.75</v>
      </c>
      <c r="J220" s="6">
        <v>13812.75</v>
      </c>
      <c r="K220" s="4" t="s">
        <v>463</v>
      </c>
      <c r="L220" s="4" t="s">
        <v>464</v>
      </c>
      <c r="M220" t="s">
        <v>51</v>
      </c>
      <c r="N220" s="6">
        <v>13155</v>
      </c>
      <c r="O220">
        <v>4.7619047620000003</v>
      </c>
      <c r="P220" s="6">
        <v>657.75</v>
      </c>
      <c r="Q220">
        <v>8.8000000000000007</v>
      </c>
      <c r="R220" s="6">
        <f>RawSales[[#This Row],[Unit price]]*RawSales[[#This Row],[Quantity]]</f>
        <v>13155</v>
      </c>
      <c r="S220" s="6">
        <f>RawSales[[#This Row],[Subtotal]]*$B$1</f>
        <v>657.75</v>
      </c>
      <c r="T220" s="6" t="b">
        <f>ROUND(RawSales[[#This Row],[Subtotal]],2)=ROUND(RawSales[[#This Row],[cogs]],2)</f>
        <v>1</v>
      </c>
      <c r="U220" s="6" t="b">
        <f>ROUND(RawSales[[#This Row],[cogs]]*0.05,2)=ROUND(RawSales[[#This Row],[Tax 5%]],2)</f>
        <v>1</v>
      </c>
      <c r="V220" s="6" t="b">
        <f>ROUND(RawSales[[#This Row],[cogs]]+RawSales[[#This Row],[Tax 5%]],2)=ROUND(RawSales[[#This Row],[Sales]],2)</f>
        <v>1</v>
      </c>
    </row>
    <row r="221" spans="1:22" x14ac:dyDescent="0.35">
      <c r="A221" s="4" t="s">
        <v>465</v>
      </c>
      <c r="B221" t="s">
        <v>38</v>
      </c>
      <c r="C221" t="s">
        <v>39</v>
      </c>
      <c r="D221" t="s">
        <v>22</v>
      </c>
      <c r="E221" t="s">
        <v>23</v>
      </c>
      <c r="F221" t="s">
        <v>24</v>
      </c>
      <c r="G221" s="6">
        <v>7139</v>
      </c>
      <c r="H221" s="7">
        <v>5</v>
      </c>
      <c r="I221" s="6">
        <v>1784.75</v>
      </c>
      <c r="J221" s="6">
        <v>37479.75</v>
      </c>
      <c r="K221" s="5">
        <v>43512.958333333336</v>
      </c>
      <c r="L221" s="4" t="s">
        <v>107</v>
      </c>
      <c r="M221" t="s">
        <v>51</v>
      </c>
      <c r="N221" s="6">
        <v>35695</v>
      </c>
      <c r="O221">
        <v>4.7619047620000003</v>
      </c>
      <c r="P221" s="6">
        <v>1784.75</v>
      </c>
      <c r="Q221">
        <v>5.5</v>
      </c>
      <c r="R221" s="6">
        <f>RawSales[[#This Row],[Unit price]]*RawSales[[#This Row],[Quantity]]</f>
        <v>35695</v>
      </c>
      <c r="S221" s="6">
        <f>RawSales[[#This Row],[Subtotal]]*$B$1</f>
        <v>1784.75</v>
      </c>
      <c r="T221" s="6" t="b">
        <f>ROUND(RawSales[[#This Row],[Subtotal]],2)=ROUND(RawSales[[#This Row],[cogs]],2)</f>
        <v>1</v>
      </c>
      <c r="U221" s="6" t="b">
        <f>ROUND(RawSales[[#This Row],[cogs]]*0.05,2)=ROUND(RawSales[[#This Row],[Tax 5%]],2)</f>
        <v>1</v>
      </c>
      <c r="V221" s="6" t="b">
        <f>ROUND(RawSales[[#This Row],[cogs]]+RawSales[[#This Row],[Tax 5%]],2)=ROUND(RawSales[[#This Row],[Sales]],2)</f>
        <v>1</v>
      </c>
    </row>
    <row r="222" spans="1:22" x14ac:dyDescent="0.35">
      <c r="A222" s="4" t="s">
        <v>466</v>
      </c>
      <c r="B222" t="s">
        <v>38</v>
      </c>
      <c r="C222" t="s">
        <v>39</v>
      </c>
      <c r="D222" t="s">
        <v>22</v>
      </c>
      <c r="E222" t="s">
        <v>31</v>
      </c>
      <c r="F222" t="s">
        <v>43</v>
      </c>
      <c r="G222" s="6">
        <v>4370</v>
      </c>
      <c r="H222" s="7">
        <v>2</v>
      </c>
      <c r="I222" s="6">
        <v>437</v>
      </c>
      <c r="J222" s="6">
        <v>9177</v>
      </c>
      <c r="K222" s="5">
        <v>43549.958333333336</v>
      </c>
      <c r="L222" s="4" t="s">
        <v>180</v>
      </c>
      <c r="M222" t="s">
        <v>26</v>
      </c>
      <c r="N222" s="6">
        <v>8740</v>
      </c>
      <c r="O222">
        <v>4.7619047620000003</v>
      </c>
      <c r="P222" s="6">
        <v>437</v>
      </c>
      <c r="Q222">
        <v>4.9000000000000004</v>
      </c>
      <c r="R222" s="6">
        <f>RawSales[[#This Row],[Unit price]]*RawSales[[#This Row],[Quantity]]</f>
        <v>8740</v>
      </c>
      <c r="S222" s="6">
        <f>RawSales[[#This Row],[Subtotal]]*$B$1</f>
        <v>437</v>
      </c>
      <c r="T222" s="6" t="b">
        <f>ROUND(RawSales[[#This Row],[Subtotal]],2)=ROUND(RawSales[[#This Row],[cogs]],2)</f>
        <v>1</v>
      </c>
      <c r="U222" s="6" t="b">
        <f>ROUND(RawSales[[#This Row],[cogs]]*0.05,2)=ROUND(RawSales[[#This Row],[Tax 5%]],2)</f>
        <v>1</v>
      </c>
      <c r="V222" s="6" t="b">
        <f>ROUND(RawSales[[#This Row],[cogs]]+RawSales[[#This Row],[Tax 5%]],2)=ROUND(RawSales[[#This Row],[Sales]],2)</f>
        <v>1</v>
      </c>
    </row>
    <row r="223" spans="1:22" x14ac:dyDescent="0.35">
      <c r="A223" s="4" t="s">
        <v>467</v>
      </c>
      <c r="B223" t="s">
        <v>38</v>
      </c>
      <c r="C223" t="s">
        <v>39</v>
      </c>
      <c r="D223" t="s">
        <v>22</v>
      </c>
      <c r="E223" t="s">
        <v>31</v>
      </c>
      <c r="F223" t="s">
        <v>40</v>
      </c>
      <c r="G223" s="6">
        <v>9682</v>
      </c>
      <c r="H223" s="7">
        <v>3</v>
      </c>
      <c r="I223" s="6">
        <v>1452.3</v>
      </c>
      <c r="J223" s="6">
        <v>30498.3</v>
      </c>
      <c r="K223" s="5">
        <v>43553.958333333336</v>
      </c>
      <c r="L223" s="4" t="s">
        <v>468</v>
      </c>
      <c r="M223" t="s">
        <v>26</v>
      </c>
      <c r="N223" s="6">
        <v>29046</v>
      </c>
      <c r="O223">
        <v>4.7619047620000003</v>
      </c>
      <c r="P223" s="6">
        <v>1452.3</v>
      </c>
      <c r="Q223">
        <v>6.7</v>
      </c>
      <c r="R223" s="6">
        <f>RawSales[[#This Row],[Unit price]]*RawSales[[#This Row],[Quantity]]</f>
        <v>29046</v>
      </c>
      <c r="S223" s="6">
        <f>RawSales[[#This Row],[Subtotal]]*$B$1</f>
        <v>1452.3000000000002</v>
      </c>
      <c r="T223" s="6" t="b">
        <f>ROUND(RawSales[[#This Row],[Subtotal]],2)=ROUND(RawSales[[#This Row],[cogs]],2)</f>
        <v>1</v>
      </c>
      <c r="U223" s="6" t="b">
        <f>ROUND(RawSales[[#This Row],[cogs]]*0.05,2)=ROUND(RawSales[[#This Row],[Tax 5%]],2)</f>
        <v>1</v>
      </c>
      <c r="V223" s="6" t="b">
        <f>ROUND(RawSales[[#This Row],[cogs]]+RawSales[[#This Row],[Tax 5%]],2)=ROUND(RawSales[[#This Row],[Sales]],2)</f>
        <v>1</v>
      </c>
    </row>
    <row r="224" spans="1:22" x14ac:dyDescent="0.35">
      <c r="A224" s="4" t="s">
        <v>469</v>
      </c>
      <c r="B224" t="s">
        <v>38</v>
      </c>
      <c r="C224" t="s">
        <v>39</v>
      </c>
      <c r="D224" t="s">
        <v>22</v>
      </c>
      <c r="E224" t="s">
        <v>23</v>
      </c>
      <c r="F224" t="s">
        <v>239</v>
      </c>
      <c r="G224" s="6">
        <v>6212</v>
      </c>
      <c r="H224" s="7">
        <v>10</v>
      </c>
      <c r="I224" s="6">
        <v>3106</v>
      </c>
      <c r="J224" s="6">
        <v>65226</v>
      </c>
      <c r="K224" s="5">
        <v>43506.958333333336</v>
      </c>
      <c r="L224" s="4" t="s">
        <v>470</v>
      </c>
      <c r="M224" t="s">
        <v>26</v>
      </c>
      <c r="N224" s="6">
        <v>62120</v>
      </c>
      <c r="O224">
        <v>4.7619047620000003</v>
      </c>
      <c r="P224" s="6">
        <v>3106</v>
      </c>
      <c r="Q224">
        <v>5.9</v>
      </c>
      <c r="R224" s="6">
        <f>RawSales[[#This Row],[Unit price]]*RawSales[[#This Row],[Quantity]]</f>
        <v>62120</v>
      </c>
      <c r="S224" s="6">
        <f>RawSales[[#This Row],[Subtotal]]*$B$1</f>
        <v>3106</v>
      </c>
      <c r="T224" s="6" t="b">
        <f>ROUND(RawSales[[#This Row],[Subtotal]],2)=ROUND(RawSales[[#This Row],[cogs]],2)</f>
        <v>1</v>
      </c>
      <c r="U224" s="6" t="b">
        <f>ROUND(RawSales[[#This Row],[cogs]]*0.05,2)=ROUND(RawSales[[#This Row],[Tax 5%]],2)</f>
        <v>1</v>
      </c>
      <c r="V224" s="6" t="b">
        <f>ROUND(RawSales[[#This Row],[cogs]]+RawSales[[#This Row],[Tax 5%]],2)=ROUND(RawSales[[#This Row],[Sales]],2)</f>
        <v>1</v>
      </c>
    </row>
    <row r="225" spans="1:22" x14ac:dyDescent="0.35">
      <c r="A225" s="4" t="s">
        <v>471</v>
      </c>
      <c r="B225" t="s">
        <v>20</v>
      </c>
      <c r="C225" t="s">
        <v>21</v>
      </c>
      <c r="D225" t="s">
        <v>30</v>
      </c>
      <c r="E225" t="s">
        <v>31</v>
      </c>
      <c r="F225" t="s">
        <v>24</v>
      </c>
      <c r="G225" s="6">
        <v>4579</v>
      </c>
      <c r="H225" s="7">
        <v>7</v>
      </c>
      <c r="I225" s="6">
        <v>1602.65</v>
      </c>
      <c r="J225" s="6">
        <v>33655.65</v>
      </c>
      <c r="K225" s="5">
        <v>43536.958333333336</v>
      </c>
      <c r="L225" s="4" t="s">
        <v>472</v>
      </c>
      <c r="M225" t="s">
        <v>51</v>
      </c>
      <c r="N225" s="6">
        <v>32053</v>
      </c>
      <c r="O225">
        <v>4.7619047620000003</v>
      </c>
      <c r="P225" s="6">
        <v>1602.65</v>
      </c>
      <c r="Q225">
        <v>7</v>
      </c>
      <c r="R225" s="6">
        <f>RawSales[[#This Row],[Unit price]]*RawSales[[#This Row],[Quantity]]</f>
        <v>32053</v>
      </c>
      <c r="S225" s="6">
        <f>RawSales[[#This Row],[Subtotal]]*$B$1</f>
        <v>1602.65</v>
      </c>
      <c r="T225" s="6" t="b">
        <f>ROUND(RawSales[[#This Row],[Subtotal]],2)=ROUND(RawSales[[#This Row],[cogs]],2)</f>
        <v>1</v>
      </c>
      <c r="U225" s="6" t="b">
        <f>ROUND(RawSales[[#This Row],[cogs]]*0.05,2)=ROUND(RawSales[[#This Row],[Tax 5%]],2)</f>
        <v>1</v>
      </c>
      <c r="V225" s="6" t="b">
        <f>ROUND(RawSales[[#This Row],[cogs]]+RawSales[[#This Row],[Tax 5%]],2)=ROUND(RawSales[[#This Row],[Sales]],2)</f>
        <v>1</v>
      </c>
    </row>
    <row r="226" spans="1:22" x14ac:dyDescent="0.35">
      <c r="A226" s="4" t="s">
        <v>473</v>
      </c>
      <c r="B226" t="s">
        <v>38</v>
      </c>
      <c r="C226" t="s">
        <v>39</v>
      </c>
      <c r="D226" t="s">
        <v>30</v>
      </c>
      <c r="E226" t="s">
        <v>23</v>
      </c>
      <c r="F226" t="s">
        <v>24</v>
      </c>
      <c r="G226" s="6">
        <v>1648</v>
      </c>
      <c r="H226" s="7">
        <v>6</v>
      </c>
      <c r="I226" s="6">
        <v>494.4</v>
      </c>
      <c r="J226" s="6">
        <v>10382.4</v>
      </c>
      <c r="K226" s="5">
        <v>43502.958333333336</v>
      </c>
      <c r="L226" s="4" t="s">
        <v>474</v>
      </c>
      <c r="M226" t="s">
        <v>34</v>
      </c>
      <c r="N226" s="6">
        <v>9888</v>
      </c>
      <c r="O226">
        <v>4.7619047620000003</v>
      </c>
      <c r="P226" s="6">
        <v>494.4</v>
      </c>
      <c r="Q226">
        <v>9.9</v>
      </c>
      <c r="R226" s="6">
        <f>RawSales[[#This Row],[Unit price]]*RawSales[[#This Row],[Quantity]]</f>
        <v>9888</v>
      </c>
      <c r="S226" s="6">
        <f>RawSales[[#This Row],[Subtotal]]*$B$1</f>
        <v>494.40000000000003</v>
      </c>
      <c r="T226" s="6" t="b">
        <f>ROUND(RawSales[[#This Row],[Subtotal]],2)=ROUND(RawSales[[#This Row],[cogs]],2)</f>
        <v>1</v>
      </c>
      <c r="U226" s="6" t="b">
        <f>ROUND(RawSales[[#This Row],[cogs]]*0.05,2)=ROUND(RawSales[[#This Row],[Tax 5%]],2)</f>
        <v>1</v>
      </c>
      <c r="V226" s="6" t="b">
        <f>ROUND(RawSales[[#This Row],[cogs]]+RawSales[[#This Row],[Tax 5%]],2)=ROUND(RawSales[[#This Row],[Sales]],2)</f>
        <v>1</v>
      </c>
    </row>
    <row r="227" spans="1:22" x14ac:dyDescent="0.35">
      <c r="A227" s="4" t="s">
        <v>475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s="6">
        <v>9992</v>
      </c>
      <c r="H227" s="7">
        <v>6</v>
      </c>
      <c r="I227" s="6">
        <v>2997.6</v>
      </c>
      <c r="J227" s="6">
        <v>62949.599999999999</v>
      </c>
      <c r="K227" s="5">
        <v>43547.958333333336</v>
      </c>
      <c r="L227" s="4" t="s">
        <v>476</v>
      </c>
      <c r="M227" t="s">
        <v>34</v>
      </c>
      <c r="N227" s="6">
        <v>59952</v>
      </c>
      <c r="O227">
        <v>4.7619047620000003</v>
      </c>
      <c r="P227" s="6">
        <v>2997.6</v>
      </c>
      <c r="Q227">
        <v>7.1</v>
      </c>
      <c r="R227" s="6">
        <f>RawSales[[#This Row],[Unit price]]*RawSales[[#This Row],[Quantity]]</f>
        <v>59952</v>
      </c>
      <c r="S227" s="6">
        <f>RawSales[[#This Row],[Subtotal]]*$B$1</f>
        <v>2997.6000000000004</v>
      </c>
      <c r="T227" s="6" t="b">
        <f>ROUND(RawSales[[#This Row],[Subtotal]],2)=ROUND(RawSales[[#This Row],[cogs]],2)</f>
        <v>1</v>
      </c>
      <c r="U227" s="6" t="b">
        <f>ROUND(RawSales[[#This Row],[cogs]]*0.05,2)=ROUND(RawSales[[#This Row],[Tax 5%]],2)</f>
        <v>1</v>
      </c>
      <c r="V227" s="6" t="b">
        <f>ROUND(RawSales[[#This Row],[cogs]]+RawSales[[#This Row],[Tax 5%]],2)=ROUND(RawSales[[#This Row],[Sales]],2)</f>
        <v>1</v>
      </c>
    </row>
    <row r="228" spans="1:22" x14ac:dyDescent="0.35">
      <c r="A228" s="4" t="s">
        <v>477</v>
      </c>
      <c r="B228" t="s">
        <v>20</v>
      </c>
      <c r="C228" t="s">
        <v>21</v>
      </c>
      <c r="D228" t="s">
        <v>22</v>
      </c>
      <c r="E228" t="s">
        <v>23</v>
      </c>
      <c r="F228" t="s">
        <v>32</v>
      </c>
      <c r="G228" s="6">
        <v>3442</v>
      </c>
      <c r="H228" s="7">
        <v>6</v>
      </c>
      <c r="I228" s="6">
        <v>1032.5999999999999</v>
      </c>
      <c r="J228" s="6">
        <v>21684.6</v>
      </c>
      <c r="K228" s="5">
        <v>43553.958333333336</v>
      </c>
      <c r="L228" s="4" t="s">
        <v>478</v>
      </c>
      <c r="M228" t="s">
        <v>34</v>
      </c>
      <c r="N228" s="6">
        <v>20652</v>
      </c>
      <c r="O228">
        <v>4.7619047620000003</v>
      </c>
      <c r="P228" s="6">
        <v>1032.5999999999999</v>
      </c>
      <c r="Q228">
        <v>7.5</v>
      </c>
      <c r="R228" s="6">
        <f>RawSales[[#This Row],[Unit price]]*RawSales[[#This Row],[Quantity]]</f>
        <v>20652</v>
      </c>
      <c r="S228" s="6">
        <f>RawSales[[#This Row],[Subtotal]]*$B$1</f>
        <v>1032.6000000000001</v>
      </c>
      <c r="T228" s="6" t="b">
        <f>ROUND(RawSales[[#This Row],[Subtotal]],2)=ROUND(RawSales[[#This Row],[cogs]],2)</f>
        <v>1</v>
      </c>
      <c r="U228" s="6" t="b">
        <f>ROUND(RawSales[[#This Row],[cogs]]*0.05,2)=ROUND(RawSales[[#This Row],[Tax 5%]],2)</f>
        <v>1</v>
      </c>
      <c r="V228" s="6" t="b">
        <f>ROUND(RawSales[[#This Row],[cogs]]+RawSales[[#This Row],[Tax 5%]],2)=ROUND(RawSales[[#This Row],[Sales]],2)</f>
        <v>1</v>
      </c>
    </row>
    <row r="229" spans="1:22" x14ac:dyDescent="0.35">
      <c r="A229" s="4" t="s">
        <v>479</v>
      </c>
      <c r="B229" t="s">
        <v>38</v>
      </c>
      <c r="C229" t="s">
        <v>39</v>
      </c>
      <c r="D229" t="s">
        <v>30</v>
      </c>
      <c r="E229" t="s">
        <v>31</v>
      </c>
      <c r="F229" t="s">
        <v>24</v>
      </c>
      <c r="G229" s="6">
        <v>8920</v>
      </c>
      <c r="H229" s="7">
        <v>10</v>
      </c>
      <c r="I229" s="6">
        <v>4460</v>
      </c>
      <c r="J229" s="6">
        <v>93660</v>
      </c>
      <c r="K229" s="5">
        <v>43506.958333333336</v>
      </c>
      <c r="L229" s="4" t="s">
        <v>404</v>
      </c>
      <c r="M229" t="s">
        <v>51</v>
      </c>
      <c r="N229" s="6">
        <v>89200</v>
      </c>
      <c r="O229">
        <v>4.7619047620000003</v>
      </c>
      <c r="P229" s="6">
        <v>4460</v>
      </c>
      <c r="Q229">
        <v>4.4000000000000004</v>
      </c>
      <c r="R229" s="6">
        <f>RawSales[[#This Row],[Unit price]]*RawSales[[#This Row],[Quantity]]</f>
        <v>89200</v>
      </c>
      <c r="S229" s="6">
        <f>RawSales[[#This Row],[Subtotal]]*$B$1</f>
        <v>4460</v>
      </c>
      <c r="T229" s="6" t="b">
        <f>ROUND(RawSales[[#This Row],[Subtotal]],2)=ROUND(RawSales[[#This Row],[cogs]],2)</f>
        <v>1</v>
      </c>
      <c r="U229" s="6" t="b">
        <f>ROUND(RawSales[[#This Row],[cogs]]*0.05,2)=ROUND(RawSales[[#This Row],[Tax 5%]],2)</f>
        <v>1</v>
      </c>
      <c r="V229" s="6" t="b">
        <f>ROUND(RawSales[[#This Row],[cogs]]+RawSales[[#This Row],[Tax 5%]],2)=ROUND(RawSales[[#This Row],[Sales]],2)</f>
        <v>1</v>
      </c>
    </row>
    <row r="230" spans="1:22" x14ac:dyDescent="0.35">
      <c r="A230" s="4" t="s">
        <v>480</v>
      </c>
      <c r="B230" t="s">
        <v>28</v>
      </c>
      <c r="C230" t="s">
        <v>29</v>
      </c>
      <c r="D230" t="s">
        <v>30</v>
      </c>
      <c r="E230" t="s">
        <v>23</v>
      </c>
      <c r="F230" t="s">
        <v>43</v>
      </c>
      <c r="G230" s="6">
        <v>5824</v>
      </c>
      <c r="H230" s="7">
        <v>9</v>
      </c>
      <c r="I230" s="6">
        <v>2620.8000000000002</v>
      </c>
      <c r="J230" s="6">
        <v>55036.800000000003</v>
      </c>
      <c r="K230" s="4" t="s">
        <v>481</v>
      </c>
      <c r="L230" s="4" t="s">
        <v>482</v>
      </c>
      <c r="M230" t="s">
        <v>26</v>
      </c>
      <c r="N230" s="6">
        <v>52416</v>
      </c>
      <c r="O230">
        <v>4.7619047620000003</v>
      </c>
      <c r="P230" s="6">
        <v>2620.8000000000002</v>
      </c>
      <c r="Q230">
        <v>9.6999999999999993</v>
      </c>
      <c r="R230" s="6">
        <f>RawSales[[#This Row],[Unit price]]*RawSales[[#This Row],[Quantity]]</f>
        <v>52416</v>
      </c>
      <c r="S230" s="6">
        <f>RawSales[[#This Row],[Subtotal]]*$B$1</f>
        <v>2620.8000000000002</v>
      </c>
      <c r="T230" s="6" t="b">
        <f>ROUND(RawSales[[#This Row],[Subtotal]],2)=ROUND(RawSales[[#This Row],[cogs]],2)</f>
        <v>1</v>
      </c>
      <c r="U230" s="6" t="b">
        <f>ROUND(RawSales[[#This Row],[cogs]]*0.05,2)=ROUND(RawSales[[#This Row],[Tax 5%]],2)</f>
        <v>1</v>
      </c>
      <c r="V230" s="6" t="b">
        <f>ROUND(RawSales[[#This Row],[cogs]]+RawSales[[#This Row],[Tax 5%]],2)=ROUND(RawSales[[#This Row],[Sales]],2)</f>
        <v>1</v>
      </c>
    </row>
    <row r="231" spans="1:22" x14ac:dyDescent="0.35">
      <c r="A231" s="4" t="s">
        <v>483</v>
      </c>
      <c r="B231" t="s">
        <v>38</v>
      </c>
      <c r="C231" t="s">
        <v>39</v>
      </c>
      <c r="D231" t="s">
        <v>30</v>
      </c>
      <c r="E231" t="s">
        <v>23</v>
      </c>
      <c r="F231" t="s">
        <v>32</v>
      </c>
      <c r="G231" s="6">
        <v>4401</v>
      </c>
      <c r="H231" s="7">
        <v>8</v>
      </c>
      <c r="I231" s="6">
        <v>1760.4</v>
      </c>
      <c r="J231" s="6">
        <v>36968.400000000001</v>
      </c>
      <c r="K231" s="5">
        <v>43526.958333333336</v>
      </c>
      <c r="L231" s="4" t="s">
        <v>484</v>
      </c>
      <c r="M231" t="s">
        <v>26</v>
      </c>
      <c r="N231" s="6">
        <v>35208</v>
      </c>
      <c r="O231">
        <v>4.7619047620000003</v>
      </c>
      <c r="P231" s="6">
        <v>1760.4</v>
      </c>
      <c r="Q231">
        <v>8.8000000000000007</v>
      </c>
      <c r="R231" s="6">
        <f>RawSales[[#This Row],[Unit price]]*RawSales[[#This Row],[Quantity]]</f>
        <v>35208</v>
      </c>
      <c r="S231" s="6">
        <f>RawSales[[#This Row],[Subtotal]]*$B$1</f>
        <v>1760.4</v>
      </c>
      <c r="T231" s="6" t="b">
        <f>ROUND(RawSales[[#This Row],[Subtotal]],2)=ROUND(RawSales[[#This Row],[cogs]],2)</f>
        <v>1</v>
      </c>
      <c r="U231" s="6" t="b">
        <f>ROUND(RawSales[[#This Row],[cogs]]*0.05,2)=ROUND(RawSales[[#This Row],[Tax 5%]],2)</f>
        <v>1</v>
      </c>
      <c r="V231" s="6" t="b">
        <f>ROUND(RawSales[[#This Row],[cogs]]+RawSales[[#This Row],[Tax 5%]],2)=ROUND(RawSales[[#This Row],[Sales]],2)</f>
        <v>1</v>
      </c>
    </row>
    <row r="232" spans="1:22" x14ac:dyDescent="0.35">
      <c r="A232" s="4" t="s">
        <v>485</v>
      </c>
      <c r="B232" t="s">
        <v>28</v>
      </c>
      <c r="C232" t="s">
        <v>29</v>
      </c>
      <c r="D232" t="s">
        <v>22</v>
      </c>
      <c r="E232" t="s">
        <v>23</v>
      </c>
      <c r="F232" t="s">
        <v>40</v>
      </c>
      <c r="G232" s="6">
        <v>9070</v>
      </c>
      <c r="H232" s="7">
        <v>6</v>
      </c>
      <c r="I232" s="6">
        <v>2721</v>
      </c>
      <c r="J232" s="6">
        <v>57141</v>
      </c>
      <c r="K232" s="5">
        <v>43521.958333333336</v>
      </c>
      <c r="L232" s="4" t="s">
        <v>198</v>
      </c>
      <c r="M232" t="s">
        <v>26</v>
      </c>
      <c r="N232" s="6">
        <v>54420</v>
      </c>
      <c r="O232">
        <v>4.7619047620000003</v>
      </c>
      <c r="P232" s="6">
        <v>2721</v>
      </c>
      <c r="Q232">
        <v>5.3</v>
      </c>
      <c r="R232" s="6">
        <f>RawSales[[#This Row],[Unit price]]*RawSales[[#This Row],[Quantity]]</f>
        <v>54420</v>
      </c>
      <c r="S232" s="6">
        <f>RawSales[[#This Row],[Subtotal]]*$B$1</f>
        <v>2721</v>
      </c>
      <c r="T232" s="6" t="b">
        <f>ROUND(RawSales[[#This Row],[Subtotal]],2)=ROUND(RawSales[[#This Row],[cogs]],2)</f>
        <v>1</v>
      </c>
      <c r="U232" s="6" t="b">
        <f>ROUND(RawSales[[#This Row],[cogs]]*0.05,2)=ROUND(RawSales[[#This Row],[Tax 5%]],2)</f>
        <v>1</v>
      </c>
      <c r="V232" s="6" t="b">
        <f>ROUND(RawSales[[#This Row],[cogs]]+RawSales[[#This Row],[Tax 5%]],2)=ROUND(RawSales[[#This Row],[Sales]],2)</f>
        <v>1</v>
      </c>
    </row>
    <row r="233" spans="1:22" x14ac:dyDescent="0.35">
      <c r="A233" s="4" t="s">
        <v>486</v>
      </c>
      <c r="B233" t="s">
        <v>38</v>
      </c>
      <c r="C233" t="s">
        <v>39</v>
      </c>
      <c r="D233" t="s">
        <v>22</v>
      </c>
      <c r="E233" t="s">
        <v>31</v>
      </c>
      <c r="F233" t="s">
        <v>100</v>
      </c>
      <c r="G233" s="6">
        <v>8195</v>
      </c>
      <c r="H233" s="7">
        <v>10</v>
      </c>
      <c r="I233" s="6">
        <v>4097.5</v>
      </c>
      <c r="J233" s="6">
        <v>86047.5</v>
      </c>
      <c r="K233" s="5">
        <v>43533.958333333336</v>
      </c>
      <c r="L233" s="4" t="s">
        <v>487</v>
      </c>
      <c r="M233" t="s">
        <v>51</v>
      </c>
      <c r="N233" s="6">
        <v>81950</v>
      </c>
      <c r="O233">
        <v>4.7619047620000003</v>
      </c>
      <c r="P233" s="6">
        <v>4097.5</v>
      </c>
      <c r="Q233">
        <v>6</v>
      </c>
      <c r="R233" s="6">
        <f>RawSales[[#This Row],[Unit price]]*RawSales[[#This Row],[Quantity]]</f>
        <v>81950</v>
      </c>
      <c r="S233" s="6">
        <f>RawSales[[#This Row],[Subtotal]]*$B$1</f>
        <v>4097.5</v>
      </c>
      <c r="T233" s="6" t="b">
        <f>ROUND(RawSales[[#This Row],[Subtotal]],2)=ROUND(RawSales[[#This Row],[cogs]],2)</f>
        <v>1</v>
      </c>
      <c r="U233" s="6" t="b">
        <f>ROUND(RawSales[[#This Row],[cogs]]*0.05,2)=ROUND(RawSales[[#This Row],[Tax 5%]],2)</f>
        <v>1</v>
      </c>
      <c r="V233" s="6" t="b">
        <f>ROUND(RawSales[[#This Row],[cogs]]+RawSales[[#This Row],[Tax 5%]],2)=ROUND(RawSales[[#This Row],[Sales]],2)</f>
        <v>1</v>
      </c>
    </row>
    <row r="234" spans="1:22" x14ac:dyDescent="0.35">
      <c r="A234" s="4" t="s">
        <v>488</v>
      </c>
      <c r="B234" t="s">
        <v>20</v>
      </c>
      <c r="C234" t="s">
        <v>21</v>
      </c>
      <c r="D234" t="s">
        <v>22</v>
      </c>
      <c r="E234" t="s">
        <v>23</v>
      </c>
      <c r="F234" t="s">
        <v>140</v>
      </c>
      <c r="G234" s="6">
        <v>6088</v>
      </c>
      <c r="H234" s="7">
        <v>9</v>
      </c>
      <c r="I234" s="6">
        <v>2739.6</v>
      </c>
      <c r="J234" s="6">
        <v>57531.6</v>
      </c>
      <c r="K234" s="5">
        <v>43479.958333333336</v>
      </c>
      <c r="L234" s="4" t="s">
        <v>489</v>
      </c>
      <c r="M234" t="s">
        <v>34</v>
      </c>
      <c r="N234" s="6">
        <v>54792</v>
      </c>
      <c r="O234">
        <v>4.7619047620000003</v>
      </c>
      <c r="P234" s="6">
        <v>2739.6</v>
      </c>
      <c r="Q234">
        <v>4.7</v>
      </c>
      <c r="R234" s="6">
        <f>RawSales[[#This Row],[Unit price]]*RawSales[[#This Row],[Quantity]]</f>
        <v>54792</v>
      </c>
      <c r="S234" s="6">
        <f>RawSales[[#This Row],[Subtotal]]*$B$1</f>
        <v>2739.6000000000004</v>
      </c>
      <c r="T234" s="6" t="b">
        <f>ROUND(RawSales[[#This Row],[Subtotal]],2)=ROUND(RawSales[[#This Row],[cogs]],2)</f>
        <v>1</v>
      </c>
      <c r="U234" s="6" t="b">
        <f>ROUND(RawSales[[#This Row],[cogs]]*0.05,2)=ROUND(RawSales[[#This Row],[Tax 5%]],2)</f>
        <v>1</v>
      </c>
      <c r="V234" s="6" t="b">
        <f>ROUND(RawSales[[#This Row],[cogs]]+RawSales[[#This Row],[Tax 5%]],2)=ROUND(RawSales[[#This Row],[Sales]],2)</f>
        <v>1</v>
      </c>
    </row>
    <row r="235" spans="1:22" x14ac:dyDescent="0.35">
      <c r="A235" s="4" t="s">
        <v>490</v>
      </c>
      <c r="B235" t="s">
        <v>28</v>
      </c>
      <c r="C235" t="s">
        <v>29</v>
      </c>
      <c r="D235" t="s">
        <v>30</v>
      </c>
      <c r="E235" t="s">
        <v>23</v>
      </c>
      <c r="F235" t="s">
        <v>24</v>
      </c>
      <c r="G235" s="6">
        <v>2886</v>
      </c>
      <c r="H235" s="7">
        <v>5</v>
      </c>
      <c r="I235" s="6">
        <v>721.5</v>
      </c>
      <c r="J235" s="6">
        <v>15151.5</v>
      </c>
      <c r="K235" s="5">
        <v>43486.958333333336</v>
      </c>
      <c r="L235" s="4" t="s">
        <v>491</v>
      </c>
      <c r="M235" t="s">
        <v>51</v>
      </c>
      <c r="N235" s="6">
        <v>14430</v>
      </c>
      <c r="O235">
        <v>4.7619047620000003</v>
      </c>
      <c r="P235" s="6">
        <v>721.5</v>
      </c>
      <c r="Q235">
        <v>8</v>
      </c>
      <c r="R235" s="6">
        <f>RawSales[[#This Row],[Unit price]]*RawSales[[#This Row],[Quantity]]</f>
        <v>14430</v>
      </c>
      <c r="S235" s="6">
        <f>RawSales[[#This Row],[Subtotal]]*$B$1</f>
        <v>721.5</v>
      </c>
      <c r="T235" s="6" t="b">
        <f>ROUND(RawSales[[#This Row],[Subtotal]],2)=ROUND(RawSales[[#This Row],[cogs]],2)</f>
        <v>1</v>
      </c>
      <c r="U235" s="6" t="b">
        <f>ROUND(RawSales[[#This Row],[cogs]]*0.05,2)=ROUND(RawSales[[#This Row],[Tax 5%]],2)</f>
        <v>1</v>
      </c>
      <c r="V235" s="6" t="b">
        <f>ROUND(RawSales[[#This Row],[cogs]]+RawSales[[#This Row],[Tax 5%]],2)=ROUND(RawSales[[#This Row],[Sales]],2)</f>
        <v>1</v>
      </c>
    </row>
    <row r="236" spans="1:22" x14ac:dyDescent="0.35">
      <c r="A236" s="4" t="s">
        <v>492</v>
      </c>
      <c r="B236" t="s">
        <v>38</v>
      </c>
      <c r="C236" t="s">
        <v>39</v>
      </c>
      <c r="D236" t="s">
        <v>22</v>
      </c>
      <c r="E236" t="s">
        <v>23</v>
      </c>
      <c r="F236" t="s">
        <v>49</v>
      </c>
      <c r="G236" s="6">
        <v>7338</v>
      </c>
      <c r="H236" s="7">
        <v>7</v>
      </c>
      <c r="I236" s="6">
        <v>2568.3000000000002</v>
      </c>
      <c r="J236" s="6">
        <v>53934.3</v>
      </c>
      <c r="K236" s="5">
        <v>43505.958333333336</v>
      </c>
      <c r="L236" s="4" t="s">
        <v>493</v>
      </c>
      <c r="M236" t="s">
        <v>26</v>
      </c>
      <c r="N236" s="6">
        <v>51366</v>
      </c>
      <c r="O236">
        <v>4.7619047620000003</v>
      </c>
      <c r="P236" s="6">
        <v>2568.3000000000002</v>
      </c>
      <c r="Q236">
        <v>9.5</v>
      </c>
      <c r="R236" s="6">
        <f>RawSales[[#This Row],[Unit price]]*RawSales[[#This Row],[Quantity]]</f>
        <v>51366</v>
      </c>
      <c r="S236" s="6">
        <f>RawSales[[#This Row],[Subtotal]]*$B$1</f>
        <v>2568.3000000000002</v>
      </c>
      <c r="T236" s="6" t="b">
        <f>ROUND(RawSales[[#This Row],[Subtotal]],2)=ROUND(RawSales[[#This Row],[cogs]],2)</f>
        <v>1</v>
      </c>
      <c r="U236" s="6" t="b">
        <f>ROUND(RawSales[[#This Row],[cogs]]*0.05,2)=ROUND(RawSales[[#This Row],[Tax 5%]],2)</f>
        <v>1</v>
      </c>
      <c r="V236" s="6" t="b">
        <f>ROUND(RawSales[[#This Row],[cogs]]+RawSales[[#This Row],[Tax 5%]],2)=ROUND(RawSales[[#This Row],[Sales]],2)</f>
        <v>1</v>
      </c>
    </row>
    <row r="237" spans="1:22" x14ac:dyDescent="0.35">
      <c r="A237" s="4" t="s">
        <v>494</v>
      </c>
      <c r="B237" t="s">
        <v>38</v>
      </c>
      <c r="C237" t="s">
        <v>39</v>
      </c>
      <c r="D237" t="s">
        <v>22</v>
      </c>
      <c r="E237" t="s">
        <v>31</v>
      </c>
      <c r="F237" t="s">
        <v>62</v>
      </c>
      <c r="G237" s="6">
        <v>3456</v>
      </c>
      <c r="H237" s="7">
        <v>7</v>
      </c>
      <c r="I237" s="6">
        <v>1209.5999999999999</v>
      </c>
      <c r="J237" s="6">
        <v>25401.599999999999</v>
      </c>
      <c r="K237" s="5">
        <v>43534.958333333336</v>
      </c>
      <c r="L237" s="4" t="s">
        <v>495</v>
      </c>
      <c r="M237" t="s">
        <v>51</v>
      </c>
      <c r="N237" s="6">
        <v>24192</v>
      </c>
      <c r="O237">
        <v>4.7619047620000003</v>
      </c>
      <c r="P237" s="6">
        <v>1209.5999999999999</v>
      </c>
      <c r="Q237">
        <v>7.3</v>
      </c>
      <c r="R237" s="6">
        <f>RawSales[[#This Row],[Unit price]]*RawSales[[#This Row],[Quantity]]</f>
        <v>24192</v>
      </c>
      <c r="S237" s="6">
        <f>RawSales[[#This Row],[Subtotal]]*$B$1</f>
        <v>1209.6000000000001</v>
      </c>
      <c r="T237" s="6" t="b">
        <f>ROUND(RawSales[[#This Row],[Subtotal]],2)=ROUND(RawSales[[#This Row],[cogs]],2)</f>
        <v>1</v>
      </c>
      <c r="U237" s="6" t="b">
        <f>ROUND(RawSales[[#This Row],[cogs]]*0.05,2)=ROUND(RawSales[[#This Row],[Tax 5%]],2)</f>
        <v>1</v>
      </c>
      <c r="V237" s="6" t="b">
        <f>ROUND(RawSales[[#This Row],[cogs]]+RawSales[[#This Row],[Tax 5%]],2)=ROUND(RawSales[[#This Row],[Sales]],2)</f>
        <v>1</v>
      </c>
    </row>
    <row r="238" spans="1:22" x14ac:dyDescent="0.35">
      <c r="A238" s="4" t="s">
        <v>496</v>
      </c>
      <c r="B238" t="s">
        <v>28</v>
      </c>
      <c r="C238" t="s">
        <v>29</v>
      </c>
      <c r="D238" t="s">
        <v>22</v>
      </c>
      <c r="E238" t="s">
        <v>31</v>
      </c>
      <c r="F238" t="s">
        <v>40</v>
      </c>
      <c r="G238" s="6">
        <v>3975</v>
      </c>
      <c r="H238" s="7">
        <v>1</v>
      </c>
      <c r="I238" s="6">
        <v>198.75</v>
      </c>
      <c r="J238" s="6">
        <v>4173.75</v>
      </c>
      <c r="K238" s="5">
        <v>43520.958333333336</v>
      </c>
      <c r="L238" s="4" t="s">
        <v>497</v>
      </c>
      <c r="M238" t="s">
        <v>26</v>
      </c>
      <c r="N238" s="6">
        <v>3975</v>
      </c>
      <c r="O238">
        <v>4.7619047620000003</v>
      </c>
      <c r="P238" s="6">
        <v>198.75</v>
      </c>
      <c r="Q238">
        <v>6.1</v>
      </c>
      <c r="R238" s="6">
        <f>RawSales[[#This Row],[Unit price]]*RawSales[[#This Row],[Quantity]]</f>
        <v>3975</v>
      </c>
      <c r="S238" s="6">
        <f>RawSales[[#This Row],[Subtotal]]*$B$1</f>
        <v>198.75</v>
      </c>
      <c r="T238" s="6" t="b">
        <f>ROUND(RawSales[[#This Row],[Subtotal]],2)=ROUND(RawSales[[#This Row],[cogs]],2)</f>
        <v>1</v>
      </c>
      <c r="U238" s="6" t="b">
        <f>ROUND(RawSales[[#This Row],[cogs]]*0.05,2)=ROUND(RawSales[[#This Row],[Tax 5%]],2)</f>
        <v>1</v>
      </c>
      <c r="V238" s="6" t="b">
        <f>ROUND(RawSales[[#This Row],[cogs]]+RawSales[[#This Row],[Tax 5%]],2)=ROUND(RawSales[[#This Row],[Sales]],2)</f>
        <v>1</v>
      </c>
    </row>
    <row r="239" spans="1:22" x14ac:dyDescent="0.35">
      <c r="A239" s="4" t="s">
        <v>498</v>
      </c>
      <c r="B239" t="s">
        <v>38</v>
      </c>
      <c r="C239" t="s">
        <v>39</v>
      </c>
      <c r="D239" t="s">
        <v>22</v>
      </c>
      <c r="E239" t="s">
        <v>23</v>
      </c>
      <c r="F239" t="s">
        <v>62</v>
      </c>
      <c r="G239" s="6">
        <v>4891</v>
      </c>
      <c r="H239" s="7">
        <v>5</v>
      </c>
      <c r="I239" s="6">
        <v>1222.75</v>
      </c>
      <c r="J239" s="6">
        <v>25677.75</v>
      </c>
      <c r="K239" s="5">
        <v>43532.958333333336</v>
      </c>
      <c r="L239" s="4" t="s">
        <v>499</v>
      </c>
      <c r="M239" t="s">
        <v>26</v>
      </c>
      <c r="N239" s="6">
        <v>24455</v>
      </c>
      <c r="O239">
        <v>4.7619047620000003</v>
      </c>
      <c r="P239" s="6">
        <v>1222.75</v>
      </c>
      <c r="Q239">
        <v>6.6</v>
      </c>
      <c r="R239" s="6">
        <f>RawSales[[#This Row],[Unit price]]*RawSales[[#This Row],[Quantity]]</f>
        <v>24455</v>
      </c>
      <c r="S239" s="6">
        <f>RawSales[[#This Row],[Subtotal]]*$B$1</f>
        <v>1222.75</v>
      </c>
      <c r="T239" s="6" t="b">
        <f>ROUND(RawSales[[#This Row],[Subtotal]],2)=ROUND(RawSales[[#This Row],[cogs]],2)</f>
        <v>1</v>
      </c>
      <c r="U239" s="6" t="b">
        <f>ROUND(RawSales[[#This Row],[cogs]]*0.05,2)=ROUND(RawSales[[#This Row],[Tax 5%]],2)</f>
        <v>1</v>
      </c>
      <c r="V239" s="6" t="b">
        <f>ROUND(RawSales[[#This Row],[cogs]]+RawSales[[#This Row],[Tax 5%]],2)=ROUND(RawSales[[#This Row],[Sales]],2)</f>
        <v>1</v>
      </c>
    </row>
    <row r="240" spans="1:22" x14ac:dyDescent="0.35">
      <c r="A240" s="4" t="s">
        <v>500</v>
      </c>
      <c r="B240" t="s">
        <v>28</v>
      </c>
      <c r="C240" t="s">
        <v>29</v>
      </c>
      <c r="D240" t="s">
        <v>30</v>
      </c>
      <c r="E240" t="s">
        <v>31</v>
      </c>
      <c r="F240" t="s">
        <v>40</v>
      </c>
      <c r="G240" s="6">
        <v>2838</v>
      </c>
      <c r="H240" s="7">
        <v>5</v>
      </c>
      <c r="I240" s="6">
        <v>709.5</v>
      </c>
      <c r="J240" s="6">
        <v>14899.5</v>
      </c>
      <c r="K240" s="5">
        <v>43529.958333333336</v>
      </c>
      <c r="L240" s="4" t="s">
        <v>501</v>
      </c>
      <c r="M240" t="s">
        <v>26</v>
      </c>
      <c r="N240" s="6">
        <v>14190</v>
      </c>
      <c r="O240">
        <v>4.7619047620000003</v>
      </c>
      <c r="P240" s="6">
        <v>709.5</v>
      </c>
      <c r="Q240">
        <v>9.4</v>
      </c>
      <c r="R240" s="6">
        <f>RawSales[[#This Row],[Unit price]]*RawSales[[#This Row],[Quantity]]</f>
        <v>14190</v>
      </c>
      <c r="S240" s="6">
        <f>RawSales[[#This Row],[Subtotal]]*$B$1</f>
        <v>709.5</v>
      </c>
      <c r="T240" s="6" t="b">
        <f>ROUND(RawSales[[#This Row],[Subtotal]],2)=ROUND(RawSales[[#This Row],[cogs]],2)</f>
        <v>1</v>
      </c>
      <c r="U240" s="6" t="b">
        <f>ROUND(RawSales[[#This Row],[cogs]]*0.05,2)=ROUND(RawSales[[#This Row],[Tax 5%]],2)</f>
        <v>1</v>
      </c>
      <c r="V240" s="6" t="b">
        <f>ROUND(RawSales[[#This Row],[cogs]]+RawSales[[#This Row],[Tax 5%]],2)=ROUND(RawSales[[#This Row],[Sales]],2)</f>
        <v>1</v>
      </c>
    </row>
    <row r="241" spans="1:22" x14ac:dyDescent="0.35">
      <c r="A241" s="4" t="s">
        <v>502</v>
      </c>
      <c r="B241" t="s">
        <v>28</v>
      </c>
      <c r="C241" t="s">
        <v>29</v>
      </c>
      <c r="D241" t="s">
        <v>30</v>
      </c>
      <c r="E241" t="s">
        <v>23</v>
      </c>
      <c r="F241" t="s">
        <v>43</v>
      </c>
      <c r="G241" s="6">
        <v>5581</v>
      </c>
      <c r="H241" s="7">
        <v>6</v>
      </c>
      <c r="I241" s="6">
        <v>1674.3</v>
      </c>
      <c r="J241" s="6">
        <v>35160.300000000003</v>
      </c>
      <c r="K241" s="5">
        <v>43486.958333333336</v>
      </c>
      <c r="L241" s="4" t="s">
        <v>503</v>
      </c>
      <c r="M241" t="s">
        <v>26</v>
      </c>
      <c r="N241" s="6">
        <v>33486</v>
      </c>
      <c r="O241">
        <v>4.7619047620000003</v>
      </c>
      <c r="P241" s="6">
        <v>1674.3</v>
      </c>
      <c r="Q241">
        <v>9.9</v>
      </c>
      <c r="R241" s="6">
        <f>RawSales[[#This Row],[Unit price]]*RawSales[[#This Row],[Quantity]]</f>
        <v>33486</v>
      </c>
      <c r="S241" s="6">
        <f>RawSales[[#This Row],[Subtotal]]*$B$1</f>
        <v>1674.3000000000002</v>
      </c>
      <c r="T241" s="6" t="b">
        <f>ROUND(RawSales[[#This Row],[Subtotal]],2)=ROUND(RawSales[[#This Row],[cogs]],2)</f>
        <v>1</v>
      </c>
      <c r="U241" s="6" t="b">
        <f>ROUND(RawSales[[#This Row],[cogs]]*0.05,2)=ROUND(RawSales[[#This Row],[Tax 5%]],2)</f>
        <v>1</v>
      </c>
      <c r="V241" s="6" t="b">
        <f>ROUND(RawSales[[#This Row],[cogs]]+RawSales[[#This Row],[Tax 5%]],2)=ROUND(RawSales[[#This Row],[Sales]],2)</f>
        <v>1</v>
      </c>
    </row>
    <row r="242" spans="1:22" x14ac:dyDescent="0.35">
      <c r="A242" s="4" t="s">
        <v>504</v>
      </c>
      <c r="B242" t="s">
        <v>28</v>
      </c>
      <c r="C242" t="s">
        <v>29</v>
      </c>
      <c r="D242" t="s">
        <v>22</v>
      </c>
      <c r="E242" t="s">
        <v>31</v>
      </c>
      <c r="F242" t="s">
        <v>24</v>
      </c>
      <c r="G242" s="6">
        <v>7991</v>
      </c>
      <c r="H242" s="7">
        <v>3</v>
      </c>
      <c r="I242" s="6">
        <v>1198.6500000000001</v>
      </c>
      <c r="J242" s="6">
        <v>25171.65</v>
      </c>
      <c r="K242" s="5">
        <v>43543.958333333336</v>
      </c>
      <c r="L242" s="4" t="s">
        <v>365</v>
      </c>
      <c r="M242" t="s">
        <v>51</v>
      </c>
      <c r="N242" s="6">
        <v>23973</v>
      </c>
      <c r="O242">
        <v>4.7619047620000003</v>
      </c>
      <c r="P242" s="6">
        <v>1198.6500000000001</v>
      </c>
      <c r="Q242">
        <v>5</v>
      </c>
      <c r="R242" s="6">
        <f>RawSales[[#This Row],[Unit price]]*RawSales[[#This Row],[Quantity]]</f>
        <v>23973</v>
      </c>
      <c r="S242" s="6">
        <f>RawSales[[#This Row],[Subtotal]]*$B$1</f>
        <v>1198.6500000000001</v>
      </c>
      <c r="T242" s="6" t="b">
        <f>ROUND(RawSales[[#This Row],[Subtotal]],2)=ROUND(RawSales[[#This Row],[cogs]],2)</f>
        <v>1</v>
      </c>
      <c r="U242" s="6" t="b">
        <f>ROUND(RawSales[[#This Row],[cogs]]*0.05,2)=ROUND(RawSales[[#This Row],[Tax 5%]],2)</f>
        <v>1</v>
      </c>
      <c r="V242" s="6" t="b">
        <f>ROUND(RawSales[[#This Row],[cogs]]+RawSales[[#This Row],[Tax 5%]],2)=ROUND(RawSales[[#This Row],[Sales]],2)</f>
        <v>1</v>
      </c>
    </row>
    <row r="243" spans="1:22" x14ac:dyDescent="0.35">
      <c r="A243" s="4" t="s">
        <v>505</v>
      </c>
      <c r="B243" t="s">
        <v>20</v>
      </c>
      <c r="C243" t="s">
        <v>21</v>
      </c>
      <c r="D243" t="s">
        <v>22</v>
      </c>
      <c r="E243" t="s">
        <v>31</v>
      </c>
      <c r="F243" t="s">
        <v>24</v>
      </c>
      <c r="G243" s="6">
        <v>8096</v>
      </c>
      <c r="H243" s="7">
        <v>8</v>
      </c>
      <c r="I243" s="6">
        <v>3238.4</v>
      </c>
      <c r="J243" s="6">
        <v>68006.399999999994</v>
      </c>
      <c r="K243" s="5">
        <v>43512.958333333336</v>
      </c>
      <c r="L243" s="4" t="s">
        <v>506</v>
      </c>
      <c r="M243" t="s">
        <v>51</v>
      </c>
      <c r="N243" s="6">
        <v>64768</v>
      </c>
      <c r="O243">
        <v>4.7619047620000003</v>
      </c>
      <c r="P243" s="6">
        <v>3238.4</v>
      </c>
      <c r="Q243">
        <v>7.4</v>
      </c>
      <c r="R243" s="6">
        <f>RawSales[[#This Row],[Unit price]]*RawSales[[#This Row],[Quantity]]</f>
        <v>64768</v>
      </c>
      <c r="S243" s="6">
        <f>RawSales[[#This Row],[Subtotal]]*$B$1</f>
        <v>3238.4</v>
      </c>
      <c r="T243" s="6" t="b">
        <f>ROUND(RawSales[[#This Row],[Subtotal]],2)=ROUND(RawSales[[#This Row],[cogs]],2)</f>
        <v>1</v>
      </c>
      <c r="U243" s="6" t="b">
        <f>ROUND(RawSales[[#This Row],[cogs]]*0.05,2)=ROUND(RawSales[[#This Row],[Tax 5%]],2)</f>
        <v>1</v>
      </c>
      <c r="V243" s="6" t="b">
        <f>ROUND(RawSales[[#This Row],[cogs]]+RawSales[[#This Row],[Tax 5%]],2)=ROUND(RawSales[[#This Row],[Sales]],2)</f>
        <v>1</v>
      </c>
    </row>
    <row r="244" spans="1:22" x14ac:dyDescent="0.35">
      <c r="A244" s="4" t="s">
        <v>507</v>
      </c>
      <c r="B244" t="s">
        <v>38</v>
      </c>
      <c r="C244" t="s">
        <v>39</v>
      </c>
      <c r="D244" t="s">
        <v>22</v>
      </c>
      <c r="E244" t="s">
        <v>23</v>
      </c>
      <c r="F244" t="s">
        <v>32</v>
      </c>
      <c r="G244" s="6">
        <v>6391</v>
      </c>
      <c r="H244" s="7">
        <v>8</v>
      </c>
      <c r="I244" s="6">
        <v>2556.4</v>
      </c>
      <c r="J244" s="6">
        <v>53684.4</v>
      </c>
      <c r="K244" s="5">
        <v>43536.958333333336</v>
      </c>
      <c r="L244" s="4" t="s">
        <v>508</v>
      </c>
      <c r="M244" t="s">
        <v>51</v>
      </c>
      <c r="N244" s="6">
        <v>51128</v>
      </c>
      <c r="O244">
        <v>4.7619047620000003</v>
      </c>
      <c r="P244" s="6">
        <v>2556.4</v>
      </c>
      <c r="Q244">
        <v>4.5999999999999996</v>
      </c>
      <c r="R244" s="6">
        <f>RawSales[[#This Row],[Unit price]]*RawSales[[#This Row],[Quantity]]</f>
        <v>51128</v>
      </c>
      <c r="S244" s="6">
        <f>RawSales[[#This Row],[Subtotal]]*$B$1</f>
        <v>2556.4</v>
      </c>
      <c r="T244" s="6" t="b">
        <f>ROUND(RawSales[[#This Row],[Subtotal]],2)=ROUND(RawSales[[#This Row],[cogs]],2)</f>
        <v>1</v>
      </c>
      <c r="U244" s="6" t="b">
        <f>ROUND(RawSales[[#This Row],[cogs]]*0.05,2)=ROUND(RawSales[[#This Row],[Tax 5%]],2)</f>
        <v>1</v>
      </c>
      <c r="V244" s="6" t="b">
        <f>ROUND(RawSales[[#This Row],[cogs]]+RawSales[[#This Row],[Tax 5%]],2)=ROUND(RawSales[[#This Row],[Sales]],2)</f>
        <v>1</v>
      </c>
    </row>
    <row r="245" spans="1:22" x14ac:dyDescent="0.35">
      <c r="A245" s="4" t="s">
        <v>509</v>
      </c>
      <c r="B245" t="s">
        <v>20</v>
      </c>
      <c r="C245" t="s">
        <v>21</v>
      </c>
      <c r="D245" t="s">
        <v>22</v>
      </c>
      <c r="E245" t="s">
        <v>23</v>
      </c>
      <c r="F245" t="s">
        <v>32</v>
      </c>
      <c r="G245" s="6">
        <v>3554</v>
      </c>
      <c r="H245" s="7">
        <v>10</v>
      </c>
      <c r="I245" s="6">
        <v>1777</v>
      </c>
      <c r="J245" s="6">
        <v>37317</v>
      </c>
      <c r="K245" s="5">
        <v>43468.958333333336</v>
      </c>
      <c r="L245" s="4" t="s">
        <v>510</v>
      </c>
      <c r="M245" t="s">
        <v>34</v>
      </c>
      <c r="N245" s="6">
        <v>35540</v>
      </c>
      <c r="O245">
        <v>4.7619047620000003</v>
      </c>
      <c r="P245" s="6">
        <v>1777</v>
      </c>
      <c r="Q245">
        <v>7</v>
      </c>
      <c r="R245" s="6">
        <f>RawSales[[#This Row],[Unit price]]*RawSales[[#This Row],[Quantity]]</f>
        <v>35540</v>
      </c>
      <c r="S245" s="6">
        <f>RawSales[[#This Row],[Subtotal]]*$B$1</f>
        <v>1777</v>
      </c>
      <c r="T245" s="6" t="b">
        <f>ROUND(RawSales[[#This Row],[Subtotal]],2)=ROUND(RawSales[[#This Row],[cogs]],2)</f>
        <v>1</v>
      </c>
      <c r="U245" s="6" t="b">
        <f>ROUND(RawSales[[#This Row],[cogs]]*0.05,2)=ROUND(RawSales[[#This Row],[Tax 5%]],2)</f>
        <v>1</v>
      </c>
      <c r="V245" s="6" t="b">
        <f>ROUND(RawSales[[#This Row],[cogs]]+RawSales[[#This Row],[Tax 5%]],2)=ROUND(RawSales[[#This Row],[Sales]],2)</f>
        <v>1</v>
      </c>
    </row>
    <row r="246" spans="1:22" x14ac:dyDescent="0.35">
      <c r="A246" s="4" t="s">
        <v>511</v>
      </c>
      <c r="B246" t="s">
        <v>20</v>
      </c>
      <c r="C246" t="s">
        <v>21</v>
      </c>
      <c r="D246" t="s">
        <v>22</v>
      </c>
      <c r="E246" t="s">
        <v>23</v>
      </c>
      <c r="F246" t="s">
        <v>24</v>
      </c>
      <c r="G246" s="6">
        <v>1423</v>
      </c>
      <c r="H246" s="7">
        <v>5</v>
      </c>
      <c r="I246" s="6">
        <v>355.75</v>
      </c>
      <c r="J246" s="6">
        <v>7470.75</v>
      </c>
      <c r="K246" s="5">
        <v>43496.958333333336</v>
      </c>
      <c r="L246" s="4" t="s">
        <v>512</v>
      </c>
      <c r="M246" t="s">
        <v>51</v>
      </c>
      <c r="N246" s="6">
        <v>7115</v>
      </c>
      <c r="O246">
        <v>4.7619047620000003</v>
      </c>
      <c r="P246" s="6">
        <v>355.75</v>
      </c>
      <c r="Q246">
        <v>4.4000000000000004</v>
      </c>
      <c r="R246" s="6">
        <f>RawSales[[#This Row],[Unit price]]*RawSales[[#This Row],[Quantity]]</f>
        <v>7115</v>
      </c>
      <c r="S246" s="6">
        <f>RawSales[[#This Row],[Subtotal]]*$B$1</f>
        <v>355.75</v>
      </c>
      <c r="T246" s="6" t="b">
        <f>ROUND(RawSales[[#This Row],[Subtotal]],2)=ROUND(RawSales[[#This Row],[cogs]],2)</f>
        <v>1</v>
      </c>
      <c r="U246" s="6" t="b">
        <f>ROUND(RawSales[[#This Row],[cogs]]*0.05,2)=ROUND(RawSales[[#This Row],[Tax 5%]],2)</f>
        <v>1</v>
      </c>
      <c r="V246" s="6" t="b">
        <f>ROUND(RawSales[[#This Row],[cogs]]+RawSales[[#This Row],[Tax 5%]],2)=ROUND(RawSales[[#This Row],[Sales]],2)</f>
        <v>1</v>
      </c>
    </row>
    <row r="247" spans="1:22" x14ac:dyDescent="0.35">
      <c r="A247" s="4" t="s">
        <v>513</v>
      </c>
      <c r="B247" t="s">
        <v>38</v>
      </c>
      <c r="C247" t="s">
        <v>39</v>
      </c>
      <c r="D247" t="s">
        <v>30</v>
      </c>
      <c r="E247" t="s">
        <v>23</v>
      </c>
      <c r="F247" t="s">
        <v>40</v>
      </c>
      <c r="G247" s="6">
        <v>5132</v>
      </c>
      <c r="H247" s="7">
        <v>9</v>
      </c>
      <c r="I247" s="6">
        <v>2309.4</v>
      </c>
      <c r="J247" s="6">
        <v>48497.4</v>
      </c>
      <c r="K247" s="5">
        <v>43537.958333333336</v>
      </c>
      <c r="L247" s="4" t="s">
        <v>514</v>
      </c>
      <c r="M247" t="s">
        <v>26</v>
      </c>
      <c r="N247" s="6">
        <v>46188</v>
      </c>
      <c r="O247">
        <v>4.7619047620000003</v>
      </c>
      <c r="P247" s="6">
        <v>2309.4</v>
      </c>
      <c r="Q247">
        <v>5.6</v>
      </c>
      <c r="R247" s="6">
        <f>RawSales[[#This Row],[Unit price]]*RawSales[[#This Row],[Quantity]]</f>
        <v>46188</v>
      </c>
      <c r="S247" s="6">
        <f>RawSales[[#This Row],[Subtotal]]*$B$1</f>
        <v>2309.4</v>
      </c>
      <c r="T247" s="6" t="b">
        <f>ROUND(RawSales[[#This Row],[Subtotal]],2)=ROUND(RawSales[[#This Row],[cogs]],2)</f>
        <v>1</v>
      </c>
      <c r="U247" s="6" t="b">
        <f>ROUND(RawSales[[#This Row],[cogs]]*0.05,2)=ROUND(RawSales[[#This Row],[Tax 5%]],2)</f>
        <v>1</v>
      </c>
      <c r="V247" s="6" t="b">
        <f>ROUND(RawSales[[#This Row],[cogs]]+RawSales[[#This Row],[Tax 5%]],2)=ROUND(RawSales[[#This Row],[Sales]],2)</f>
        <v>1</v>
      </c>
    </row>
    <row r="248" spans="1:22" x14ac:dyDescent="0.35">
      <c r="A248" s="4" t="s">
        <v>515</v>
      </c>
      <c r="B248" t="s">
        <v>38</v>
      </c>
      <c r="C248" t="s">
        <v>39</v>
      </c>
      <c r="D248" t="s">
        <v>22</v>
      </c>
      <c r="E248" t="s">
        <v>23</v>
      </c>
      <c r="F248" t="s">
        <v>24</v>
      </c>
      <c r="G248" s="6">
        <v>3398</v>
      </c>
      <c r="H248" s="7">
        <v>9</v>
      </c>
      <c r="I248" s="6">
        <v>1529.1</v>
      </c>
      <c r="J248" s="6">
        <v>32111.1</v>
      </c>
      <c r="K248" s="4" t="s">
        <v>516</v>
      </c>
      <c r="L248" s="4" t="s">
        <v>75</v>
      </c>
      <c r="M248" t="s">
        <v>26</v>
      </c>
      <c r="N248" s="6">
        <v>30582</v>
      </c>
      <c r="O248">
        <v>4.7619047620000003</v>
      </c>
      <c r="P248" s="6">
        <v>1529.1</v>
      </c>
      <c r="Q248">
        <v>4.2</v>
      </c>
      <c r="R248" s="6">
        <f>RawSales[[#This Row],[Unit price]]*RawSales[[#This Row],[Quantity]]</f>
        <v>30582</v>
      </c>
      <c r="S248" s="6">
        <f>RawSales[[#This Row],[Subtotal]]*$B$1</f>
        <v>1529.1000000000001</v>
      </c>
      <c r="T248" s="6" t="b">
        <f>ROUND(RawSales[[#This Row],[Subtotal]],2)=ROUND(RawSales[[#This Row],[cogs]],2)</f>
        <v>1</v>
      </c>
      <c r="U248" s="6" t="b">
        <f>ROUND(RawSales[[#This Row],[cogs]]*0.05,2)=ROUND(RawSales[[#This Row],[Tax 5%]],2)</f>
        <v>1</v>
      </c>
      <c r="V248" s="6" t="b">
        <f>ROUND(RawSales[[#This Row],[cogs]]+RawSales[[#This Row],[Tax 5%]],2)=ROUND(RawSales[[#This Row],[Sales]],2)</f>
        <v>1</v>
      </c>
    </row>
    <row r="249" spans="1:22" x14ac:dyDescent="0.35">
      <c r="A249" s="4" t="s">
        <v>517</v>
      </c>
      <c r="B249" t="s">
        <v>20</v>
      </c>
      <c r="C249" t="s">
        <v>21</v>
      </c>
      <c r="D249" t="s">
        <v>22</v>
      </c>
      <c r="E249" t="s">
        <v>31</v>
      </c>
      <c r="F249" t="s">
        <v>32</v>
      </c>
      <c r="G249" s="6">
        <v>5330</v>
      </c>
      <c r="H249" s="7">
        <v>3</v>
      </c>
      <c r="I249" s="6">
        <v>799.5</v>
      </c>
      <c r="J249" s="6">
        <v>16789.5</v>
      </c>
      <c r="K249" s="5">
        <v>43489.958333333336</v>
      </c>
      <c r="L249" s="4" t="s">
        <v>204</v>
      </c>
      <c r="M249" t="s">
        <v>34</v>
      </c>
      <c r="N249" s="6">
        <v>15990</v>
      </c>
      <c r="O249">
        <v>4.7619047620000003</v>
      </c>
      <c r="P249" s="6">
        <v>799.5</v>
      </c>
      <c r="Q249">
        <v>7.5</v>
      </c>
      <c r="R249" s="6">
        <f>RawSales[[#This Row],[Unit price]]*RawSales[[#This Row],[Quantity]]</f>
        <v>15990</v>
      </c>
      <c r="S249" s="6">
        <f>RawSales[[#This Row],[Subtotal]]*$B$1</f>
        <v>799.5</v>
      </c>
      <c r="T249" s="6" t="b">
        <f>ROUND(RawSales[[#This Row],[Subtotal]],2)=ROUND(RawSales[[#This Row],[cogs]],2)</f>
        <v>1</v>
      </c>
      <c r="U249" s="6" t="b">
        <f>ROUND(RawSales[[#This Row],[cogs]]*0.05,2)=ROUND(RawSales[[#This Row],[Tax 5%]],2)</f>
        <v>1</v>
      </c>
      <c r="V249" s="6" t="b">
        <f>ROUND(RawSales[[#This Row],[cogs]]+RawSales[[#This Row],[Tax 5%]],2)=ROUND(RawSales[[#This Row],[Sales]],2)</f>
        <v>1</v>
      </c>
    </row>
    <row r="250" spans="1:22" x14ac:dyDescent="0.35">
      <c r="A250" s="4" t="s">
        <v>518</v>
      </c>
      <c r="B250" t="s">
        <v>28</v>
      </c>
      <c r="C250" t="s">
        <v>29</v>
      </c>
      <c r="D250" t="s">
        <v>30</v>
      </c>
      <c r="E250" t="s">
        <v>23</v>
      </c>
      <c r="F250" t="s">
        <v>49</v>
      </c>
      <c r="G250" s="6">
        <v>4744</v>
      </c>
      <c r="H250" s="7">
        <v>1</v>
      </c>
      <c r="I250" s="6">
        <v>237.2</v>
      </c>
      <c r="J250" s="6">
        <v>4981.2</v>
      </c>
      <c r="K250" s="5">
        <v>43517.958333333336</v>
      </c>
      <c r="L250" s="4" t="s">
        <v>354</v>
      </c>
      <c r="M250" t="s">
        <v>51</v>
      </c>
      <c r="N250" s="6">
        <v>4744</v>
      </c>
      <c r="O250">
        <v>4.7619047620000003</v>
      </c>
      <c r="P250" s="6">
        <v>237.2</v>
      </c>
      <c r="Q250">
        <v>6.8</v>
      </c>
      <c r="R250" s="6">
        <f>RawSales[[#This Row],[Unit price]]*RawSales[[#This Row],[Quantity]]</f>
        <v>4744</v>
      </c>
      <c r="S250" s="6">
        <f>RawSales[[#This Row],[Subtotal]]*$B$1</f>
        <v>237.20000000000002</v>
      </c>
      <c r="T250" s="6" t="b">
        <f>ROUND(RawSales[[#This Row],[Subtotal]],2)=ROUND(RawSales[[#This Row],[cogs]],2)</f>
        <v>1</v>
      </c>
      <c r="U250" s="6" t="b">
        <f>ROUND(RawSales[[#This Row],[cogs]]*0.05,2)=ROUND(RawSales[[#This Row],[Tax 5%]],2)</f>
        <v>1</v>
      </c>
      <c r="V250" s="6" t="b">
        <f>ROUND(RawSales[[#This Row],[cogs]]+RawSales[[#This Row],[Tax 5%]],2)=ROUND(RawSales[[#This Row],[Sales]],2)</f>
        <v>1</v>
      </c>
    </row>
    <row r="251" spans="1:22" x14ac:dyDescent="0.35">
      <c r="A251" s="4" t="s">
        <v>519</v>
      </c>
      <c r="B251" t="s">
        <v>20</v>
      </c>
      <c r="C251" t="s">
        <v>21</v>
      </c>
      <c r="D251" t="s">
        <v>30</v>
      </c>
      <c r="E251" t="s">
        <v>23</v>
      </c>
      <c r="F251" t="s">
        <v>32</v>
      </c>
      <c r="G251" s="6">
        <v>3330</v>
      </c>
      <c r="H251" s="7">
        <v>9</v>
      </c>
      <c r="I251" s="6">
        <v>1498.5</v>
      </c>
      <c r="J251" s="6">
        <v>31468.5</v>
      </c>
      <c r="K251" s="5">
        <v>43527.958333333336</v>
      </c>
      <c r="L251" s="4" t="s">
        <v>402</v>
      </c>
      <c r="M251" t="s">
        <v>34</v>
      </c>
      <c r="N251" s="6">
        <v>29970</v>
      </c>
      <c r="O251">
        <v>4.7619047620000003</v>
      </c>
      <c r="P251" s="6">
        <v>1498.5</v>
      </c>
      <c r="Q251">
        <v>7.2</v>
      </c>
      <c r="R251" s="6">
        <f>RawSales[[#This Row],[Unit price]]*RawSales[[#This Row],[Quantity]]</f>
        <v>29970</v>
      </c>
      <c r="S251" s="6">
        <f>RawSales[[#This Row],[Subtotal]]*$B$1</f>
        <v>1498.5</v>
      </c>
      <c r="T251" s="6" t="b">
        <f>ROUND(RawSales[[#This Row],[Subtotal]],2)=ROUND(RawSales[[#This Row],[cogs]],2)</f>
        <v>1</v>
      </c>
      <c r="U251" s="6" t="b">
        <f>ROUND(RawSales[[#This Row],[cogs]]*0.05,2)=ROUND(RawSales[[#This Row],[Tax 5%]],2)</f>
        <v>1</v>
      </c>
      <c r="V251" s="6" t="b">
        <f>ROUND(RawSales[[#This Row],[cogs]]+RawSales[[#This Row],[Tax 5%]],2)=ROUND(RawSales[[#This Row],[Sales]],2)</f>
        <v>1</v>
      </c>
    </row>
    <row r="252" spans="1:22" x14ac:dyDescent="0.35">
      <c r="A252" s="4" t="s">
        <v>520</v>
      </c>
      <c r="B252" t="s">
        <v>28</v>
      </c>
      <c r="C252" t="s">
        <v>29</v>
      </c>
      <c r="D252" t="s">
        <v>22</v>
      </c>
      <c r="E252" t="s">
        <v>31</v>
      </c>
      <c r="F252" t="s">
        <v>49</v>
      </c>
      <c r="G252" s="6">
        <v>8377</v>
      </c>
      <c r="H252" s="7">
        <v>2</v>
      </c>
      <c r="I252" s="6">
        <v>837.7</v>
      </c>
      <c r="J252" s="6">
        <v>17591.7</v>
      </c>
      <c r="K252" s="5">
        <v>43519.958333333336</v>
      </c>
      <c r="L252" s="4" t="s">
        <v>107</v>
      </c>
      <c r="M252" t="s">
        <v>26</v>
      </c>
      <c r="N252" s="6">
        <v>16754</v>
      </c>
      <c r="O252">
        <v>4.7619047620000003</v>
      </c>
      <c r="P252" s="6">
        <v>837.7</v>
      </c>
      <c r="Q252">
        <v>4.5999999999999996</v>
      </c>
      <c r="R252" s="6">
        <f>RawSales[[#This Row],[Unit price]]*RawSales[[#This Row],[Quantity]]</f>
        <v>16754</v>
      </c>
      <c r="S252" s="6">
        <f>RawSales[[#This Row],[Subtotal]]*$B$1</f>
        <v>837.7</v>
      </c>
      <c r="T252" s="6" t="b">
        <f>ROUND(RawSales[[#This Row],[Subtotal]],2)=ROUND(RawSales[[#This Row],[cogs]],2)</f>
        <v>1</v>
      </c>
      <c r="U252" s="6" t="b">
        <f>ROUND(RawSales[[#This Row],[cogs]]*0.05,2)=ROUND(RawSales[[#This Row],[Tax 5%]],2)</f>
        <v>1</v>
      </c>
      <c r="V252" s="6" t="b">
        <f>ROUND(RawSales[[#This Row],[cogs]]+RawSales[[#This Row],[Tax 5%]],2)=ROUND(RawSales[[#This Row],[Sales]],2)</f>
        <v>1</v>
      </c>
    </row>
    <row r="253" spans="1:22" x14ac:dyDescent="0.35">
      <c r="A253" s="4" t="s">
        <v>521</v>
      </c>
      <c r="B253" t="s">
        <v>20</v>
      </c>
      <c r="C253" t="s">
        <v>21</v>
      </c>
      <c r="D253" t="s">
        <v>22</v>
      </c>
      <c r="E253" t="s">
        <v>31</v>
      </c>
      <c r="F253" t="s">
        <v>49</v>
      </c>
      <c r="G253" s="6">
        <v>1970</v>
      </c>
      <c r="H253" s="7">
        <v>1</v>
      </c>
      <c r="I253" s="6">
        <v>98.5</v>
      </c>
      <c r="J253" s="6">
        <v>2068.5</v>
      </c>
      <c r="K253" s="5">
        <v>43503.958333333336</v>
      </c>
      <c r="L253" s="4" t="s">
        <v>63</v>
      </c>
      <c r="M253" t="s">
        <v>34</v>
      </c>
      <c r="N253" s="6">
        <v>1970</v>
      </c>
      <c r="O253">
        <v>4.7619047620000003</v>
      </c>
      <c r="P253" s="6">
        <v>98.5</v>
      </c>
      <c r="Q253">
        <v>9.5</v>
      </c>
      <c r="R253" s="6">
        <f>RawSales[[#This Row],[Unit price]]*RawSales[[#This Row],[Quantity]]</f>
        <v>1970</v>
      </c>
      <c r="S253" s="6">
        <f>RawSales[[#This Row],[Subtotal]]*$B$1</f>
        <v>98.5</v>
      </c>
      <c r="T253" s="6" t="b">
        <f>ROUND(RawSales[[#This Row],[Subtotal]],2)=ROUND(RawSales[[#This Row],[cogs]],2)</f>
        <v>1</v>
      </c>
      <c r="U253" s="6" t="b">
        <f>ROUND(RawSales[[#This Row],[cogs]]*0.05,2)=ROUND(RawSales[[#This Row],[Tax 5%]],2)</f>
        <v>1</v>
      </c>
      <c r="V253" s="6" t="b">
        <f>ROUND(RawSales[[#This Row],[cogs]]+RawSales[[#This Row],[Tax 5%]],2)=ROUND(RawSales[[#This Row],[Sales]],2)</f>
        <v>1</v>
      </c>
    </row>
    <row r="254" spans="1:22" x14ac:dyDescent="0.35">
      <c r="A254" s="4" t="s">
        <v>522</v>
      </c>
      <c r="B254" t="s">
        <v>20</v>
      </c>
      <c r="C254" t="s">
        <v>21</v>
      </c>
      <c r="D254" t="s">
        <v>22</v>
      </c>
      <c r="E254" t="s">
        <v>31</v>
      </c>
      <c r="F254" t="s">
        <v>32</v>
      </c>
      <c r="G254" s="6">
        <v>6356</v>
      </c>
      <c r="H254" s="7">
        <v>10</v>
      </c>
      <c r="I254" s="6">
        <v>3178</v>
      </c>
      <c r="J254" s="6">
        <v>66738</v>
      </c>
      <c r="K254" s="5">
        <v>43480.958333333336</v>
      </c>
      <c r="L254" s="4" t="s">
        <v>523</v>
      </c>
      <c r="M254" t="s">
        <v>26</v>
      </c>
      <c r="N254" s="6">
        <v>63560</v>
      </c>
      <c r="O254">
        <v>4.7619047620000003</v>
      </c>
      <c r="P254" s="6">
        <v>3178</v>
      </c>
      <c r="Q254">
        <v>4.3</v>
      </c>
      <c r="R254" s="6">
        <f>RawSales[[#This Row],[Unit price]]*RawSales[[#This Row],[Quantity]]</f>
        <v>63560</v>
      </c>
      <c r="S254" s="6">
        <f>RawSales[[#This Row],[Subtotal]]*$B$1</f>
        <v>3178</v>
      </c>
      <c r="T254" s="6" t="b">
        <f>ROUND(RawSales[[#This Row],[Subtotal]],2)=ROUND(RawSales[[#This Row],[cogs]],2)</f>
        <v>1</v>
      </c>
      <c r="U254" s="6" t="b">
        <f>ROUND(RawSales[[#This Row],[cogs]]*0.05,2)=ROUND(RawSales[[#This Row],[Tax 5%]],2)</f>
        <v>1</v>
      </c>
      <c r="V254" s="6" t="b">
        <f>ROUND(RawSales[[#This Row],[cogs]]+RawSales[[#This Row],[Tax 5%]],2)=ROUND(RawSales[[#This Row],[Sales]],2)</f>
        <v>1</v>
      </c>
    </row>
    <row r="255" spans="1:22" x14ac:dyDescent="0.35">
      <c r="A255" s="4" t="s">
        <v>524</v>
      </c>
      <c r="B255" t="s">
        <v>38</v>
      </c>
      <c r="C255" t="s">
        <v>39</v>
      </c>
      <c r="D255" t="s">
        <v>22</v>
      </c>
      <c r="E255" t="s">
        <v>23</v>
      </c>
      <c r="F255" t="s">
        <v>24</v>
      </c>
      <c r="G255" s="6">
        <v>3860</v>
      </c>
      <c r="H255" s="7">
        <v>3</v>
      </c>
      <c r="I255" s="6">
        <v>579</v>
      </c>
      <c r="J255" s="6">
        <v>12159</v>
      </c>
      <c r="K255" s="5">
        <v>43551.958333333336</v>
      </c>
      <c r="L255" s="4" t="s">
        <v>525</v>
      </c>
      <c r="M255" t="s">
        <v>34</v>
      </c>
      <c r="N255" s="6">
        <v>11580</v>
      </c>
      <c r="O255">
        <v>4.7619047620000003</v>
      </c>
      <c r="P255" s="6">
        <v>579</v>
      </c>
      <c r="Q255">
        <v>7.5</v>
      </c>
      <c r="R255" s="6">
        <f>RawSales[[#This Row],[Unit price]]*RawSales[[#This Row],[Quantity]]</f>
        <v>11580</v>
      </c>
      <c r="S255" s="6">
        <f>RawSales[[#This Row],[Subtotal]]*$B$1</f>
        <v>579</v>
      </c>
      <c r="T255" s="6" t="b">
        <f>ROUND(RawSales[[#This Row],[Subtotal]],2)=ROUND(RawSales[[#This Row],[cogs]],2)</f>
        <v>1</v>
      </c>
      <c r="U255" s="6" t="b">
        <f>ROUND(RawSales[[#This Row],[cogs]]*0.05,2)=ROUND(RawSales[[#This Row],[Tax 5%]],2)</f>
        <v>1</v>
      </c>
      <c r="V255" s="6" t="b">
        <f>ROUND(RawSales[[#This Row],[cogs]]+RawSales[[#This Row],[Tax 5%]],2)=ROUND(RawSales[[#This Row],[Sales]],2)</f>
        <v>1</v>
      </c>
    </row>
    <row r="256" spans="1:22" x14ac:dyDescent="0.35">
      <c r="A256" s="4" t="s">
        <v>526</v>
      </c>
      <c r="B256" t="s">
        <v>28</v>
      </c>
      <c r="C256" t="s">
        <v>29</v>
      </c>
      <c r="D256" t="s">
        <v>30</v>
      </c>
      <c r="E256" t="s">
        <v>31</v>
      </c>
      <c r="F256" t="s">
        <v>62</v>
      </c>
      <c r="G256" s="6">
        <v>1369</v>
      </c>
      <c r="H256" s="7">
        <v>6</v>
      </c>
      <c r="I256" s="6">
        <v>410.7</v>
      </c>
      <c r="J256" s="6">
        <v>8624.7000000000007</v>
      </c>
      <c r="K256" s="5">
        <v>43508.958333333336</v>
      </c>
      <c r="L256" s="4" t="s">
        <v>527</v>
      </c>
      <c r="M256" t="s">
        <v>26</v>
      </c>
      <c r="N256" s="6">
        <v>8214</v>
      </c>
      <c r="O256">
        <v>4.7619047620000003</v>
      </c>
      <c r="P256" s="6">
        <v>410.7</v>
      </c>
      <c r="Q256">
        <v>6.3</v>
      </c>
      <c r="R256" s="6">
        <f>RawSales[[#This Row],[Unit price]]*RawSales[[#This Row],[Quantity]]</f>
        <v>8214</v>
      </c>
      <c r="S256" s="6">
        <f>RawSales[[#This Row],[Subtotal]]*$B$1</f>
        <v>410.70000000000005</v>
      </c>
      <c r="T256" s="6" t="b">
        <f>ROUND(RawSales[[#This Row],[Subtotal]],2)=ROUND(RawSales[[#This Row],[cogs]],2)</f>
        <v>1</v>
      </c>
      <c r="U256" s="6" t="b">
        <f>ROUND(RawSales[[#This Row],[cogs]]*0.05,2)=ROUND(RawSales[[#This Row],[Tax 5%]],2)</f>
        <v>1</v>
      </c>
      <c r="V256" s="6" t="b">
        <f>ROUND(RawSales[[#This Row],[cogs]]+RawSales[[#This Row],[Tax 5%]],2)=ROUND(RawSales[[#This Row],[Sales]],2)</f>
        <v>1</v>
      </c>
    </row>
    <row r="257" spans="1:22" x14ac:dyDescent="0.35">
      <c r="A257" s="4" t="s">
        <v>528</v>
      </c>
      <c r="B257" t="s">
        <v>38</v>
      </c>
      <c r="C257" t="s">
        <v>39</v>
      </c>
      <c r="D257" t="s">
        <v>22</v>
      </c>
      <c r="E257" t="s">
        <v>23</v>
      </c>
      <c r="F257" t="s">
        <v>49</v>
      </c>
      <c r="G257" s="6">
        <v>9249</v>
      </c>
      <c r="H257" s="7">
        <v>5</v>
      </c>
      <c r="I257" s="6">
        <v>2312.25</v>
      </c>
      <c r="J257" s="6">
        <v>48557.25</v>
      </c>
      <c r="K257" s="5">
        <v>43525.958333333336</v>
      </c>
      <c r="L257" s="4" t="s">
        <v>529</v>
      </c>
      <c r="M257" t="s">
        <v>51</v>
      </c>
      <c r="N257" s="6">
        <v>46245</v>
      </c>
      <c r="O257">
        <v>4.7619047620000003</v>
      </c>
      <c r="P257" s="6">
        <v>2312.25</v>
      </c>
      <c r="Q257">
        <v>8.6</v>
      </c>
      <c r="R257" s="6">
        <f>RawSales[[#This Row],[Unit price]]*RawSales[[#This Row],[Quantity]]</f>
        <v>46245</v>
      </c>
      <c r="S257" s="6">
        <f>RawSales[[#This Row],[Subtotal]]*$B$1</f>
        <v>2312.25</v>
      </c>
      <c r="T257" s="6" t="b">
        <f>ROUND(RawSales[[#This Row],[Subtotal]],2)=ROUND(RawSales[[#This Row],[cogs]],2)</f>
        <v>1</v>
      </c>
      <c r="U257" s="6" t="b">
        <f>ROUND(RawSales[[#This Row],[cogs]]*0.05,2)=ROUND(RawSales[[#This Row],[Tax 5%]],2)</f>
        <v>1</v>
      </c>
      <c r="V257" s="6" t="b">
        <f>ROUND(RawSales[[#This Row],[cogs]]+RawSales[[#This Row],[Tax 5%]],2)=ROUND(RawSales[[#This Row],[Sales]],2)</f>
        <v>1</v>
      </c>
    </row>
    <row r="258" spans="1:22" x14ac:dyDescent="0.35">
      <c r="A258" s="4" t="s">
        <v>530</v>
      </c>
      <c r="B258" t="s">
        <v>20</v>
      </c>
      <c r="C258" t="s">
        <v>21</v>
      </c>
      <c r="D258" t="s">
        <v>22</v>
      </c>
      <c r="E258" t="s">
        <v>31</v>
      </c>
      <c r="F258" t="s">
        <v>24</v>
      </c>
      <c r="G258" s="6">
        <v>4850</v>
      </c>
      <c r="H258" s="7">
        <v>6</v>
      </c>
      <c r="I258" s="6">
        <v>1455</v>
      </c>
      <c r="J258" s="6">
        <v>30555</v>
      </c>
      <c r="K258" s="5">
        <v>43475.958333333336</v>
      </c>
      <c r="L258" s="4" t="s">
        <v>525</v>
      </c>
      <c r="M258" t="s">
        <v>34</v>
      </c>
      <c r="N258" s="6">
        <v>29100</v>
      </c>
      <c r="O258">
        <v>4.7619047620000003</v>
      </c>
      <c r="P258" s="6">
        <v>1455</v>
      </c>
      <c r="Q258">
        <v>9.4</v>
      </c>
      <c r="R258" s="6">
        <f>RawSales[[#This Row],[Unit price]]*RawSales[[#This Row],[Quantity]]</f>
        <v>29100</v>
      </c>
      <c r="S258" s="6">
        <f>RawSales[[#This Row],[Subtotal]]*$B$1</f>
        <v>1455</v>
      </c>
      <c r="T258" s="6" t="b">
        <f>ROUND(RawSales[[#This Row],[Subtotal]],2)=ROUND(RawSales[[#This Row],[cogs]],2)</f>
        <v>1</v>
      </c>
      <c r="U258" s="6" t="b">
        <f>ROUND(RawSales[[#This Row],[cogs]]*0.05,2)=ROUND(RawSales[[#This Row],[Tax 5%]],2)</f>
        <v>1</v>
      </c>
      <c r="V258" s="6" t="b">
        <f>ROUND(RawSales[[#This Row],[cogs]]+RawSales[[#This Row],[Tax 5%]],2)=ROUND(RawSales[[#This Row],[Sales]],2)</f>
        <v>1</v>
      </c>
    </row>
    <row r="259" spans="1:22" x14ac:dyDescent="0.35">
      <c r="A259" s="4" t="s">
        <v>531</v>
      </c>
      <c r="B259" t="s">
        <v>20</v>
      </c>
      <c r="C259" t="s">
        <v>21</v>
      </c>
      <c r="D259" t="s">
        <v>30</v>
      </c>
      <c r="E259" t="s">
        <v>23</v>
      </c>
      <c r="F259" t="s">
        <v>140</v>
      </c>
      <c r="G259" s="6">
        <v>4026</v>
      </c>
      <c r="H259" s="7">
        <v>10</v>
      </c>
      <c r="I259" s="6">
        <v>2013</v>
      </c>
      <c r="J259" s="6">
        <v>42273</v>
      </c>
      <c r="K259" s="5">
        <v>43519.958333333336</v>
      </c>
      <c r="L259" s="4" t="s">
        <v>532</v>
      </c>
      <c r="M259" t="s">
        <v>51</v>
      </c>
      <c r="N259" s="6">
        <v>40260</v>
      </c>
      <c r="O259">
        <v>4.7619047620000003</v>
      </c>
      <c r="P259" s="6">
        <v>2013</v>
      </c>
      <c r="Q259">
        <v>5</v>
      </c>
      <c r="R259" s="6">
        <f>RawSales[[#This Row],[Unit price]]*RawSales[[#This Row],[Quantity]]</f>
        <v>40260</v>
      </c>
      <c r="S259" s="6">
        <f>RawSales[[#This Row],[Subtotal]]*$B$1</f>
        <v>2013</v>
      </c>
      <c r="T259" s="6" t="b">
        <f>ROUND(RawSales[[#This Row],[Subtotal]],2)=ROUND(RawSales[[#This Row],[cogs]],2)</f>
        <v>1</v>
      </c>
      <c r="U259" s="6" t="b">
        <f>ROUND(RawSales[[#This Row],[cogs]]*0.05,2)=ROUND(RawSales[[#This Row],[Tax 5%]],2)</f>
        <v>1</v>
      </c>
      <c r="V259" s="6" t="b">
        <f>ROUND(RawSales[[#This Row],[cogs]]+RawSales[[#This Row],[Tax 5%]],2)=ROUND(RawSales[[#This Row],[Sales]],2)</f>
        <v>1</v>
      </c>
    </row>
    <row r="260" spans="1:22" x14ac:dyDescent="0.35">
      <c r="A260" s="4" t="s">
        <v>533</v>
      </c>
      <c r="B260" t="s">
        <v>28</v>
      </c>
      <c r="C260" t="s">
        <v>29</v>
      </c>
      <c r="D260" t="s">
        <v>30</v>
      </c>
      <c r="E260" t="s">
        <v>23</v>
      </c>
      <c r="F260" t="s">
        <v>32</v>
      </c>
      <c r="G260" s="6">
        <v>9738</v>
      </c>
      <c r="H260" s="7">
        <v>10</v>
      </c>
      <c r="I260" s="6">
        <v>4869</v>
      </c>
      <c r="J260" s="6">
        <v>102249</v>
      </c>
      <c r="K260" s="5">
        <v>43525.958333333336</v>
      </c>
      <c r="L260" s="4" t="s">
        <v>534</v>
      </c>
      <c r="M260" t="s">
        <v>34</v>
      </c>
      <c r="N260" s="6">
        <v>97380</v>
      </c>
      <c r="O260">
        <v>4.7619047620000003</v>
      </c>
      <c r="P260" s="6">
        <v>4869</v>
      </c>
      <c r="Q260">
        <v>4.4000000000000004</v>
      </c>
      <c r="R260" s="6">
        <f>RawSales[[#This Row],[Unit price]]*RawSales[[#This Row],[Quantity]]</f>
        <v>97380</v>
      </c>
      <c r="S260" s="6">
        <f>RawSales[[#This Row],[Subtotal]]*$B$1</f>
        <v>4869</v>
      </c>
      <c r="T260" s="6" t="b">
        <f>ROUND(RawSales[[#This Row],[Subtotal]],2)=ROUND(RawSales[[#This Row],[cogs]],2)</f>
        <v>1</v>
      </c>
      <c r="U260" s="6" t="b">
        <f>ROUND(RawSales[[#This Row],[cogs]]*0.05,2)=ROUND(RawSales[[#This Row],[Tax 5%]],2)</f>
        <v>1</v>
      </c>
      <c r="V260" s="6" t="b">
        <f>ROUND(RawSales[[#This Row],[cogs]]+RawSales[[#This Row],[Tax 5%]],2)=ROUND(RawSales[[#This Row],[Sales]],2)</f>
        <v>1</v>
      </c>
    </row>
    <row r="261" spans="1:22" x14ac:dyDescent="0.35">
      <c r="A261" s="4" t="s">
        <v>535</v>
      </c>
      <c r="B261" t="s">
        <v>20</v>
      </c>
      <c r="C261" t="s">
        <v>21</v>
      </c>
      <c r="D261" t="s">
        <v>22</v>
      </c>
      <c r="E261" t="s">
        <v>23</v>
      </c>
      <c r="F261" t="s">
        <v>62</v>
      </c>
      <c r="G261" s="6">
        <v>7520</v>
      </c>
      <c r="H261" s="7">
        <v>3</v>
      </c>
      <c r="I261" s="6">
        <v>1128</v>
      </c>
      <c r="J261" s="6">
        <v>23688</v>
      </c>
      <c r="K261" s="4" t="s">
        <v>481</v>
      </c>
      <c r="L261" s="4" t="s">
        <v>536</v>
      </c>
      <c r="M261" t="s">
        <v>34</v>
      </c>
      <c r="N261" s="6">
        <v>22560</v>
      </c>
      <c r="O261">
        <v>4.7619047620000003</v>
      </c>
      <c r="P261" s="6">
        <v>1128</v>
      </c>
      <c r="Q261">
        <v>4.8</v>
      </c>
      <c r="R261" s="6">
        <f>RawSales[[#This Row],[Unit price]]*RawSales[[#This Row],[Quantity]]</f>
        <v>22560</v>
      </c>
      <c r="S261" s="6">
        <f>RawSales[[#This Row],[Subtotal]]*$B$1</f>
        <v>1128</v>
      </c>
      <c r="T261" s="6" t="b">
        <f>ROUND(RawSales[[#This Row],[Subtotal]],2)=ROUND(RawSales[[#This Row],[cogs]],2)</f>
        <v>1</v>
      </c>
      <c r="U261" s="6" t="b">
        <f>ROUND(RawSales[[#This Row],[cogs]]*0.05,2)=ROUND(RawSales[[#This Row],[Tax 5%]],2)</f>
        <v>1</v>
      </c>
      <c r="V261" s="6" t="b">
        <f>ROUND(RawSales[[#This Row],[cogs]]+RawSales[[#This Row],[Tax 5%]],2)=ROUND(RawSales[[#This Row],[Sales]],2)</f>
        <v>1</v>
      </c>
    </row>
    <row r="262" spans="1:22" x14ac:dyDescent="0.35">
      <c r="A262" s="4" t="s">
        <v>537</v>
      </c>
      <c r="B262" t="s">
        <v>20</v>
      </c>
      <c r="C262" t="s">
        <v>21</v>
      </c>
      <c r="D262" t="s">
        <v>22</v>
      </c>
      <c r="E262" t="s">
        <v>31</v>
      </c>
      <c r="F262" t="s">
        <v>140</v>
      </c>
      <c r="G262" s="6">
        <v>7326</v>
      </c>
      <c r="H262" s="7">
        <v>1</v>
      </c>
      <c r="I262" s="6">
        <v>366.3</v>
      </c>
      <c r="J262" s="6">
        <v>7692.3</v>
      </c>
      <c r="K262" s="5">
        <v>43491.958333333336</v>
      </c>
      <c r="L262" s="4" t="s">
        <v>491</v>
      </c>
      <c r="M262" t="s">
        <v>34</v>
      </c>
      <c r="N262" s="6">
        <v>7326</v>
      </c>
      <c r="O262">
        <v>4.7619047620000003</v>
      </c>
      <c r="P262" s="6">
        <v>366.3</v>
      </c>
      <c r="Q262">
        <v>9.6999999999999993</v>
      </c>
      <c r="R262" s="6">
        <f>RawSales[[#This Row],[Unit price]]*RawSales[[#This Row],[Quantity]]</f>
        <v>7326</v>
      </c>
      <c r="S262" s="6">
        <f>RawSales[[#This Row],[Subtotal]]*$B$1</f>
        <v>366.3</v>
      </c>
      <c r="T262" s="6" t="b">
        <f>ROUND(RawSales[[#This Row],[Subtotal]],2)=ROUND(RawSales[[#This Row],[cogs]],2)</f>
        <v>1</v>
      </c>
      <c r="U262" s="6" t="b">
        <f>ROUND(RawSales[[#This Row],[cogs]]*0.05,2)=ROUND(RawSales[[#This Row],[Tax 5%]],2)</f>
        <v>1</v>
      </c>
      <c r="V262" s="6" t="b">
        <f>ROUND(RawSales[[#This Row],[cogs]]+RawSales[[#This Row],[Tax 5%]],2)=ROUND(RawSales[[#This Row],[Sales]],2)</f>
        <v>1</v>
      </c>
    </row>
    <row r="263" spans="1:22" x14ac:dyDescent="0.35">
      <c r="A263" s="4" t="s">
        <v>538</v>
      </c>
      <c r="B263" t="s">
        <v>38</v>
      </c>
      <c r="C263" t="s">
        <v>39</v>
      </c>
      <c r="D263" t="s">
        <v>22</v>
      </c>
      <c r="E263" t="s">
        <v>23</v>
      </c>
      <c r="F263" t="s">
        <v>239</v>
      </c>
      <c r="G263" s="6">
        <v>5407</v>
      </c>
      <c r="H263" s="7">
        <v>9</v>
      </c>
      <c r="I263" s="6">
        <v>2433.15</v>
      </c>
      <c r="J263" s="6">
        <v>51096.15</v>
      </c>
      <c r="K263" s="4" t="s">
        <v>161</v>
      </c>
      <c r="L263" s="4" t="s">
        <v>539</v>
      </c>
      <c r="M263" t="s">
        <v>34</v>
      </c>
      <c r="N263" s="6">
        <v>48663</v>
      </c>
      <c r="O263">
        <v>4.7619047620000003</v>
      </c>
      <c r="P263" s="6">
        <v>2433.15</v>
      </c>
      <c r="Q263">
        <v>9.5</v>
      </c>
      <c r="R263" s="6">
        <f>RawSales[[#This Row],[Unit price]]*RawSales[[#This Row],[Quantity]]</f>
        <v>48663</v>
      </c>
      <c r="S263" s="6">
        <f>RawSales[[#This Row],[Subtotal]]*$B$1</f>
        <v>2433.15</v>
      </c>
      <c r="T263" s="6" t="b">
        <f>ROUND(RawSales[[#This Row],[Subtotal]],2)=ROUND(RawSales[[#This Row],[cogs]],2)</f>
        <v>1</v>
      </c>
      <c r="U263" s="6" t="b">
        <f>ROUND(RawSales[[#This Row],[cogs]]*0.05,2)=ROUND(RawSales[[#This Row],[Tax 5%]],2)</f>
        <v>1</v>
      </c>
      <c r="V263" s="6" t="b">
        <f>ROUND(RawSales[[#This Row],[cogs]]+RawSales[[#This Row],[Tax 5%]],2)=ROUND(RawSales[[#This Row],[Sales]],2)</f>
        <v>1</v>
      </c>
    </row>
    <row r="264" spans="1:22" x14ac:dyDescent="0.35">
      <c r="A264" s="4" t="s">
        <v>540</v>
      </c>
      <c r="B264" t="s">
        <v>20</v>
      </c>
      <c r="C264" t="s">
        <v>21</v>
      </c>
      <c r="D264" t="s">
        <v>30</v>
      </c>
      <c r="E264" t="s">
        <v>31</v>
      </c>
      <c r="F264" t="s">
        <v>62</v>
      </c>
      <c r="G264" s="6">
        <v>4465</v>
      </c>
      <c r="H264" s="7">
        <v>3</v>
      </c>
      <c r="I264" s="6">
        <v>669.75</v>
      </c>
      <c r="J264" s="6">
        <v>14064.75</v>
      </c>
      <c r="K264" s="5">
        <v>43509.958333333336</v>
      </c>
      <c r="L264" s="4" t="s">
        <v>541</v>
      </c>
      <c r="M264" t="s">
        <v>26</v>
      </c>
      <c r="N264" s="6">
        <v>13395</v>
      </c>
      <c r="O264">
        <v>4.7619047620000003</v>
      </c>
      <c r="P264" s="6">
        <v>669.75</v>
      </c>
      <c r="Q264">
        <v>6.2</v>
      </c>
      <c r="R264" s="6">
        <f>RawSales[[#This Row],[Unit price]]*RawSales[[#This Row],[Quantity]]</f>
        <v>13395</v>
      </c>
      <c r="S264" s="6">
        <f>RawSales[[#This Row],[Subtotal]]*$B$1</f>
        <v>669.75</v>
      </c>
      <c r="T264" s="6" t="b">
        <f>ROUND(RawSales[[#This Row],[Subtotal]],2)=ROUND(RawSales[[#This Row],[cogs]],2)</f>
        <v>1</v>
      </c>
      <c r="U264" s="6" t="b">
        <f>ROUND(RawSales[[#This Row],[cogs]]*0.05,2)=ROUND(RawSales[[#This Row],[Tax 5%]],2)</f>
        <v>1</v>
      </c>
      <c r="V264" s="6" t="b">
        <f>ROUND(RawSales[[#This Row],[cogs]]+RawSales[[#This Row],[Tax 5%]],2)=ROUND(RawSales[[#This Row],[Sales]],2)</f>
        <v>1</v>
      </c>
    </row>
    <row r="265" spans="1:22" x14ac:dyDescent="0.35">
      <c r="A265" s="4" t="s">
        <v>542</v>
      </c>
      <c r="B265" t="s">
        <v>20</v>
      </c>
      <c r="C265" t="s">
        <v>21</v>
      </c>
      <c r="D265" t="s">
        <v>30</v>
      </c>
      <c r="E265" t="s">
        <v>31</v>
      </c>
      <c r="F265" t="s">
        <v>24</v>
      </c>
      <c r="G265" s="6">
        <v>7388</v>
      </c>
      <c r="H265" s="7">
        <v>6</v>
      </c>
      <c r="I265" s="6">
        <v>2216.4</v>
      </c>
      <c r="J265" s="6">
        <v>46544.4</v>
      </c>
      <c r="K265" s="5">
        <v>43546.958333333336</v>
      </c>
      <c r="L265" s="4" t="s">
        <v>543</v>
      </c>
      <c r="M265" t="s">
        <v>34</v>
      </c>
      <c r="N265" s="6">
        <v>44328</v>
      </c>
      <c r="O265">
        <v>4.7619047620000003</v>
      </c>
      <c r="P265" s="6">
        <v>2216.4</v>
      </c>
      <c r="Q265">
        <v>4.4000000000000004</v>
      </c>
      <c r="R265" s="6">
        <f>RawSales[[#This Row],[Unit price]]*RawSales[[#This Row],[Quantity]]</f>
        <v>44328</v>
      </c>
      <c r="S265" s="6">
        <f>RawSales[[#This Row],[Subtotal]]*$B$1</f>
        <v>2216.4</v>
      </c>
      <c r="T265" s="6" t="b">
        <f>ROUND(RawSales[[#This Row],[Subtotal]],2)=ROUND(RawSales[[#This Row],[cogs]],2)</f>
        <v>1</v>
      </c>
      <c r="U265" s="6" t="b">
        <f>ROUND(RawSales[[#This Row],[cogs]]*0.05,2)=ROUND(RawSales[[#This Row],[Tax 5%]],2)</f>
        <v>1</v>
      </c>
      <c r="V265" s="6" t="b">
        <f>ROUND(RawSales[[#This Row],[cogs]]+RawSales[[#This Row],[Tax 5%]],2)=ROUND(RawSales[[#This Row],[Sales]],2)</f>
        <v>1</v>
      </c>
    </row>
    <row r="266" spans="1:22" x14ac:dyDescent="0.35">
      <c r="A266" s="4" t="s">
        <v>544</v>
      </c>
      <c r="B266" t="s">
        <v>20</v>
      </c>
      <c r="C266" t="s">
        <v>21</v>
      </c>
      <c r="D266" t="s">
        <v>30</v>
      </c>
      <c r="E266" t="s">
        <v>31</v>
      </c>
      <c r="F266" t="s">
        <v>62</v>
      </c>
      <c r="G266" s="6">
        <v>6087</v>
      </c>
      <c r="H266" s="7">
        <v>2</v>
      </c>
      <c r="I266" s="6">
        <v>608.70000000000005</v>
      </c>
      <c r="J266" s="6">
        <v>12782.7</v>
      </c>
      <c r="K266" s="5">
        <v>43532.958333333336</v>
      </c>
      <c r="L266" s="4" t="s">
        <v>545</v>
      </c>
      <c r="M266" t="s">
        <v>34</v>
      </c>
      <c r="N266" s="6">
        <v>12174</v>
      </c>
      <c r="O266">
        <v>4.7619047620000003</v>
      </c>
      <c r="P266" s="6">
        <v>608.70000000000005</v>
      </c>
      <c r="Q266">
        <v>8.6999999999999993</v>
      </c>
      <c r="R266" s="6">
        <f>RawSales[[#This Row],[Unit price]]*RawSales[[#This Row],[Quantity]]</f>
        <v>12174</v>
      </c>
      <c r="S266" s="6">
        <f>RawSales[[#This Row],[Subtotal]]*$B$1</f>
        <v>608.70000000000005</v>
      </c>
      <c r="T266" s="6" t="b">
        <f>ROUND(RawSales[[#This Row],[Subtotal]],2)=ROUND(RawSales[[#This Row],[cogs]],2)</f>
        <v>1</v>
      </c>
      <c r="U266" s="6" t="b">
        <f>ROUND(RawSales[[#This Row],[cogs]]*0.05,2)=ROUND(RawSales[[#This Row],[Tax 5%]],2)</f>
        <v>1</v>
      </c>
      <c r="V266" s="6" t="b">
        <f>ROUND(RawSales[[#This Row],[cogs]]+RawSales[[#This Row],[Tax 5%]],2)=ROUND(RawSales[[#This Row],[Sales]],2)</f>
        <v>1</v>
      </c>
    </row>
    <row r="267" spans="1:22" x14ac:dyDescent="0.35">
      <c r="A267" s="4" t="s">
        <v>546</v>
      </c>
      <c r="B267" t="s">
        <v>20</v>
      </c>
      <c r="C267" t="s">
        <v>21</v>
      </c>
      <c r="D267" t="s">
        <v>22</v>
      </c>
      <c r="E267" t="s">
        <v>23</v>
      </c>
      <c r="F267" t="s">
        <v>32</v>
      </c>
      <c r="G267" s="6">
        <v>7032</v>
      </c>
      <c r="H267" s="7">
        <v>2</v>
      </c>
      <c r="I267" s="6">
        <v>703.2</v>
      </c>
      <c r="J267" s="6">
        <v>14767.2</v>
      </c>
      <c r="K267" s="5">
        <v>43547.958333333336</v>
      </c>
      <c r="L267" s="4" t="s">
        <v>547</v>
      </c>
      <c r="M267" t="s">
        <v>34</v>
      </c>
      <c r="N267" s="6">
        <v>14064</v>
      </c>
      <c r="O267">
        <v>4.7619047620000003</v>
      </c>
      <c r="P267" s="6">
        <v>703.2</v>
      </c>
      <c r="Q267">
        <v>9.6</v>
      </c>
      <c r="R267" s="6">
        <f>RawSales[[#This Row],[Unit price]]*RawSales[[#This Row],[Quantity]]</f>
        <v>14064</v>
      </c>
      <c r="S267" s="6">
        <f>RawSales[[#This Row],[Subtotal]]*$B$1</f>
        <v>703.2</v>
      </c>
      <c r="T267" s="6" t="b">
        <f>ROUND(RawSales[[#This Row],[Subtotal]],2)=ROUND(RawSales[[#This Row],[cogs]],2)</f>
        <v>1</v>
      </c>
      <c r="U267" s="6" t="b">
        <f>ROUND(RawSales[[#This Row],[cogs]]*0.05,2)=ROUND(RawSales[[#This Row],[Tax 5%]],2)</f>
        <v>1</v>
      </c>
      <c r="V267" s="6" t="b">
        <f>ROUND(RawSales[[#This Row],[cogs]]+RawSales[[#This Row],[Tax 5%]],2)=ROUND(RawSales[[#This Row],[Sales]],2)</f>
        <v>1</v>
      </c>
    </row>
    <row r="268" spans="1:22" x14ac:dyDescent="0.35">
      <c r="A268" s="4" t="s">
        <v>548</v>
      </c>
      <c r="B268" t="s">
        <v>28</v>
      </c>
      <c r="C268" t="s">
        <v>29</v>
      </c>
      <c r="D268" t="s">
        <v>30</v>
      </c>
      <c r="E268" t="s">
        <v>31</v>
      </c>
      <c r="F268" t="s">
        <v>24</v>
      </c>
      <c r="G268" s="6">
        <v>3333</v>
      </c>
      <c r="H268" s="7">
        <v>2</v>
      </c>
      <c r="I268" s="6">
        <v>333.3</v>
      </c>
      <c r="J268" s="6">
        <v>6999.3</v>
      </c>
      <c r="K268" s="5">
        <v>43490.958333333336</v>
      </c>
      <c r="L268" s="4" t="s">
        <v>549</v>
      </c>
      <c r="M268" t="s">
        <v>51</v>
      </c>
      <c r="N268" s="6">
        <v>6666</v>
      </c>
      <c r="O268">
        <v>4.7619047620000003</v>
      </c>
      <c r="P268" s="6">
        <v>333.3</v>
      </c>
      <c r="Q268">
        <v>6.4</v>
      </c>
      <c r="R268" s="6">
        <f>RawSales[[#This Row],[Unit price]]*RawSales[[#This Row],[Quantity]]</f>
        <v>6666</v>
      </c>
      <c r="S268" s="6">
        <f>RawSales[[#This Row],[Subtotal]]*$B$1</f>
        <v>333.3</v>
      </c>
      <c r="T268" s="6" t="b">
        <f>ROUND(RawSales[[#This Row],[Subtotal]],2)=ROUND(RawSales[[#This Row],[cogs]],2)</f>
        <v>1</v>
      </c>
      <c r="U268" s="6" t="b">
        <f>ROUND(RawSales[[#This Row],[cogs]]*0.05,2)=ROUND(RawSales[[#This Row],[Tax 5%]],2)</f>
        <v>1</v>
      </c>
      <c r="V268" s="6" t="b">
        <f>ROUND(RawSales[[#This Row],[cogs]]+RawSales[[#This Row],[Tax 5%]],2)=ROUND(RawSales[[#This Row],[Sales]],2)</f>
        <v>1</v>
      </c>
    </row>
    <row r="269" spans="1:22" x14ac:dyDescent="0.35">
      <c r="A269" s="4" t="s">
        <v>550</v>
      </c>
      <c r="B269" t="s">
        <v>38</v>
      </c>
      <c r="C269" t="s">
        <v>39</v>
      </c>
      <c r="D269" t="s">
        <v>30</v>
      </c>
      <c r="E269" t="s">
        <v>23</v>
      </c>
      <c r="F269" t="s">
        <v>324</v>
      </c>
      <c r="G269" s="6">
        <v>9703</v>
      </c>
      <c r="H269" s="7">
        <v>5</v>
      </c>
      <c r="I269" s="6">
        <v>2425.75</v>
      </c>
      <c r="J269" s="6">
        <v>50940.75</v>
      </c>
      <c r="K269" s="5">
        <v>43494.958333333336</v>
      </c>
      <c r="L269" s="4" t="s">
        <v>551</v>
      </c>
      <c r="M269" t="s">
        <v>34</v>
      </c>
      <c r="N269" s="6">
        <v>48515</v>
      </c>
      <c r="O269">
        <v>4.7619047620000003</v>
      </c>
      <c r="P269" s="6">
        <v>2425.75</v>
      </c>
      <c r="Q269">
        <v>9.3000000000000007</v>
      </c>
      <c r="R269" s="6">
        <f>RawSales[[#This Row],[Unit price]]*RawSales[[#This Row],[Quantity]]</f>
        <v>48515</v>
      </c>
      <c r="S269" s="6">
        <f>RawSales[[#This Row],[Subtotal]]*$B$1</f>
        <v>2425.75</v>
      </c>
      <c r="T269" s="6" t="b">
        <f>ROUND(RawSales[[#This Row],[Subtotal]],2)=ROUND(RawSales[[#This Row],[cogs]],2)</f>
        <v>1</v>
      </c>
      <c r="U269" s="6" t="b">
        <f>ROUND(RawSales[[#This Row],[cogs]]*0.05,2)=ROUND(RawSales[[#This Row],[Tax 5%]],2)</f>
        <v>1</v>
      </c>
      <c r="V269" s="6" t="b">
        <f>ROUND(RawSales[[#This Row],[cogs]]+RawSales[[#This Row],[Tax 5%]],2)=ROUND(RawSales[[#This Row],[Sales]],2)</f>
        <v>1</v>
      </c>
    </row>
    <row r="270" spans="1:22" x14ac:dyDescent="0.35">
      <c r="A270" s="4" t="s">
        <v>552</v>
      </c>
      <c r="B270" t="s">
        <v>20</v>
      </c>
      <c r="C270" t="s">
        <v>21</v>
      </c>
      <c r="D270" t="s">
        <v>22</v>
      </c>
      <c r="E270" t="s">
        <v>23</v>
      </c>
      <c r="F270" t="s">
        <v>49</v>
      </c>
      <c r="G270" s="6">
        <v>4896</v>
      </c>
      <c r="H270" s="7">
        <v>9</v>
      </c>
      <c r="I270" s="6">
        <v>2203.1999999999998</v>
      </c>
      <c r="J270" s="6">
        <v>46267.199999999997</v>
      </c>
      <c r="K270" s="5">
        <v>43527.958333333336</v>
      </c>
      <c r="L270" s="4" t="s">
        <v>553</v>
      </c>
      <c r="M270" t="s">
        <v>26</v>
      </c>
      <c r="N270" s="6">
        <v>44064</v>
      </c>
      <c r="O270">
        <v>4.7619047620000003</v>
      </c>
      <c r="P270" s="6">
        <v>2203.1999999999998</v>
      </c>
      <c r="Q270">
        <v>8</v>
      </c>
      <c r="R270" s="6">
        <f>RawSales[[#This Row],[Unit price]]*RawSales[[#This Row],[Quantity]]</f>
        <v>44064</v>
      </c>
      <c r="S270" s="6">
        <f>RawSales[[#This Row],[Subtotal]]*$B$1</f>
        <v>2203.2000000000003</v>
      </c>
      <c r="T270" s="6" t="b">
        <f>ROUND(RawSales[[#This Row],[Subtotal]],2)=ROUND(RawSales[[#This Row],[cogs]],2)</f>
        <v>1</v>
      </c>
      <c r="U270" s="6" t="b">
        <f>ROUND(RawSales[[#This Row],[cogs]]*0.05,2)=ROUND(RawSales[[#This Row],[Tax 5%]],2)</f>
        <v>1</v>
      </c>
      <c r="V270" s="6" t="b">
        <f>ROUND(RawSales[[#This Row],[cogs]]+RawSales[[#This Row],[Tax 5%]],2)=ROUND(RawSales[[#This Row],[Sales]],2)</f>
        <v>1</v>
      </c>
    </row>
    <row r="271" spans="1:22" x14ac:dyDescent="0.35">
      <c r="A271" s="4" t="s">
        <v>554</v>
      </c>
      <c r="B271" t="s">
        <v>20</v>
      </c>
      <c r="C271" t="s">
        <v>21</v>
      </c>
      <c r="D271" t="s">
        <v>30</v>
      </c>
      <c r="E271" t="s">
        <v>23</v>
      </c>
      <c r="F271" t="s">
        <v>62</v>
      </c>
      <c r="G271" s="6">
        <v>7250</v>
      </c>
      <c r="H271" s="7">
        <v>8</v>
      </c>
      <c r="I271" s="6">
        <v>2900</v>
      </c>
      <c r="J271" s="6">
        <v>60900</v>
      </c>
      <c r="K271" s="5">
        <v>43539.958333333336</v>
      </c>
      <c r="L271" s="4" t="s">
        <v>555</v>
      </c>
      <c r="M271" t="s">
        <v>34</v>
      </c>
      <c r="N271" s="6">
        <v>58000</v>
      </c>
      <c r="O271">
        <v>4.7619047620000003</v>
      </c>
      <c r="P271" s="6">
        <v>2900</v>
      </c>
      <c r="Q271">
        <v>9.1999999999999993</v>
      </c>
      <c r="R271" s="6">
        <f>RawSales[[#This Row],[Unit price]]*RawSales[[#This Row],[Quantity]]</f>
        <v>58000</v>
      </c>
      <c r="S271" s="6">
        <f>RawSales[[#This Row],[Subtotal]]*$B$1</f>
        <v>2900</v>
      </c>
      <c r="T271" s="6" t="b">
        <f>ROUND(RawSales[[#This Row],[Subtotal]],2)=ROUND(RawSales[[#This Row],[cogs]],2)</f>
        <v>1</v>
      </c>
      <c r="U271" s="6" t="b">
        <f>ROUND(RawSales[[#This Row],[cogs]]*0.05,2)=ROUND(RawSales[[#This Row],[Tax 5%]],2)</f>
        <v>1</v>
      </c>
      <c r="V271" s="6" t="b">
        <f>ROUND(RawSales[[#This Row],[cogs]]+RawSales[[#This Row],[Tax 5%]],2)=ROUND(RawSales[[#This Row],[Sales]],2)</f>
        <v>1</v>
      </c>
    </row>
    <row r="272" spans="1:22" x14ac:dyDescent="0.35">
      <c r="A272" s="4" t="s">
        <v>556</v>
      </c>
      <c r="B272" t="s">
        <v>20</v>
      </c>
      <c r="C272" t="s">
        <v>21</v>
      </c>
      <c r="D272" t="s">
        <v>22</v>
      </c>
      <c r="E272" t="s">
        <v>31</v>
      </c>
      <c r="F272" t="s">
        <v>32</v>
      </c>
      <c r="G272" s="6">
        <v>2329</v>
      </c>
      <c r="H272" s="7">
        <v>4</v>
      </c>
      <c r="I272" s="6">
        <v>465.8</v>
      </c>
      <c r="J272" s="6">
        <v>9781.7999999999993</v>
      </c>
      <c r="K272" s="5">
        <v>43542.958333333336</v>
      </c>
      <c r="L272" s="4" t="s">
        <v>503</v>
      </c>
      <c r="M272" t="s">
        <v>51</v>
      </c>
      <c r="N272" s="6">
        <v>9316</v>
      </c>
      <c r="O272">
        <v>4.7619047620000003</v>
      </c>
      <c r="P272" s="6">
        <v>465.8</v>
      </c>
      <c r="Q272">
        <v>5.9</v>
      </c>
      <c r="R272" s="6">
        <f>RawSales[[#This Row],[Unit price]]*RawSales[[#This Row],[Quantity]]</f>
        <v>9316</v>
      </c>
      <c r="S272" s="6">
        <f>RawSales[[#This Row],[Subtotal]]*$B$1</f>
        <v>465.8</v>
      </c>
      <c r="T272" s="6" t="b">
        <f>ROUND(RawSales[[#This Row],[Subtotal]],2)=ROUND(RawSales[[#This Row],[cogs]],2)</f>
        <v>1</v>
      </c>
      <c r="U272" s="6" t="b">
        <f>ROUND(RawSales[[#This Row],[cogs]]*0.05,2)=ROUND(RawSales[[#This Row],[Tax 5%]],2)</f>
        <v>1</v>
      </c>
      <c r="V272" s="6" t="b">
        <f>ROUND(RawSales[[#This Row],[cogs]]+RawSales[[#This Row],[Tax 5%]],2)=ROUND(RawSales[[#This Row],[Sales]],2)</f>
        <v>1</v>
      </c>
    </row>
    <row r="273" spans="1:22" x14ac:dyDescent="0.35">
      <c r="A273" s="4" t="s">
        <v>557</v>
      </c>
      <c r="B273" t="s">
        <v>38</v>
      </c>
      <c r="C273" t="s">
        <v>39</v>
      </c>
      <c r="D273" t="s">
        <v>22</v>
      </c>
      <c r="E273" t="s">
        <v>31</v>
      </c>
      <c r="F273" t="s">
        <v>43</v>
      </c>
      <c r="G273" s="6">
        <v>3381</v>
      </c>
      <c r="H273" s="7">
        <v>3</v>
      </c>
      <c r="I273" s="6">
        <v>507.15</v>
      </c>
      <c r="J273" s="6">
        <v>10650.15</v>
      </c>
      <c r="K273" s="5">
        <v>43490.958333333336</v>
      </c>
      <c r="L273" s="4" t="s">
        <v>558</v>
      </c>
      <c r="M273" t="s">
        <v>34</v>
      </c>
      <c r="N273" s="6">
        <v>10143</v>
      </c>
      <c r="O273">
        <v>4.7619047620000003</v>
      </c>
      <c r="P273" s="6">
        <v>507.15</v>
      </c>
      <c r="Q273">
        <v>7.3</v>
      </c>
      <c r="R273" s="6">
        <f>RawSales[[#This Row],[Unit price]]*RawSales[[#This Row],[Quantity]]</f>
        <v>10143</v>
      </c>
      <c r="S273" s="6">
        <f>RawSales[[#This Row],[Subtotal]]*$B$1</f>
        <v>507.15000000000003</v>
      </c>
      <c r="T273" s="6" t="b">
        <f>ROUND(RawSales[[#This Row],[Subtotal]],2)=ROUND(RawSales[[#This Row],[cogs]],2)</f>
        <v>1</v>
      </c>
      <c r="U273" s="6" t="b">
        <f>ROUND(RawSales[[#This Row],[cogs]]*0.05,2)=ROUND(RawSales[[#This Row],[Tax 5%]],2)</f>
        <v>1</v>
      </c>
      <c r="V273" s="6" t="b">
        <f>ROUND(RawSales[[#This Row],[cogs]]+RawSales[[#This Row],[Tax 5%]],2)=ROUND(RawSales[[#This Row],[Sales]],2)</f>
        <v>1</v>
      </c>
    </row>
    <row r="274" spans="1:22" x14ac:dyDescent="0.35">
      <c r="A274" s="4" t="s">
        <v>559</v>
      </c>
      <c r="B274" t="s">
        <v>28</v>
      </c>
      <c r="C274" t="s">
        <v>29</v>
      </c>
      <c r="D274" t="s">
        <v>22</v>
      </c>
      <c r="E274" t="s">
        <v>23</v>
      </c>
      <c r="F274" t="s">
        <v>140</v>
      </c>
      <c r="G274" s="6">
        <v>2626</v>
      </c>
      <c r="H274" s="7">
        <v>3</v>
      </c>
      <c r="I274" s="6">
        <v>393.9</v>
      </c>
      <c r="J274" s="6">
        <v>8271.9</v>
      </c>
      <c r="K274" s="5">
        <v>43525.958333333336</v>
      </c>
      <c r="L274" s="4" t="s">
        <v>560</v>
      </c>
      <c r="M274" t="s">
        <v>34</v>
      </c>
      <c r="N274" s="6">
        <v>7878</v>
      </c>
      <c r="O274">
        <v>4.7619047620000003</v>
      </c>
      <c r="P274" s="6">
        <v>393.9</v>
      </c>
      <c r="Q274">
        <v>6.3</v>
      </c>
      <c r="R274" s="6">
        <f>RawSales[[#This Row],[Unit price]]*RawSales[[#This Row],[Quantity]]</f>
        <v>7878</v>
      </c>
      <c r="S274" s="6">
        <f>RawSales[[#This Row],[Subtotal]]*$B$1</f>
        <v>393.90000000000003</v>
      </c>
      <c r="T274" s="6" t="b">
        <f>ROUND(RawSales[[#This Row],[Subtotal]],2)=ROUND(RawSales[[#This Row],[cogs]],2)</f>
        <v>1</v>
      </c>
      <c r="U274" s="6" t="b">
        <f>ROUND(RawSales[[#This Row],[cogs]]*0.05,2)=ROUND(RawSales[[#This Row],[Tax 5%]],2)</f>
        <v>1</v>
      </c>
      <c r="V274" s="6" t="b">
        <f>ROUND(RawSales[[#This Row],[cogs]]+RawSales[[#This Row],[Tax 5%]],2)=ROUND(RawSales[[#This Row],[Sales]],2)</f>
        <v>1</v>
      </c>
    </row>
    <row r="275" spans="1:22" x14ac:dyDescent="0.35">
      <c r="A275" s="4" t="s">
        <v>561</v>
      </c>
      <c r="B275" t="s">
        <v>38</v>
      </c>
      <c r="C275" t="s">
        <v>39</v>
      </c>
      <c r="D275" t="s">
        <v>22</v>
      </c>
      <c r="E275" t="s">
        <v>23</v>
      </c>
      <c r="F275" t="s">
        <v>55</v>
      </c>
      <c r="G275" s="6">
        <v>7356</v>
      </c>
      <c r="H275" s="7">
        <v>10</v>
      </c>
      <c r="I275" s="6">
        <v>3678</v>
      </c>
      <c r="J275" s="6">
        <v>77238</v>
      </c>
      <c r="K275" s="5">
        <v>43519.958333333336</v>
      </c>
      <c r="L275" s="4" t="s">
        <v>562</v>
      </c>
      <c r="M275" t="s">
        <v>34</v>
      </c>
      <c r="N275" s="6">
        <v>73560</v>
      </c>
      <c r="O275">
        <v>4.7619047620000003</v>
      </c>
      <c r="P275" s="6">
        <v>3678</v>
      </c>
      <c r="Q275">
        <v>8</v>
      </c>
      <c r="R275" s="6">
        <f>RawSales[[#This Row],[Unit price]]*RawSales[[#This Row],[Quantity]]</f>
        <v>73560</v>
      </c>
      <c r="S275" s="6">
        <f>RawSales[[#This Row],[Subtotal]]*$B$1</f>
        <v>3678</v>
      </c>
      <c r="T275" s="6" t="b">
        <f>ROUND(RawSales[[#This Row],[Subtotal]],2)=ROUND(RawSales[[#This Row],[cogs]],2)</f>
        <v>1</v>
      </c>
      <c r="U275" s="6" t="b">
        <f>ROUND(RawSales[[#This Row],[cogs]]*0.05,2)=ROUND(RawSales[[#This Row],[Tax 5%]],2)</f>
        <v>1</v>
      </c>
      <c r="V275" s="6" t="b">
        <f>ROUND(RawSales[[#This Row],[cogs]]+RawSales[[#This Row],[Tax 5%]],2)=ROUND(RawSales[[#This Row],[Sales]],2)</f>
        <v>1</v>
      </c>
    </row>
    <row r="276" spans="1:22" x14ac:dyDescent="0.35">
      <c r="A276" s="4" t="s">
        <v>563</v>
      </c>
      <c r="B276" t="s">
        <v>20</v>
      </c>
      <c r="C276" t="s">
        <v>21</v>
      </c>
      <c r="D276" t="s">
        <v>30</v>
      </c>
      <c r="E276" t="s">
        <v>23</v>
      </c>
      <c r="F276" t="s">
        <v>43</v>
      </c>
      <c r="G276" s="6">
        <v>1580</v>
      </c>
      <c r="H276" s="7">
        <v>3</v>
      </c>
      <c r="I276" s="6">
        <v>237</v>
      </c>
      <c r="J276" s="6">
        <v>4977</v>
      </c>
      <c r="K276" s="5">
        <v>43548.958333333336</v>
      </c>
      <c r="L276" s="4" t="s">
        <v>564</v>
      </c>
      <c r="M276" t="s">
        <v>26</v>
      </c>
      <c r="N276" s="6">
        <v>4740</v>
      </c>
      <c r="O276">
        <v>4.7619047620000003</v>
      </c>
      <c r="P276" s="6">
        <v>237</v>
      </c>
      <c r="Q276">
        <v>9.5</v>
      </c>
      <c r="R276" s="6">
        <f>RawSales[[#This Row],[Unit price]]*RawSales[[#This Row],[Quantity]]</f>
        <v>4740</v>
      </c>
      <c r="S276" s="6">
        <f>RawSales[[#This Row],[Subtotal]]*$B$1</f>
        <v>237</v>
      </c>
      <c r="T276" s="6" t="b">
        <f>ROUND(RawSales[[#This Row],[Subtotal]],2)=ROUND(RawSales[[#This Row],[cogs]],2)</f>
        <v>1</v>
      </c>
      <c r="U276" s="6" t="b">
        <f>ROUND(RawSales[[#This Row],[cogs]]*0.05,2)=ROUND(RawSales[[#This Row],[Tax 5%]],2)</f>
        <v>1</v>
      </c>
      <c r="V276" s="6" t="b">
        <f>ROUND(RawSales[[#This Row],[cogs]]+RawSales[[#This Row],[Tax 5%]],2)=ROUND(RawSales[[#This Row],[Sales]],2)</f>
        <v>1</v>
      </c>
    </row>
    <row r="277" spans="1:22" x14ac:dyDescent="0.35">
      <c r="A277" s="4" t="s">
        <v>565</v>
      </c>
      <c r="B277" t="s">
        <v>28</v>
      </c>
      <c r="C277" t="s">
        <v>29</v>
      </c>
      <c r="D277" t="s">
        <v>30</v>
      </c>
      <c r="E277" t="s">
        <v>23</v>
      </c>
      <c r="F277" t="s">
        <v>49</v>
      </c>
      <c r="G277" s="6">
        <v>8325</v>
      </c>
      <c r="H277" s="7">
        <v>10</v>
      </c>
      <c r="I277" s="6">
        <v>4162.5</v>
      </c>
      <c r="J277" s="6">
        <v>87412.5</v>
      </c>
      <c r="K277" s="5">
        <v>43476.958333333336</v>
      </c>
      <c r="L277" s="4" t="s">
        <v>427</v>
      </c>
      <c r="M277" t="s">
        <v>51</v>
      </c>
      <c r="N277" s="6">
        <v>83250</v>
      </c>
      <c r="O277">
        <v>4.7619047620000003</v>
      </c>
      <c r="P277" s="6">
        <v>4162.5</v>
      </c>
      <c r="Q277">
        <v>4.4000000000000004</v>
      </c>
      <c r="R277" s="6">
        <f>RawSales[[#This Row],[Unit price]]*RawSales[[#This Row],[Quantity]]</f>
        <v>83250</v>
      </c>
      <c r="S277" s="6">
        <f>RawSales[[#This Row],[Subtotal]]*$B$1</f>
        <v>4162.5</v>
      </c>
      <c r="T277" s="6" t="b">
        <f>ROUND(RawSales[[#This Row],[Subtotal]],2)=ROUND(RawSales[[#This Row],[cogs]],2)</f>
        <v>1</v>
      </c>
      <c r="U277" s="6" t="b">
        <f>ROUND(RawSales[[#This Row],[cogs]]*0.05,2)=ROUND(RawSales[[#This Row],[Tax 5%]],2)</f>
        <v>1</v>
      </c>
      <c r="V277" s="6" t="b">
        <f>ROUND(RawSales[[#This Row],[cogs]]+RawSales[[#This Row],[Tax 5%]],2)=ROUND(RawSales[[#This Row],[Sales]],2)</f>
        <v>1</v>
      </c>
    </row>
    <row r="278" spans="1:22" x14ac:dyDescent="0.35">
      <c r="A278" s="4" t="s">
        <v>566</v>
      </c>
      <c r="B278" t="s">
        <v>38</v>
      </c>
      <c r="C278" t="s">
        <v>39</v>
      </c>
      <c r="D278" t="s">
        <v>22</v>
      </c>
      <c r="E278" t="s">
        <v>23</v>
      </c>
      <c r="F278" t="s">
        <v>62</v>
      </c>
      <c r="G278" s="6">
        <v>2922</v>
      </c>
      <c r="H278" s="7">
        <v>6</v>
      </c>
      <c r="I278" s="6">
        <v>876.6</v>
      </c>
      <c r="J278" s="6">
        <v>18408.599999999999</v>
      </c>
      <c r="K278" s="5">
        <v>43465.958333333336</v>
      </c>
      <c r="L278" s="4" t="s">
        <v>567</v>
      </c>
      <c r="M278" t="s">
        <v>34</v>
      </c>
      <c r="N278" s="6">
        <v>17532</v>
      </c>
      <c r="O278">
        <v>4.7619047620000003</v>
      </c>
      <c r="P278" s="6">
        <v>876.6</v>
      </c>
      <c r="Q278">
        <v>5</v>
      </c>
      <c r="R278" s="6">
        <f>RawSales[[#This Row],[Unit price]]*RawSales[[#This Row],[Quantity]]</f>
        <v>17532</v>
      </c>
      <c r="S278" s="6">
        <f>RawSales[[#This Row],[Subtotal]]*$B$1</f>
        <v>876.6</v>
      </c>
      <c r="T278" s="6" t="b">
        <f>ROUND(RawSales[[#This Row],[Subtotal]],2)=ROUND(RawSales[[#This Row],[cogs]],2)</f>
        <v>1</v>
      </c>
      <c r="U278" s="6" t="b">
        <f>ROUND(RawSales[[#This Row],[cogs]]*0.05,2)=ROUND(RawSales[[#This Row],[Tax 5%]],2)</f>
        <v>1</v>
      </c>
      <c r="V278" s="6" t="b">
        <f>ROUND(RawSales[[#This Row],[cogs]]+RawSales[[#This Row],[Tax 5%]],2)=ROUND(RawSales[[#This Row],[Sales]],2)</f>
        <v>1</v>
      </c>
    </row>
    <row r="279" spans="1:22" x14ac:dyDescent="0.35">
      <c r="A279" s="4" t="s">
        <v>568</v>
      </c>
      <c r="B279" t="s">
        <v>38</v>
      </c>
      <c r="C279" t="s">
        <v>39</v>
      </c>
      <c r="D279" t="s">
        <v>30</v>
      </c>
      <c r="E279" t="s">
        <v>23</v>
      </c>
      <c r="F279" t="s">
        <v>32</v>
      </c>
      <c r="G279" s="6">
        <v>4538</v>
      </c>
      <c r="H279" s="7">
        <v>4</v>
      </c>
      <c r="I279" s="6">
        <v>907.6</v>
      </c>
      <c r="J279" s="6">
        <v>19059.599999999999</v>
      </c>
      <c r="K279" s="5">
        <v>43472.958333333336</v>
      </c>
      <c r="L279" s="4" t="s">
        <v>349</v>
      </c>
      <c r="M279" t="s">
        <v>51</v>
      </c>
      <c r="N279" s="6">
        <v>18152</v>
      </c>
      <c r="O279">
        <v>4.7619047620000003</v>
      </c>
      <c r="P279" s="6">
        <v>907.6</v>
      </c>
      <c r="Q279">
        <v>8.6999999999999993</v>
      </c>
      <c r="R279" s="6">
        <f>RawSales[[#This Row],[Unit price]]*RawSales[[#This Row],[Quantity]]</f>
        <v>18152</v>
      </c>
      <c r="S279" s="6">
        <f>RawSales[[#This Row],[Subtotal]]*$B$1</f>
        <v>907.6</v>
      </c>
      <c r="T279" s="6" t="b">
        <f>ROUND(RawSales[[#This Row],[Subtotal]],2)=ROUND(RawSales[[#This Row],[cogs]],2)</f>
        <v>1</v>
      </c>
      <c r="U279" s="6" t="b">
        <f>ROUND(RawSales[[#This Row],[cogs]]*0.05,2)=ROUND(RawSales[[#This Row],[Tax 5%]],2)</f>
        <v>1</v>
      </c>
      <c r="V279" s="6" t="b">
        <f>ROUND(RawSales[[#This Row],[cogs]]+RawSales[[#This Row],[Tax 5%]],2)=ROUND(RawSales[[#This Row],[Sales]],2)</f>
        <v>1</v>
      </c>
    </row>
    <row r="280" spans="1:22" x14ac:dyDescent="0.35">
      <c r="A280" s="4" t="s">
        <v>569</v>
      </c>
      <c r="B280" t="s">
        <v>28</v>
      </c>
      <c r="C280" t="s">
        <v>29</v>
      </c>
      <c r="D280" t="s">
        <v>22</v>
      </c>
      <c r="E280" t="s">
        <v>23</v>
      </c>
      <c r="F280" t="s">
        <v>62</v>
      </c>
      <c r="G280" s="6">
        <v>4949</v>
      </c>
      <c r="H280" s="7">
        <v>4</v>
      </c>
      <c r="I280" s="6">
        <v>989.8</v>
      </c>
      <c r="J280" s="6">
        <v>20785.8</v>
      </c>
      <c r="K280" s="5">
        <v>43544.958333333336</v>
      </c>
      <c r="L280" s="4" t="s">
        <v>570</v>
      </c>
      <c r="M280" t="s">
        <v>34</v>
      </c>
      <c r="N280" s="6">
        <v>19796</v>
      </c>
      <c r="O280">
        <v>4.7619047620000003</v>
      </c>
      <c r="P280" s="6">
        <v>989.8</v>
      </c>
      <c r="Q280">
        <v>6.6</v>
      </c>
      <c r="R280" s="6">
        <f>RawSales[[#This Row],[Unit price]]*RawSales[[#This Row],[Quantity]]</f>
        <v>19796</v>
      </c>
      <c r="S280" s="6">
        <f>RawSales[[#This Row],[Subtotal]]*$B$1</f>
        <v>989.80000000000007</v>
      </c>
      <c r="T280" s="6" t="b">
        <f>ROUND(RawSales[[#This Row],[Subtotal]],2)=ROUND(RawSales[[#This Row],[cogs]],2)</f>
        <v>1</v>
      </c>
      <c r="U280" s="6" t="b">
        <f>ROUND(RawSales[[#This Row],[cogs]]*0.05,2)=ROUND(RawSales[[#This Row],[Tax 5%]],2)</f>
        <v>1</v>
      </c>
      <c r="V280" s="6" t="b">
        <f>ROUND(RawSales[[#This Row],[cogs]]+RawSales[[#This Row],[Tax 5%]],2)=ROUND(RawSales[[#This Row],[Sales]],2)</f>
        <v>1</v>
      </c>
    </row>
    <row r="281" spans="1:22" x14ac:dyDescent="0.35">
      <c r="A281" s="4" t="s">
        <v>571</v>
      </c>
      <c r="B281" t="s">
        <v>38</v>
      </c>
      <c r="C281" t="s">
        <v>39</v>
      </c>
      <c r="D281" t="s">
        <v>30</v>
      </c>
      <c r="E281" t="s">
        <v>31</v>
      </c>
      <c r="F281" t="s">
        <v>32</v>
      </c>
      <c r="G281" s="6">
        <v>2296</v>
      </c>
      <c r="H281" s="7">
        <v>1</v>
      </c>
      <c r="I281" s="6">
        <v>114.8</v>
      </c>
      <c r="J281" s="6">
        <v>2410.8000000000002</v>
      </c>
      <c r="K281" s="5">
        <v>43494.958333333336</v>
      </c>
      <c r="L281" s="4" t="s">
        <v>572</v>
      </c>
      <c r="M281" t="s">
        <v>26</v>
      </c>
      <c r="N281" s="6">
        <v>2296</v>
      </c>
      <c r="O281">
        <v>4.7619047620000003</v>
      </c>
      <c r="P281" s="6">
        <v>114.8</v>
      </c>
      <c r="Q281">
        <v>4.3</v>
      </c>
      <c r="R281" s="6">
        <f>RawSales[[#This Row],[Unit price]]*RawSales[[#This Row],[Quantity]]</f>
        <v>2296</v>
      </c>
      <c r="S281" s="6">
        <f>RawSales[[#This Row],[Subtotal]]*$B$1</f>
        <v>114.80000000000001</v>
      </c>
      <c r="T281" s="6" t="b">
        <f>ROUND(RawSales[[#This Row],[Subtotal]],2)=ROUND(RawSales[[#This Row],[cogs]],2)</f>
        <v>1</v>
      </c>
      <c r="U281" s="6" t="b">
        <f>ROUND(RawSales[[#This Row],[cogs]]*0.05,2)=ROUND(RawSales[[#This Row],[Tax 5%]],2)</f>
        <v>1</v>
      </c>
      <c r="V281" s="6" t="b">
        <f>ROUND(RawSales[[#This Row],[cogs]]+RawSales[[#This Row],[Tax 5%]],2)=ROUND(RawSales[[#This Row],[Sales]],2)</f>
        <v>1</v>
      </c>
    </row>
    <row r="282" spans="1:22" x14ac:dyDescent="0.35">
      <c r="A282" s="4" t="s">
        <v>573</v>
      </c>
      <c r="B282" t="s">
        <v>28</v>
      </c>
      <c r="C282" t="s">
        <v>29</v>
      </c>
      <c r="D282" t="s">
        <v>30</v>
      </c>
      <c r="E282" t="s">
        <v>23</v>
      </c>
      <c r="F282" t="s">
        <v>46</v>
      </c>
      <c r="G282" s="6">
        <v>4062</v>
      </c>
      <c r="H282" s="7">
        <v>2</v>
      </c>
      <c r="I282" s="6">
        <v>406.2</v>
      </c>
      <c r="J282" s="6">
        <v>8530.2000000000007</v>
      </c>
      <c r="K282" s="4" t="s">
        <v>574</v>
      </c>
      <c r="L282" s="4" t="s">
        <v>575</v>
      </c>
      <c r="M282" t="s">
        <v>51</v>
      </c>
      <c r="N282" s="6">
        <v>8124</v>
      </c>
      <c r="O282">
        <v>4.7619047620000003</v>
      </c>
      <c r="P282" s="6">
        <v>406.2</v>
      </c>
      <c r="Q282">
        <v>4.0999999999999996</v>
      </c>
      <c r="R282" s="6">
        <f>RawSales[[#This Row],[Unit price]]*RawSales[[#This Row],[Quantity]]</f>
        <v>8124</v>
      </c>
      <c r="S282" s="6">
        <f>RawSales[[#This Row],[Subtotal]]*$B$1</f>
        <v>406.20000000000005</v>
      </c>
      <c r="T282" s="6" t="b">
        <f>ROUND(RawSales[[#This Row],[Subtotal]],2)=ROUND(RawSales[[#This Row],[cogs]],2)</f>
        <v>1</v>
      </c>
      <c r="U282" s="6" t="b">
        <f>ROUND(RawSales[[#This Row],[cogs]]*0.05,2)=ROUND(RawSales[[#This Row],[Tax 5%]],2)</f>
        <v>1</v>
      </c>
      <c r="V282" s="6" t="b">
        <f>ROUND(RawSales[[#This Row],[cogs]]+RawSales[[#This Row],[Tax 5%]],2)=ROUND(RawSales[[#This Row],[Sales]],2)</f>
        <v>1</v>
      </c>
    </row>
    <row r="283" spans="1:22" x14ac:dyDescent="0.35">
      <c r="A283" s="4" t="s">
        <v>576</v>
      </c>
      <c r="B283" t="s">
        <v>20</v>
      </c>
      <c r="C283" t="s">
        <v>21</v>
      </c>
      <c r="D283" t="s">
        <v>22</v>
      </c>
      <c r="E283" t="s">
        <v>31</v>
      </c>
      <c r="F283" t="s">
        <v>32</v>
      </c>
      <c r="G283" s="6">
        <v>8101</v>
      </c>
      <c r="H283" s="7">
        <v>3</v>
      </c>
      <c r="I283" s="6">
        <v>1215.1500000000001</v>
      </c>
      <c r="J283" s="6">
        <v>25518.15</v>
      </c>
      <c r="K283" s="5">
        <v>43477.958333333336</v>
      </c>
      <c r="L283" s="4" t="s">
        <v>577</v>
      </c>
      <c r="M283" t="s">
        <v>51</v>
      </c>
      <c r="N283" s="6">
        <v>24303</v>
      </c>
      <c r="O283">
        <v>4.7619047620000003</v>
      </c>
      <c r="P283" s="6">
        <v>1215.1500000000001</v>
      </c>
      <c r="Q283">
        <v>9.3000000000000007</v>
      </c>
      <c r="R283" s="6">
        <f>RawSales[[#This Row],[Unit price]]*RawSales[[#This Row],[Quantity]]</f>
        <v>24303</v>
      </c>
      <c r="S283" s="6">
        <f>RawSales[[#This Row],[Subtotal]]*$B$1</f>
        <v>1215.1500000000001</v>
      </c>
      <c r="T283" s="6" t="b">
        <f>ROUND(RawSales[[#This Row],[Subtotal]],2)=ROUND(RawSales[[#This Row],[cogs]],2)</f>
        <v>1</v>
      </c>
      <c r="U283" s="6" t="b">
        <f>ROUND(RawSales[[#This Row],[cogs]]*0.05,2)=ROUND(RawSales[[#This Row],[Tax 5%]],2)</f>
        <v>1</v>
      </c>
      <c r="V283" s="6" t="b">
        <f>ROUND(RawSales[[#This Row],[cogs]]+RawSales[[#This Row],[Tax 5%]],2)=ROUND(RawSales[[#This Row],[Sales]],2)</f>
        <v>1</v>
      </c>
    </row>
    <row r="284" spans="1:22" x14ac:dyDescent="0.35">
      <c r="A284" s="4" t="s">
        <v>578</v>
      </c>
      <c r="B284" t="s">
        <v>28</v>
      </c>
      <c r="C284" t="s">
        <v>29</v>
      </c>
      <c r="D284" t="s">
        <v>22</v>
      </c>
      <c r="E284" t="s">
        <v>31</v>
      </c>
      <c r="F284" t="s">
        <v>43</v>
      </c>
      <c r="G284" s="6">
        <v>3991</v>
      </c>
      <c r="H284" s="7">
        <v>3</v>
      </c>
      <c r="I284" s="6">
        <v>598.65</v>
      </c>
      <c r="J284" s="6">
        <v>12571.65</v>
      </c>
      <c r="K284" s="5">
        <v>43516.958333333336</v>
      </c>
      <c r="L284" s="4" t="s">
        <v>579</v>
      </c>
      <c r="M284" t="s">
        <v>34</v>
      </c>
      <c r="N284" s="6">
        <v>11973</v>
      </c>
      <c r="O284">
        <v>4.7619047620000003</v>
      </c>
      <c r="P284" s="6">
        <v>598.65</v>
      </c>
      <c r="Q284">
        <v>9.3000000000000007</v>
      </c>
      <c r="R284" s="6">
        <f>RawSales[[#This Row],[Unit price]]*RawSales[[#This Row],[Quantity]]</f>
        <v>11973</v>
      </c>
      <c r="S284" s="6">
        <f>RawSales[[#This Row],[Subtotal]]*$B$1</f>
        <v>598.65</v>
      </c>
      <c r="T284" s="6" t="b">
        <f>ROUND(RawSales[[#This Row],[Subtotal]],2)=ROUND(RawSales[[#This Row],[cogs]],2)</f>
        <v>1</v>
      </c>
      <c r="U284" s="6" t="b">
        <f>ROUND(RawSales[[#This Row],[cogs]]*0.05,2)=ROUND(RawSales[[#This Row],[Tax 5%]],2)</f>
        <v>1</v>
      </c>
      <c r="V284" s="6" t="b">
        <f>ROUND(RawSales[[#This Row],[cogs]]+RawSales[[#This Row],[Tax 5%]],2)=ROUND(RawSales[[#This Row],[Sales]],2)</f>
        <v>1</v>
      </c>
    </row>
    <row r="285" spans="1:22" x14ac:dyDescent="0.35">
      <c r="A285" s="4" t="s">
        <v>580</v>
      </c>
      <c r="B285" t="s">
        <v>20</v>
      </c>
      <c r="C285" t="s">
        <v>21</v>
      </c>
      <c r="D285" t="s">
        <v>22</v>
      </c>
      <c r="E285" t="s">
        <v>31</v>
      </c>
      <c r="F285" t="s">
        <v>40</v>
      </c>
      <c r="G285" s="6">
        <v>1932</v>
      </c>
      <c r="H285" s="7">
        <v>-7</v>
      </c>
      <c r="I285" s="6">
        <v>676.2</v>
      </c>
      <c r="J285" s="6">
        <v>14200.2</v>
      </c>
      <c r="K285" s="5">
        <v>43548.958333333336</v>
      </c>
      <c r="L285" s="4" t="s">
        <v>581</v>
      </c>
      <c r="M285" t="s">
        <v>26</v>
      </c>
      <c r="N285" s="6">
        <v>13524</v>
      </c>
      <c r="O285">
        <v>4.7619047620000003</v>
      </c>
      <c r="P285" s="6">
        <v>676.2</v>
      </c>
      <c r="Q285">
        <v>6.9</v>
      </c>
      <c r="R285" s="6">
        <f>RawSales[[#This Row],[Unit price]]*RawSales[[#This Row],[Quantity]]</f>
        <v>-13524</v>
      </c>
      <c r="S285" s="6">
        <f>RawSales[[#This Row],[Subtotal]]*$B$1</f>
        <v>-676.2</v>
      </c>
      <c r="T285" s="6" t="b">
        <f>ROUND(RawSales[[#This Row],[Subtotal]],2)=ROUND(RawSales[[#This Row],[cogs]],2)</f>
        <v>0</v>
      </c>
      <c r="U285" s="6" t="b">
        <f>ROUND(RawSales[[#This Row],[cogs]]*0.05,2)=ROUND(RawSales[[#This Row],[Tax 5%]],2)</f>
        <v>1</v>
      </c>
      <c r="V285" s="6" t="b">
        <f>ROUND(RawSales[[#This Row],[cogs]]+RawSales[[#This Row],[Tax 5%]],2)=ROUND(RawSales[[#This Row],[Sales]],2)</f>
        <v>1</v>
      </c>
    </row>
    <row r="286" spans="1:22" x14ac:dyDescent="0.35">
      <c r="A286" s="4" t="s">
        <v>582</v>
      </c>
      <c r="B286" t="s">
        <v>20</v>
      </c>
      <c r="C286" t="s">
        <v>21</v>
      </c>
      <c r="D286" t="s">
        <v>22</v>
      </c>
      <c r="E286" t="s">
        <v>23</v>
      </c>
      <c r="F286" t="s">
        <v>32</v>
      </c>
      <c r="G286" s="6">
        <v>7242</v>
      </c>
      <c r="H286" s="7">
        <v>3</v>
      </c>
      <c r="I286" s="6">
        <v>1086.3</v>
      </c>
      <c r="J286" s="6">
        <v>22812.3</v>
      </c>
      <c r="K286" s="5">
        <v>43552.958333333336</v>
      </c>
      <c r="L286" s="4" t="s">
        <v>583</v>
      </c>
      <c r="M286" t="s">
        <v>34</v>
      </c>
      <c r="N286" s="6">
        <v>21726</v>
      </c>
      <c r="O286">
        <v>4.7619047620000003</v>
      </c>
      <c r="P286" s="6">
        <v>1086.3</v>
      </c>
      <c r="Q286">
        <v>8.1999999999999993</v>
      </c>
      <c r="R286" s="6">
        <f>RawSales[[#This Row],[Unit price]]*RawSales[[#This Row],[Quantity]]</f>
        <v>21726</v>
      </c>
      <c r="S286" s="6">
        <f>RawSales[[#This Row],[Subtotal]]*$B$1</f>
        <v>1086.3</v>
      </c>
      <c r="T286" s="6" t="b">
        <f>ROUND(RawSales[[#This Row],[Subtotal]],2)=ROUND(RawSales[[#This Row],[cogs]],2)</f>
        <v>1</v>
      </c>
      <c r="U286" s="6" t="b">
        <f>ROUND(RawSales[[#This Row],[cogs]]*0.05,2)=ROUND(RawSales[[#This Row],[Tax 5%]],2)</f>
        <v>1</v>
      </c>
      <c r="V286" s="6" t="b">
        <f>ROUND(RawSales[[#This Row],[cogs]]+RawSales[[#This Row],[Tax 5%]],2)=ROUND(RawSales[[#This Row],[Sales]],2)</f>
        <v>1</v>
      </c>
    </row>
    <row r="287" spans="1:22" x14ac:dyDescent="0.35">
      <c r="A287" s="4" t="s">
        <v>584</v>
      </c>
      <c r="B287" t="s">
        <v>38</v>
      </c>
      <c r="C287" t="s">
        <v>39</v>
      </c>
      <c r="D287" t="s">
        <v>22</v>
      </c>
      <c r="E287" t="s">
        <v>31</v>
      </c>
      <c r="F287" t="s">
        <v>43</v>
      </c>
      <c r="G287" s="6">
        <v>8680</v>
      </c>
      <c r="H287" s="7">
        <v>3</v>
      </c>
      <c r="I287" s="6">
        <v>1302</v>
      </c>
      <c r="J287" s="6">
        <v>27342</v>
      </c>
      <c r="K287" s="5">
        <v>43492.958333333336</v>
      </c>
      <c r="L287" s="4" t="s">
        <v>585</v>
      </c>
      <c r="M287" t="s">
        <v>34</v>
      </c>
      <c r="N287" s="6">
        <v>26040</v>
      </c>
      <c r="O287">
        <v>4.7619047620000003</v>
      </c>
      <c r="P287" s="6">
        <v>1302</v>
      </c>
      <c r="Q287">
        <v>9.9</v>
      </c>
      <c r="R287" s="6">
        <f>RawSales[[#This Row],[Unit price]]*RawSales[[#This Row],[Quantity]]</f>
        <v>26040</v>
      </c>
      <c r="S287" s="6">
        <f>RawSales[[#This Row],[Subtotal]]*$B$1</f>
        <v>1302</v>
      </c>
      <c r="T287" s="6" t="b">
        <f>ROUND(RawSales[[#This Row],[Subtotal]],2)=ROUND(RawSales[[#This Row],[cogs]],2)</f>
        <v>1</v>
      </c>
      <c r="U287" s="6" t="b">
        <f>ROUND(RawSales[[#This Row],[cogs]]*0.05,2)=ROUND(RawSales[[#This Row],[Tax 5%]],2)</f>
        <v>1</v>
      </c>
      <c r="V287" s="6" t="b">
        <f>ROUND(RawSales[[#This Row],[cogs]]+RawSales[[#This Row],[Tax 5%]],2)=ROUND(RawSales[[#This Row],[Sales]],2)</f>
        <v>1</v>
      </c>
    </row>
    <row r="288" spans="1:22" x14ac:dyDescent="0.35">
      <c r="A288" s="4" t="s">
        <v>586</v>
      </c>
      <c r="B288" t="s">
        <v>20</v>
      </c>
      <c r="C288" t="s">
        <v>21</v>
      </c>
      <c r="D288" t="s">
        <v>22</v>
      </c>
      <c r="E288" t="s">
        <v>31</v>
      </c>
      <c r="F288" t="s">
        <v>49</v>
      </c>
      <c r="G288" s="6">
        <v>3854</v>
      </c>
      <c r="H288" s="7">
        <v>5</v>
      </c>
      <c r="I288" s="6">
        <v>963.5</v>
      </c>
      <c r="J288" s="6">
        <v>20233.5</v>
      </c>
      <c r="K288" s="5">
        <v>43473.958333333336</v>
      </c>
      <c r="L288" s="4" t="s">
        <v>510</v>
      </c>
      <c r="M288" t="s">
        <v>34</v>
      </c>
      <c r="N288" s="6">
        <v>19270</v>
      </c>
      <c r="O288">
        <v>4.7619047620000003</v>
      </c>
      <c r="P288" s="6">
        <v>963.5</v>
      </c>
      <c r="Q288">
        <v>5.6</v>
      </c>
      <c r="R288" s="6">
        <f>RawSales[[#This Row],[Unit price]]*RawSales[[#This Row],[Quantity]]</f>
        <v>19270</v>
      </c>
      <c r="S288" s="6">
        <f>RawSales[[#This Row],[Subtotal]]*$B$1</f>
        <v>963.5</v>
      </c>
      <c r="T288" s="6" t="b">
        <f>ROUND(RawSales[[#This Row],[Subtotal]],2)=ROUND(RawSales[[#This Row],[cogs]],2)</f>
        <v>1</v>
      </c>
      <c r="U288" s="6" t="b">
        <f>ROUND(RawSales[[#This Row],[cogs]]*0.05,2)=ROUND(RawSales[[#This Row],[Tax 5%]],2)</f>
        <v>1</v>
      </c>
      <c r="V288" s="6" t="b">
        <f>ROUND(RawSales[[#This Row],[cogs]]+RawSales[[#This Row],[Tax 5%]],2)=ROUND(RawSales[[#This Row],[Sales]],2)</f>
        <v>1</v>
      </c>
    </row>
    <row r="289" spans="1:22" x14ac:dyDescent="0.35">
      <c r="A289" s="4" t="s">
        <v>587</v>
      </c>
      <c r="B289" t="s">
        <v>28</v>
      </c>
      <c r="C289" t="s">
        <v>29</v>
      </c>
      <c r="D289" t="s">
        <v>22</v>
      </c>
      <c r="E289" t="s">
        <v>23</v>
      </c>
      <c r="F289" t="s">
        <v>62</v>
      </c>
      <c r="G289" s="6">
        <v>6912</v>
      </c>
      <c r="H289" s="7">
        <v>6</v>
      </c>
      <c r="I289" s="6">
        <v>2073.6</v>
      </c>
      <c r="J289" s="6">
        <v>43545.599999999999</v>
      </c>
      <c r="K289" s="5">
        <v>43503.958333333336</v>
      </c>
      <c r="L289" s="4" t="s">
        <v>588</v>
      </c>
      <c r="M289" t="s">
        <v>26</v>
      </c>
      <c r="N289" s="6">
        <v>41472</v>
      </c>
      <c r="O289">
        <v>4.7619047620000003</v>
      </c>
      <c r="P289" s="6">
        <v>2073.6</v>
      </c>
      <c r="Q289">
        <v>5.6</v>
      </c>
      <c r="R289" s="6">
        <f>RawSales[[#This Row],[Unit price]]*RawSales[[#This Row],[Quantity]]</f>
        <v>41472</v>
      </c>
      <c r="S289" s="6">
        <f>RawSales[[#This Row],[Subtotal]]*$B$1</f>
        <v>2073.6</v>
      </c>
      <c r="T289" s="6" t="b">
        <f>ROUND(RawSales[[#This Row],[Subtotal]],2)=ROUND(RawSales[[#This Row],[cogs]],2)</f>
        <v>1</v>
      </c>
      <c r="U289" s="6" t="b">
        <f>ROUND(RawSales[[#This Row],[cogs]]*0.05,2)=ROUND(RawSales[[#This Row],[Tax 5%]],2)</f>
        <v>1</v>
      </c>
      <c r="V289" s="6" t="b">
        <f>ROUND(RawSales[[#This Row],[cogs]]+RawSales[[#This Row],[Tax 5%]],2)=ROUND(RawSales[[#This Row],[Sales]],2)</f>
        <v>1</v>
      </c>
    </row>
    <row r="290" spans="1:22" x14ac:dyDescent="0.35">
      <c r="A290" s="4" t="s">
        <v>589</v>
      </c>
      <c r="B290" t="s">
        <v>28</v>
      </c>
      <c r="C290" t="s">
        <v>29</v>
      </c>
      <c r="D290" t="s">
        <v>30</v>
      </c>
      <c r="E290" t="s">
        <v>23</v>
      </c>
      <c r="F290" t="s">
        <v>24</v>
      </c>
      <c r="G290" s="6">
        <v>4851</v>
      </c>
      <c r="H290" s="7">
        <v>7</v>
      </c>
      <c r="I290" s="6">
        <v>1697.85</v>
      </c>
      <c r="J290" s="6">
        <v>35654.85</v>
      </c>
      <c r="K290" s="5">
        <v>43489.958333333336</v>
      </c>
      <c r="L290" s="4" t="s">
        <v>362</v>
      </c>
      <c r="M290" t="s">
        <v>51</v>
      </c>
      <c r="N290" s="6">
        <v>33957</v>
      </c>
      <c r="O290">
        <v>4.7619047620000003</v>
      </c>
      <c r="P290" s="6">
        <v>1697.85</v>
      </c>
      <c r="Q290">
        <v>5.2</v>
      </c>
      <c r="R290" s="6">
        <f>RawSales[[#This Row],[Unit price]]*RawSales[[#This Row],[Quantity]]</f>
        <v>33957</v>
      </c>
      <c r="S290" s="6">
        <f>RawSales[[#This Row],[Subtotal]]*$B$1</f>
        <v>1697.8500000000001</v>
      </c>
      <c r="T290" s="6" t="b">
        <f>ROUND(RawSales[[#This Row],[Subtotal]],2)=ROUND(RawSales[[#This Row],[cogs]],2)</f>
        <v>1</v>
      </c>
      <c r="U290" s="6" t="b">
        <f>ROUND(RawSales[[#This Row],[cogs]]*0.05,2)=ROUND(RawSales[[#This Row],[Tax 5%]],2)</f>
        <v>1</v>
      </c>
      <c r="V290" s="6" t="b">
        <f>ROUND(RawSales[[#This Row],[cogs]]+RawSales[[#This Row],[Tax 5%]],2)=ROUND(RawSales[[#This Row],[Sales]],2)</f>
        <v>1</v>
      </c>
    </row>
    <row r="291" spans="1:22" x14ac:dyDescent="0.35">
      <c r="A291" s="4" t="s">
        <v>590</v>
      </c>
      <c r="B291" t="s">
        <v>38</v>
      </c>
      <c r="C291" t="s">
        <v>39</v>
      </c>
      <c r="D291" t="s">
        <v>30</v>
      </c>
      <c r="E291" t="s">
        <v>31</v>
      </c>
      <c r="F291" t="s">
        <v>43</v>
      </c>
      <c r="G291" s="6">
        <v>4035</v>
      </c>
      <c r="H291" s="7">
        <v>1</v>
      </c>
      <c r="I291" s="6">
        <v>201.75</v>
      </c>
      <c r="J291" s="6">
        <v>4236.75</v>
      </c>
      <c r="K291" s="5">
        <v>43493.958333333336</v>
      </c>
      <c r="L291" s="4" t="s">
        <v>270</v>
      </c>
      <c r="M291" t="s">
        <v>34</v>
      </c>
      <c r="N291" s="6">
        <v>4035</v>
      </c>
      <c r="O291">
        <v>4.7619047620000003</v>
      </c>
      <c r="P291" s="6">
        <v>201.75</v>
      </c>
      <c r="Q291">
        <v>6.2</v>
      </c>
      <c r="R291" s="6">
        <f>RawSales[[#This Row],[Unit price]]*RawSales[[#This Row],[Quantity]]</f>
        <v>4035</v>
      </c>
      <c r="S291" s="6">
        <f>RawSales[[#This Row],[Subtotal]]*$B$1</f>
        <v>201.75</v>
      </c>
      <c r="T291" s="6" t="b">
        <f>ROUND(RawSales[[#This Row],[Subtotal]],2)=ROUND(RawSales[[#This Row],[cogs]],2)</f>
        <v>1</v>
      </c>
      <c r="U291" s="6" t="b">
        <f>ROUND(RawSales[[#This Row],[cogs]]*0.05,2)=ROUND(RawSales[[#This Row],[Tax 5%]],2)</f>
        <v>1</v>
      </c>
      <c r="V291" s="6" t="b">
        <f>ROUND(RawSales[[#This Row],[cogs]]+RawSales[[#This Row],[Tax 5%]],2)=ROUND(RawSales[[#This Row],[Sales]],2)</f>
        <v>1</v>
      </c>
    </row>
    <row r="292" spans="1:22" x14ac:dyDescent="0.35">
      <c r="A292" s="4" t="s">
        <v>591</v>
      </c>
      <c r="B292" t="s">
        <v>38</v>
      </c>
      <c r="C292" t="s">
        <v>39</v>
      </c>
      <c r="D292" t="s">
        <v>22</v>
      </c>
      <c r="E292" t="s">
        <v>31</v>
      </c>
      <c r="F292" t="s">
        <v>43</v>
      </c>
      <c r="G292" s="6">
        <v>4407</v>
      </c>
      <c r="H292" s="7">
        <v>4</v>
      </c>
      <c r="I292" s="6">
        <v>881.4</v>
      </c>
      <c r="J292" s="6">
        <v>18509.400000000001</v>
      </c>
      <c r="K292" s="5">
        <v>43513.958333333336</v>
      </c>
      <c r="L292" s="4" t="s">
        <v>145</v>
      </c>
      <c r="M292" t="s">
        <v>34</v>
      </c>
      <c r="N292" s="6">
        <v>17628</v>
      </c>
      <c r="O292">
        <v>4.7619047620000003</v>
      </c>
      <c r="P292" s="6">
        <v>881.4</v>
      </c>
      <c r="Q292">
        <v>8.4</v>
      </c>
      <c r="R292" s="6">
        <f>RawSales[[#This Row],[Unit price]]*RawSales[[#This Row],[Quantity]]</f>
        <v>17628</v>
      </c>
      <c r="S292" s="6">
        <f>RawSales[[#This Row],[Subtotal]]*$B$1</f>
        <v>881.40000000000009</v>
      </c>
      <c r="T292" s="6" t="b">
        <f>ROUND(RawSales[[#This Row],[Subtotal]],2)=ROUND(RawSales[[#This Row],[cogs]],2)</f>
        <v>1</v>
      </c>
      <c r="U292" s="6" t="b">
        <f>ROUND(RawSales[[#This Row],[cogs]]*0.05,2)=ROUND(RawSales[[#This Row],[Tax 5%]],2)</f>
        <v>1</v>
      </c>
      <c r="V292" s="6" t="b">
        <f>ROUND(RawSales[[#This Row],[cogs]]+RawSales[[#This Row],[Tax 5%]],2)=ROUND(RawSales[[#This Row],[Sales]],2)</f>
        <v>1</v>
      </c>
    </row>
    <row r="293" spans="1:22" x14ac:dyDescent="0.35">
      <c r="A293" s="4" t="s">
        <v>592</v>
      </c>
      <c r="B293" t="s">
        <v>20</v>
      </c>
      <c r="C293" t="s">
        <v>21</v>
      </c>
      <c r="D293" t="s">
        <v>30</v>
      </c>
      <c r="E293" t="s">
        <v>23</v>
      </c>
      <c r="F293" t="s">
        <v>40</v>
      </c>
      <c r="G293" s="6">
        <v>6606</v>
      </c>
      <c r="H293" s="7">
        <v>6</v>
      </c>
      <c r="I293" s="6">
        <v>1981.8</v>
      </c>
      <c r="J293" s="6">
        <v>41617.800000000003</v>
      </c>
      <c r="K293" s="5">
        <v>43487.958333333336</v>
      </c>
      <c r="L293" s="4" t="s">
        <v>593</v>
      </c>
      <c r="M293" t="s">
        <v>26</v>
      </c>
      <c r="N293" s="6">
        <v>39636</v>
      </c>
      <c r="O293">
        <v>4.7619047620000003</v>
      </c>
      <c r="P293" s="6">
        <v>1981.8</v>
      </c>
      <c r="Q293">
        <v>7.3</v>
      </c>
      <c r="R293" s="6">
        <f>RawSales[[#This Row],[Unit price]]*RawSales[[#This Row],[Quantity]]</f>
        <v>39636</v>
      </c>
      <c r="S293" s="6">
        <f>RawSales[[#This Row],[Subtotal]]*$B$1</f>
        <v>1981.8000000000002</v>
      </c>
      <c r="T293" s="6" t="b">
        <f>ROUND(RawSales[[#This Row],[Subtotal]],2)=ROUND(RawSales[[#This Row],[cogs]],2)</f>
        <v>1</v>
      </c>
      <c r="U293" s="6" t="b">
        <f>ROUND(RawSales[[#This Row],[cogs]]*0.05,2)=ROUND(RawSales[[#This Row],[Tax 5%]],2)</f>
        <v>1</v>
      </c>
      <c r="V293" s="6" t="b">
        <f>ROUND(RawSales[[#This Row],[cogs]]+RawSales[[#This Row],[Tax 5%]],2)=ROUND(RawSales[[#This Row],[Sales]],2)</f>
        <v>1</v>
      </c>
    </row>
    <row r="294" spans="1:22" x14ac:dyDescent="0.35">
      <c r="A294" s="4" t="s">
        <v>594</v>
      </c>
      <c r="B294" t="s">
        <v>38</v>
      </c>
      <c r="C294" t="s">
        <v>39</v>
      </c>
      <c r="D294" t="s">
        <v>22</v>
      </c>
      <c r="E294" t="s">
        <v>23</v>
      </c>
      <c r="F294" t="s">
        <v>32</v>
      </c>
      <c r="G294" s="6">
        <v>6087</v>
      </c>
      <c r="H294" s="7">
        <v>1</v>
      </c>
      <c r="I294" s="6">
        <v>304.35000000000002</v>
      </c>
      <c r="J294" s="6">
        <v>6391.35</v>
      </c>
      <c r="K294" s="5">
        <v>43488.958333333336</v>
      </c>
      <c r="L294" s="4" t="s">
        <v>595</v>
      </c>
      <c r="M294" t="s">
        <v>26</v>
      </c>
      <c r="N294" s="6">
        <v>6087</v>
      </c>
      <c r="O294">
        <v>4.7619047620000003</v>
      </c>
      <c r="P294" s="6">
        <v>304.35000000000002</v>
      </c>
      <c r="Q294">
        <v>5.5</v>
      </c>
      <c r="R294" s="6">
        <f>RawSales[[#This Row],[Unit price]]*RawSales[[#This Row],[Quantity]]</f>
        <v>6087</v>
      </c>
      <c r="S294" s="6">
        <f>RawSales[[#This Row],[Subtotal]]*$B$1</f>
        <v>304.35000000000002</v>
      </c>
      <c r="T294" s="6" t="b">
        <f>ROUND(RawSales[[#This Row],[Subtotal]],2)=ROUND(RawSales[[#This Row],[cogs]],2)</f>
        <v>1</v>
      </c>
      <c r="U294" s="6" t="b">
        <f>ROUND(RawSales[[#This Row],[cogs]]*0.05,2)=ROUND(RawSales[[#This Row],[Tax 5%]],2)</f>
        <v>1</v>
      </c>
      <c r="V294" s="6" t="b">
        <f>ROUND(RawSales[[#This Row],[cogs]]+RawSales[[#This Row],[Tax 5%]],2)=ROUND(RawSales[[#This Row],[Sales]],2)</f>
        <v>1</v>
      </c>
    </row>
    <row r="295" spans="1:22" x14ac:dyDescent="0.35">
      <c r="A295" s="4" t="s">
        <v>596</v>
      </c>
      <c r="B295" t="s">
        <v>38</v>
      </c>
      <c r="C295" t="s">
        <v>39</v>
      </c>
      <c r="D295" t="s">
        <v>30</v>
      </c>
      <c r="E295" t="s">
        <v>31</v>
      </c>
      <c r="F295" t="s">
        <v>40</v>
      </c>
      <c r="G295" s="6">
        <v>8407</v>
      </c>
      <c r="H295" s="7">
        <v>4</v>
      </c>
      <c r="I295" s="6">
        <v>1681.4</v>
      </c>
      <c r="J295" s="6">
        <v>35309.4</v>
      </c>
      <c r="K295" s="5">
        <v>43530.958333333336</v>
      </c>
      <c r="L295" s="4" t="s">
        <v>583</v>
      </c>
      <c r="M295" t="s">
        <v>34</v>
      </c>
      <c r="N295" s="6">
        <v>33628</v>
      </c>
      <c r="O295">
        <v>4.7619047620000003</v>
      </c>
      <c r="P295" s="6">
        <v>1681.4</v>
      </c>
      <c r="Q295">
        <v>4.4000000000000004</v>
      </c>
      <c r="R295" s="6">
        <f>RawSales[[#This Row],[Unit price]]*RawSales[[#This Row],[Quantity]]</f>
        <v>33628</v>
      </c>
      <c r="S295" s="6">
        <f>RawSales[[#This Row],[Subtotal]]*$B$1</f>
        <v>1681.4</v>
      </c>
      <c r="T295" s="6" t="b">
        <f>ROUND(RawSales[[#This Row],[Subtotal]],2)=ROUND(RawSales[[#This Row],[cogs]],2)</f>
        <v>1</v>
      </c>
      <c r="U295" s="6" t="b">
        <f>ROUND(RawSales[[#This Row],[cogs]]*0.05,2)=ROUND(RawSales[[#This Row],[Tax 5%]],2)</f>
        <v>1</v>
      </c>
      <c r="V295" s="6" t="b">
        <f>ROUND(RawSales[[#This Row],[cogs]]+RawSales[[#This Row],[Tax 5%]],2)=ROUND(RawSales[[#This Row],[Sales]],2)</f>
        <v>1</v>
      </c>
    </row>
    <row r="296" spans="1:22" x14ac:dyDescent="0.35">
      <c r="A296" s="4" t="s">
        <v>597</v>
      </c>
      <c r="B296" t="s">
        <v>38</v>
      </c>
      <c r="C296" t="s">
        <v>39</v>
      </c>
      <c r="D296" t="s">
        <v>30</v>
      </c>
      <c r="E296" t="s">
        <v>23</v>
      </c>
      <c r="F296" t="s">
        <v>43</v>
      </c>
      <c r="G296" s="6">
        <v>8130</v>
      </c>
      <c r="H296" s="7">
        <v>6</v>
      </c>
      <c r="I296" s="6">
        <v>2439</v>
      </c>
      <c r="J296" s="6">
        <v>51219</v>
      </c>
      <c r="K296" s="5">
        <v>43531.958333333336</v>
      </c>
      <c r="L296" s="4" t="s">
        <v>598</v>
      </c>
      <c r="M296" t="s">
        <v>34</v>
      </c>
      <c r="N296" s="6">
        <v>48780</v>
      </c>
      <c r="O296">
        <v>4.7619047620000003</v>
      </c>
      <c r="P296" s="6">
        <v>2439</v>
      </c>
      <c r="Q296">
        <v>5.3</v>
      </c>
      <c r="R296" s="6">
        <f>RawSales[[#This Row],[Unit price]]*RawSales[[#This Row],[Quantity]]</f>
        <v>48780</v>
      </c>
      <c r="S296" s="6">
        <f>RawSales[[#This Row],[Subtotal]]*$B$1</f>
        <v>2439</v>
      </c>
      <c r="T296" s="6" t="b">
        <f>ROUND(RawSales[[#This Row],[Subtotal]],2)=ROUND(RawSales[[#This Row],[cogs]],2)</f>
        <v>1</v>
      </c>
      <c r="U296" s="6" t="b">
        <f>ROUND(RawSales[[#This Row],[cogs]]*0.05,2)=ROUND(RawSales[[#This Row],[Tax 5%]],2)</f>
        <v>1</v>
      </c>
      <c r="V296" s="6" t="b">
        <f>ROUND(RawSales[[#This Row],[cogs]]+RawSales[[#This Row],[Tax 5%]],2)=ROUND(RawSales[[#This Row],[Sales]],2)</f>
        <v>1</v>
      </c>
    </row>
    <row r="297" spans="1:22" x14ac:dyDescent="0.35">
      <c r="A297" s="4" t="s">
        <v>599</v>
      </c>
      <c r="B297" t="s">
        <v>28</v>
      </c>
      <c r="C297" t="s">
        <v>29</v>
      </c>
      <c r="D297" t="s">
        <v>22</v>
      </c>
      <c r="E297" t="s">
        <v>23</v>
      </c>
      <c r="F297" t="s">
        <v>49</v>
      </c>
      <c r="G297" s="6">
        <v>1787</v>
      </c>
      <c r="H297" s="7">
        <v>4</v>
      </c>
      <c r="I297" s="6">
        <v>357.4</v>
      </c>
      <c r="J297" s="6">
        <v>7505.4</v>
      </c>
      <c r="K297" s="5">
        <v>43545.958333333336</v>
      </c>
      <c r="L297" s="4" t="s">
        <v>381</v>
      </c>
      <c r="M297" t="s">
        <v>34</v>
      </c>
      <c r="N297" s="6">
        <v>7148</v>
      </c>
      <c r="O297">
        <v>4.7619047620000003</v>
      </c>
      <c r="P297" s="6">
        <v>357.4</v>
      </c>
      <c r="Q297">
        <v>6.5</v>
      </c>
      <c r="R297" s="6">
        <f>RawSales[[#This Row],[Unit price]]*RawSales[[#This Row],[Quantity]]</f>
        <v>7148</v>
      </c>
      <c r="S297" s="6">
        <f>RawSales[[#This Row],[Subtotal]]*$B$1</f>
        <v>357.40000000000003</v>
      </c>
      <c r="T297" s="6" t="b">
        <f>ROUND(RawSales[[#This Row],[Subtotal]],2)=ROUND(RawSales[[#This Row],[cogs]],2)</f>
        <v>1</v>
      </c>
      <c r="U297" s="6" t="b">
        <f>ROUND(RawSales[[#This Row],[cogs]]*0.05,2)=ROUND(RawSales[[#This Row],[Tax 5%]],2)</f>
        <v>1</v>
      </c>
      <c r="V297" s="6" t="b">
        <f>ROUND(RawSales[[#This Row],[cogs]]+RawSales[[#This Row],[Tax 5%]],2)=ROUND(RawSales[[#This Row],[Sales]],2)</f>
        <v>1</v>
      </c>
    </row>
    <row r="298" spans="1:22" x14ac:dyDescent="0.35">
      <c r="A298" s="4" t="s">
        <v>600</v>
      </c>
      <c r="B298" t="s">
        <v>38</v>
      </c>
      <c r="C298" t="s">
        <v>39</v>
      </c>
      <c r="D298" t="s">
        <v>22</v>
      </c>
      <c r="E298" t="s">
        <v>31</v>
      </c>
      <c r="F298" t="s">
        <v>40</v>
      </c>
      <c r="G298" s="6">
        <v>6594</v>
      </c>
      <c r="H298" s="7">
        <v>4</v>
      </c>
      <c r="I298" s="6">
        <v>1318.8</v>
      </c>
      <c r="J298" s="6">
        <v>27694.799999999999</v>
      </c>
      <c r="K298" s="4" t="s">
        <v>601</v>
      </c>
      <c r="L298" s="4" t="s">
        <v>602</v>
      </c>
      <c r="M298" t="s">
        <v>51</v>
      </c>
      <c r="N298" s="6">
        <v>26376</v>
      </c>
      <c r="O298">
        <v>4.7619047620000003</v>
      </c>
      <c r="P298" s="6">
        <v>1318.8</v>
      </c>
      <c r="Q298">
        <v>6.9</v>
      </c>
      <c r="R298" s="6">
        <f>RawSales[[#This Row],[Unit price]]*RawSales[[#This Row],[Quantity]]</f>
        <v>26376</v>
      </c>
      <c r="S298" s="6">
        <f>RawSales[[#This Row],[Subtotal]]*$B$1</f>
        <v>1318.8000000000002</v>
      </c>
      <c r="T298" s="6" t="b">
        <f>ROUND(RawSales[[#This Row],[Subtotal]],2)=ROUND(RawSales[[#This Row],[cogs]],2)</f>
        <v>1</v>
      </c>
      <c r="U298" s="6" t="b">
        <f>ROUND(RawSales[[#This Row],[cogs]]*0.05,2)=ROUND(RawSales[[#This Row],[Tax 5%]],2)</f>
        <v>1</v>
      </c>
      <c r="V298" s="6" t="b">
        <f>ROUND(RawSales[[#This Row],[cogs]]+RawSales[[#This Row],[Tax 5%]],2)=ROUND(RawSales[[#This Row],[Sales]],2)</f>
        <v>1</v>
      </c>
    </row>
    <row r="299" spans="1:22" x14ac:dyDescent="0.35">
      <c r="A299" s="4" t="s">
        <v>603</v>
      </c>
      <c r="B299" t="s">
        <v>28</v>
      </c>
      <c r="C299" t="s">
        <v>29</v>
      </c>
      <c r="D299" t="s">
        <v>22</v>
      </c>
      <c r="E299" t="s">
        <v>23</v>
      </c>
      <c r="F299" t="s">
        <v>324</v>
      </c>
      <c r="G299" s="6">
        <v>8914</v>
      </c>
      <c r="H299" s="7">
        <v>4</v>
      </c>
      <c r="I299" s="6">
        <v>1782.8</v>
      </c>
      <c r="J299" s="6">
        <v>37438.800000000003</v>
      </c>
      <c r="K299" s="4" t="s">
        <v>604</v>
      </c>
      <c r="L299" s="4" t="s">
        <v>605</v>
      </c>
      <c r="M299" t="s">
        <v>51</v>
      </c>
      <c r="N299" s="6">
        <v>35656</v>
      </c>
      <c r="O299">
        <v>4.7619047620000003</v>
      </c>
      <c r="P299" s="6">
        <v>1782.8</v>
      </c>
      <c r="Q299">
        <v>7.8</v>
      </c>
      <c r="R299" s="6">
        <f>RawSales[[#This Row],[Unit price]]*RawSales[[#This Row],[Quantity]]</f>
        <v>35656</v>
      </c>
      <c r="S299" s="6">
        <f>RawSales[[#This Row],[Subtotal]]*$B$1</f>
        <v>1782.8000000000002</v>
      </c>
      <c r="T299" s="6" t="b">
        <f>ROUND(RawSales[[#This Row],[Subtotal]],2)=ROUND(RawSales[[#This Row],[cogs]],2)</f>
        <v>1</v>
      </c>
      <c r="U299" s="6" t="b">
        <f>ROUND(RawSales[[#This Row],[cogs]]*0.05,2)=ROUND(RawSales[[#This Row],[Tax 5%]],2)</f>
        <v>1</v>
      </c>
      <c r="V299" s="6" t="b">
        <f>ROUND(RawSales[[#This Row],[cogs]]+RawSales[[#This Row],[Tax 5%]],2)=ROUND(RawSales[[#This Row],[Sales]],2)</f>
        <v>1</v>
      </c>
    </row>
    <row r="300" spans="1:22" x14ac:dyDescent="0.35">
      <c r="A300" s="4" t="s">
        <v>606</v>
      </c>
      <c r="B300" t="s">
        <v>20</v>
      </c>
      <c r="C300" t="s">
        <v>21</v>
      </c>
      <c r="D300" t="s">
        <v>30</v>
      </c>
      <c r="E300" t="s">
        <v>23</v>
      </c>
      <c r="F300" t="s">
        <v>32</v>
      </c>
      <c r="G300" s="6">
        <v>9652</v>
      </c>
      <c r="H300" s="7">
        <v>6</v>
      </c>
      <c r="I300" s="6">
        <v>2895.6</v>
      </c>
      <c r="J300" s="6">
        <v>60807.6</v>
      </c>
      <c r="K300" s="5">
        <v>43475.958333333336</v>
      </c>
      <c r="L300" s="4" t="s">
        <v>503</v>
      </c>
      <c r="M300" t="s">
        <v>26</v>
      </c>
      <c r="N300" s="6">
        <v>57912</v>
      </c>
      <c r="O300">
        <v>4.7619047620000003</v>
      </c>
      <c r="P300" s="6">
        <v>2895.6</v>
      </c>
      <c r="Q300">
        <v>4.5</v>
      </c>
      <c r="R300" s="6">
        <f>RawSales[[#This Row],[Unit price]]*RawSales[[#This Row],[Quantity]]</f>
        <v>57912</v>
      </c>
      <c r="S300" s="6">
        <f>RawSales[[#This Row],[Subtotal]]*$B$1</f>
        <v>2895.6000000000004</v>
      </c>
      <c r="T300" s="6" t="b">
        <f>ROUND(RawSales[[#This Row],[Subtotal]],2)=ROUND(RawSales[[#This Row],[cogs]],2)</f>
        <v>1</v>
      </c>
      <c r="U300" s="6" t="b">
        <f>ROUND(RawSales[[#This Row],[cogs]]*0.05,2)=ROUND(RawSales[[#This Row],[Tax 5%]],2)</f>
        <v>1</v>
      </c>
      <c r="V300" s="6" t="b">
        <f>ROUND(RawSales[[#This Row],[cogs]]+RawSales[[#This Row],[Tax 5%]],2)=ROUND(RawSales[[#This Row],[Sales]],2)</f>
        <v>1</v>
      </c>
    </row>
    <row r="301" spans="1:22" x14ac:dyDescent="0.35">
      <c r="A301" s="4" t="s">
        <v>607</v>
      </c>
      <c r="B301" t="s">
        <v>38</v>
      </c>
      <c r="C301" t="s">
        <v>39</v>
      </c>
      <c r="D301" t="s">
        <v>22</v>
      </c>
      <c r="E301" t="s">
        <v>31</v>
      </c>
      <c r="F301" t="s">
        <v>62</v>
      </c>
      <c r="G301" s="6">
        <v>8093</v>
      </c>
      <c r="H301" s="7">
        <v>1</v>
      </c>
      <c r="I301" s="6">
        <v>404.65</v>
      </c>
      <c r="J301" s="6">
        <v>8497.65</v>
      </c>
      <c r="K301" s="5">
        <v>43483.958333333336</v>
      </c>
      <c r="L301" s="4" t="s">
        <v>98</v>
      </c>
      <c r="M301" t="s">
        <v>51</v>
      </c>
      <c r="N301" s="6">
        <v>8093</v>
      </c>
      <c r="O301">
        <v>4.7619047620000003</v>
      </c>
      <c r="P301" s="6">
        <v>404.65</v>
      </c>
      <c r="Q301">
        <v>9</v>
      </c>
      <c r="R301" s="6">
        <f>RawSales[[#This Row],[Unit price]]*RawSales[[#This Row],[Quantity]]</f>
        <v>8093</v>
      </c>
      <c r="S301" s="6">
        <f>RawSales[[#This Row],[Subtotal]]*$B$1</f>
        <v>404.65000000000003</v>
      </c>
      <c r="T301" s="6" t="b">
        <f>ROUND(RawSales[[#This Row],[Subtotal]],2)=ROUND(RawSales[[#This Row],[cogs]],2)</f>
        <v>1</v>
      </c>
      <c r="U301" s="6" t="b">
        <f>ROUND(RawSales[[#This Row],[cogs]]*0.05,2)=ROUND(RawSales[[#This Row],[Tax 5%]],2)</f>
        <v>1</v>
      </c>
      <c r="V301" s="6" t="b">
        <f>ROUND(RawSales[[#This Row],[cogs]]+RawSales[[#This Row],[Tax 5%]],2)=ROUND(RawSales[[#This Row],[Sales]],2)</f>
        <v>1</v>
      </c>
    </row>
    <row r="302" spans="1:22" x14ac:dyDescent="0.35">
      <c r="A302" s="4" t="s">
        <v>608</v>
      </c>
      <c r="B302" t="s">
        <v>28</v>
      </c>
      <c r="C302" t="s">
        <v>29</v>
      </c>
      <c r="D302" t="s">
        <v>30</v>
      </c>
      <c r="E302" t="s">
        <v>31</v>
      </c>
      <c r="F302" t="s">
        <v>62</v>
      </c>
      <c r="G302" s="6">
        <v>3437</v>
      </c>
      <c r="H302" s="7">
        <v>10</v>
      </c>
      <c r="I302" s="6">
        <v>1718.5</v>
      </c>
      <c r="J302" s="6">
        <v>36088.5</v>
      </c>
      <c r="K302" s="5">
        <v>43539.958333333336</v>
      </c>
      <c r="L302" s="4" t="s">
        <v>125</v>
      </c>
      <c r="M302" t="s">
        <v>34</v>
      </c>
      <c r="N302" s="6">
        <v>34370</v>
      </c>
      <c r="O302">
        <v>4.7619047620000003</v>
      </c>
      <c r="P302" s="6">
        <v>1718.5</v>
      </c>
      <c r="Q302">
        <v>6.7</v>
      </c>
      <c r="R302" s="6">
        <f>RawSales[[#This Row],[Unit price]]*RawSales[[#This Row],[Quantity]]</f>
        <v>34370</v>
      </c>
      <c r="S302" s="6">
        <f>RawSales[[#This Row],[Subtotal]]*$B$1</f>
        <v>1718.5</v>
      </c>
      <c r="T302" s="6" t="b">
        <f>ROUND(RawSales[[#This Row],[Subtotal]],2)=ROUND(RawSales[[#This Row],[cogs]],2)</f>
        <v>1</v>
      </c>
      <c r="U302" s="6" t="b">
        <f>ROUND(RawSales[[#This Row],[cogs]]*0.05,2)=ROUND(RawSales[[#This Row],[Tax 5%]],2)</f>
        <v>1</v>
      </c>
      <c r="V302" s="6" t="b">
        <f>ROUND(RawSales[[#This Row],[cogs]]+RawSales[[#This Row],[Tax 5%]],2)=ROUND(RawSales[[#This Row],[Sales]],2)</f>
        <v>1</v>
      </c>
    </row>
    <row r="303" spans="1:22" x14ac:dyDescent="0.35">
      <c r="A303" s="4" t="s">
        <v>609</v>
      </c>
      <c r="B303" t="s">
        <v>28</v>
      </c>
      <c r="C303" t="s">
        <v>29</v>
      </c>
      <c r="D303" t="s">
        <v>22</v>
      </c>
      <c r="E303" t="s">
        <v>23</v>
      </c>
      <c r="F303" t="s">
        <v>62</v>
      </c>
      <c r="G303" s="6">
        <v>9028</v>
      </c>
      <c r="H303" s="7">
        <v>9</v>
      </c>
      <c r="I303" s="6">
        <v>4062.6</v>
      </c>
      <c r="J303" s="6">
        <v>85314.6</v>
      </c>
      <c r="K303" s="5">
        <v>43503.958333333336</v>
      </c>
      <c r="L303" s="4" t="s">
        <v>172</v>
      </c>
      <c r="M303" t="s">
        <v>34</v>
      </c>
      <c r="N303" s="6">
        <v>81252</v>
      </c>
      <c r="O303">
        <v>4.7619047620000003</v>
      </c>
      <c r="P303" s="6">
        <v>4062.6</v>
      </c>
      <c r="Q303">
        <v>7.2</v>
      </c>
      <c r="R303" s="6">
        <f>RawSales[[#This Row],[Unit price]]*RawSales[[#This Row],[Quantity]]</f>
        <v>81252</v>
      </c>
      <c r="S303" s="6">
        <f>RawSales[[#This Row],[Subtotal]]*$B$1</f>
        <v>4062.6000000000004</v>
      </c>
      <c r="T303" s="6" t="b">
        <f>ROUND(RawSales[[#This Row],[Subtotal]],2)=ROUND(RawSales[[#This Row],[cogs]],2)</f>
        <v>1</v>
      </c>
      <c r="U303" s="6" t="b">
        <f>ROUND(RawSales[[#This Row],[cogs]]*0.05,2)=ROUND(RawSales[[#This Row],[Tax 5%]],2)</f>
        <v>1</v>
      </c>
      <c r="V303" s="6" t="b">
        <f>ROUND(RawSales[[#This Row],[cogs]]+RawSales[[#This Row],[Tax 5%]],2)=ROUND(RawSales[[#This Row],[Sales]],2)</f>
        <v>1</v>
      </c>
    </row>
    <row r="304" spans="1:22" x14ac:dyDescent="0.35">
      <c r="A304" s="4" t="s">
        <v>610</v>
      </c>
      <c r="B304" t="s">
        <v>20</v>
      </c>
      <c r="C304" t="s">
        <v>21</v>
      </c>
      <c r="D304" t="s">
        <v>30</v>
      </c>
      <c r="E304" t="s">
        <v>31</v>
      </c>
      <c r="F304" t="s">
        <v>62</v>
      </c>
      <c r="G304" s="6">
        <v>3714</v>
      </c>
      <c r="H304" s="7">
        <v>5</v>
      </c>
      <c r="I304" s="6">
        <v>928.5</v>
      </c>
      <c r="J304" s="6">
        <v>19498.5</v>
      </c>
      <c r="K304" s="5">
        <v>43472.958333333336</v>
      </c>
      <c r="L304" s="4" t="s">
        <v>602</v>
      </c>
      <c r="M304" t="s">
        <v>34</v>
      </c>
      <c r="N304" s="6">
        <v>18570</v>
      </c>
      <c r="O304">
        <v>4.7619047620000003</v>
      </c>
      <c r="P304" s="6">
        <v>928.5</v>
      </c>
      <c r="Q304">
        <v>5</v>
      </c>
      <c r="R304" s="6">
        <f>RawSales[[#This Row],[Unit price]]*RawSales[[#This Row],[Quantity]]</f>
        <v>18570</v>
      </c>
      <c r="S304" s="6">
        <f>RawSales[[#This Row],[Subtotal]]*$B$1</f>
        <v>928.5</v>
      </c>
      <c r="T304" s="6" t="b">
        <f>ROUND(RawSales[[#This Row],[Subtotal]],2)=ROUND(RawSales[[#This Row],[cogs]],2)</f>
        <v>1</v>
      </c>
      <c r="U304" s="6" t="b">
        <f>ROUND(RawSales[[#This Row],[cogs]]*0.05,2)=ROUND(RawSales[[#This Row],[Tax 5%]],2)</f>
        <v>1</v>
      </c>
      <c r="V304" s="6" t="b">
        <f>ROUND(RawSales[[#This Row],[cogs]]+RawSales[[#This Row],[Tax 5%]],2)=ROUND(RawSales[[#This Row],[Sales]],2)</f>
        <v>1</v>
      </c>
    </row>
    <row r="305" spans="1:22" x14ac:dyDescent="0.35">
      <c r="A305" s="4" t="s">
        <v>611</v>
      </c>
      <c r="B305" t="s">
        <v>28</v>
      </c>
      <c r="C305" t="s">
        <v>29</v>
      </c>
      <c r="D305" t="s">
        <v>30</v>
      </c>
      <c r="E305" t="s">
        <v>31</v>
      </c>
      <c r="F305" t="s">
        <v>46</v>
      </c>
      <c r="G305" s="6">
        <v>4642</v>
      </c>
      <c r="H305" s="7">
        <v>3</v>
      </c>
      <c r="I305" s="6">
        <v>696.3</v>
      </c>
      <c r="J305" s="6">
        <v>14622.3</v>
      </c>
      <c r="K305" s="5">
        <v>43468.958333333336</v>
      </c>
      <c r="L305" s="4" t="s">
        <v>595</v>
      </c>
      <c r="M305" t="s">
        <v>51</v>
      </c>
      <c r="N305" s="6">
        <v>13926</v>
      </c>
      <c r="O305">
        <v>4.7619047620000003</v>
      </c>
      <c r="P305" s="6">
        <v>696.3</v>
      </c>
      <c r="Q305">
        <v>4.4000000000000004</v>
      </c>
      <c r="R305" s="6">
        <f>RawSales[[#This Row],[Unit price]]*RawSales[[#This Row],[Quantity]]</f>
        <v>13926</v>
      </c>
      <c r="S305" s="6">
        <f>RawSales[[#This Row],[Subtotal]]*$B$1</f>
        <v>696.30000000000007</v>
      </c>
      <c r="T305" s="6" t="b">
        <f>ROUND(RawSales[[#This Row],[Subtotal]],2)=ROUND(RawSales[[#This Row],[cogs]],2)</f>
        <v>1</v>
      </c>
      <c r="U305" s="6" t="b">
        <f>ROUND(RawSales[[#This Row],[cogs]]*0.05,2)=ROUND(RawSales[[#This Row],[Tax 5%]],2)</f>
        <v>1</v>
      </c>
      <c r="V305" s="6" t="b">
        <f>ROUND(RawSales[[#This Row],[cogs]]+RawSales[[#This Row],[Tax 5%]],2)=ROUND(RawSales[[#This Row],[Sales]],2)</f>
        <v>1</v>
      </c>
    </row>
    <row r="306" spans="1:22" x14ac:dyDescent="0.35">
      <c r="A306" s="4" t="s">
        <v>612</v>
      </c>
      <c r="B306" t="s">
        <v>38</v>
      </c>
      <c r="C306" t="s">
        <v>39</v>
      </c>
      <c r="D306" t="s">
        <v>22</v>
      </c>
      <c r="E306" t="s">
        <v>23</v>
      </c>
      <c r="F306" t="s">
        <v>49</v>
      </c>
      <c r="G306" s="6">
        <v>3190</v>
      </c>
      <c r="H306" s="7">
        <v>1</v>
      </c>
      <c r="I306" s="6">
        <v>159.5</v>
      </c>
      <c r="J306" s="6">
        <v>3349.5</v>
      </c>
      <c r="K306" s="5">
        <v>43469.958333333336</v>
      </c>
      <c r="L306" s="4" t="s">
        <v>579</v>
      </c>
      <c r="M306" t="s">
        <v>34</v>
      </c>
      <c r="N306" s="6">
        <v>3190</v>
      </c>
      <c r="O306">
        <v>4.7619047620000003</v>
      </c>
      <c r="P306" s="6">
        <v>159.5</v>
      </c>
      <c r="Q306">
        <v>9.1</v>
      </c>
      <c r="R306" s="6">
        <f>RawSales[[#This Row],[Unit price]]*RawSales[[#This Row],[Quantity]]</f>
        <v>3190</v>
      </c>
      <c r="S306" s="6">
        <f>RawSales[[#This Row],[Subtotal]]*$B$1</f>
        <v>159.5</v>
      </c>
      <c r="T306" s="6" t="b">
        <f>ROUND(RawSales[[#This Row],[Subtotal]],2)=ROUND(RawSales[[#This Row],[cogs]],2)</f>
        <v>1</v>
      </c>
      <c r="U306" s="6" t="b">
        <f>ROUND(RawSales[[#This Row],[cogs]]*0.05,2)=ROUND(RawSales[[#This Row],[Tax 5%]],2)</f>
        <v>1</v>
      </c>
      <c r="V306" s="6" t="b">
        <f>ROUND(RawSales[[#This Row],[cogs]]+RawSales[[#This Row],[Tax 5%]],2)=ROUND(RawSales[[#This Row],[Sales]],2)</f>
        <v>1</v>
      </c>
    </row>
    <row r="307" spans="1:22" x14ac:dyDescent="0.35">
      <c r="A307" s="4" t="s">
        <v>613</v>
      </c>
      <c r="B307" t="s">
        <v>20</v>
      </c>
      <c r="C307" t="s">
        <v>21</v>
      </c>
      <c r="D307" t="s">
        <v>22</v>
      </c>
      <c r="E307" t="s">
        <v>31</v>
      </c>
      <c r="F307" t="s">
        <v>49</v>
      </c>
      <c r="G307" s="6">
        <v>5134</v>
      </c>
      <c r="H307" s="7">
        <v>8</v>
      </c>
      <c r="I307" s="6">
        <v>2053.6</v>
      </c>
      <c r="J307" s="6">
        <v>43125.599999999999</v>
      </c>
      <c r="K307" s="5">
        <v>43495.958333333336</v>
      </c>
      <c r="L307" s="4" t="s">
        <v>25</v>
      </c>
      <c r="M307" t="s">
        <v>34</v>
      </c>
      <c r="N307" s="6">
        <v>41072</v>
      </c>
      <c r="O307">
        <v>4.7619047620000003</v>
      </c>
      <c r="P307" s="6">
        <v>2053.6</v>
      </c>
      <c r="Q307">
        <v>7.6</v>
      </c>
      <c r="R307" s="6">
        <f>RawSales[[#This Row],[Unit price]]*RawSales[[#This Row],[Quantity]]</f>
        <v>41072</v>
      </c>
      <c r="S307" s="6">
        <f>RawSales[[#This Row],[Subtotal]]*$B$1</f>
        <v>2053.6</v>
      </c>
      <c r="T307" s="6" t="b">
        <f>ROUND(RawSales[[#This Row],[Subtotal]],2)=ROUND(RawSales[[#This Row],[cogs]],2)</f>
        <v>1</v>
      </c>
      <c r="U307" s="6" t="b">
        <f>ROUND(RawSales[[#This Row],[cogs]]*0.05,2)=ROUND(RawSales[[#This Row],[Tax 5%]],2)</f>
        <v>1</v>
      </c>
      <c r="V307" s="6" t="b">
        <f>ROUND(RawSales[[#This Row],[cogs]]+RawSales[[#This Row],[Tax 5%]],2)=ROUND(RawSales[[#This Row],[Sales]],2)</f>
        <v>1</v>
      </c>
    </row>
    <row r="308" spans="1:22" x14ac:dyDescent="0.35">
      <c r="A308" s="4" t="s">
        <v>614</v>
      </c>
      <c r="B308" t="s">
        <v>28</v>
      </c>
      <c r="C308" t="s">
        <v>29</v>
      </c>
      <c r="D308" t="s">
        <v>22</v>
      </c>
      <c r="E308" t="s">
        <v>23</v>
      </c>
      <c r="F308" t="s">
        <v>40</v>
      </c>
      <c r="G308" s="6">
        <v>2143</v>
      </c>
      <c r="H308" s="7">
        <v>10</v>
      </c>
      <c r="I308" s="6">
        <v>1071.5</v>
      </c>
      <c r="J308" s="6">
        <v>22501.5</v>
      </c>
      <c r="K308" s="5">
        <v>43492.958333333336</v>
      </c>
      <c r="L308" s="4" t="s">
        <v>536</v>
      </c>
      <c r="M308" t="s">
        <v>26</v>
      </c>
      <c r="N308" s="6">
        <v>21430</v>
      </c>
      <c r="O308">
        <v>4.7619047620000003</v>
      </c>
      <c r="P308" s="6">
        <v>1071.5</v>
      </c>
      <c r="Q308">
        <v>6.2</v>
      </c>
      <c r="R308" s="6">
        <f>RawSales[[#This Row],[Unit price]]*RawSales[[#This Row],[Quantity]]</f>
        <v>21430</v>
      </c>
      <c r="S308" s="6">
        <f>RawSales[[#This Row],[Subtotal]]*$B$1</f>
        <v>1071.5</v>
      </c>
      <c r="T308" s="6" t="b">
        <f>ROUND(RawSales[[#This Row],[Subtotal]],2)=ROUND(RawSales[[#This Row],[cogs]],2)</f>
        <v>1</v>
      </c>
      <c r="U308" s="6" t="b">
        <f>ROUND(RawSales[[#This Row],[cogs]]*0.05,2)=ROUND(RawSales[[#This Row],[Tax 5%]],2)</f>
        <v>1</v>
      </c>
      <c r="V308" s="6" t="b">
        <f>ROUND(RawSales[[#This Row],[cogs]]+RawSales[[#This Row],[Tax 5%]],2)=ROUND(RawSales[[#This Row],[Sales]],2)</f>
        <v>1</v>
      </c>
    </row>
    <row r="309" spans="1:22" x14ac:dyDescent="0.35">
      <c r="A309" s="4" t="s">
        <v>615</v>
      </c>
      <c r="B309" t="s">
        <v>28</v>
      </c>
      <c r="C309" t="s">
        <v>29</v>
      </c>
      <c r="D309" t="s">
        <v>22</v>
      </c>
      <c r="E309" t="s">
        <v>23</v>
      </c>
      <c r="F309" t="s">
        <v>239</v>
      </c>
      <c r="G309" s="6">
        <v>7204</v>
      </c>
      <c r="H309" s="7">
        <v>2</v>
      </c>
      <c r="I309" s="6">
        <v>720.4</v>
      </c>
      <c r="J309" s="6">
        <v>15128.4</v>
      </c>
      <c r="K309" s="5">
        <v>43499.958333333336</v>
      </c>
      <c r="L309" s="4" t="s">
        <v>216</v>
      </c>
      <c r="M309" t="s">
        <v>26</v>
      </c>
      <c r="N309" s="6">
        <v>14408</v>
      </c>
      <c r="O309">
        <v>4.7619047620000003</v>
      </c>
      <c r="P309" s="6">
        <v>720.4</v>
      </c>
      <c r="Q309">
        <v>9.5</v>
      </c>
      <c r="R309" s="6">
        <f>RawSales[[#This Row],[Unit price]]*RawSales[[#This Row],[Quantity]]</f>
        <v>14408</v>
      </c>
      <c r="S309" s="6">
        <f>RawSales[[#This Row],[Subtotal]]*$B$1</f>
        <v>720.40000000000009</v>
      </c>
      <c r="T309" s="6" t="b">
        <f>ROUND(RawSales[[#This Row],[Subtotal]],2)=ROUND(RawSales[[#This Row],[cogs]],2)</f>
        <v>1</v>
      </c>
      <c r="U309" s="6" t="b">
        <f>ROUND(RawSales[[#This Row],[cogs]]*0.05,2)=ROUND(RawSales[[#This Row],[Tax 5%]],2)</f>
        <v>1</v>
      </c>
      <c r="V309" s="6" t="b">
        <f>ROUND(RawSales[[#This Row],[cogs]]+RawSales[[#This Row],[Tax 5%]],2)=ROUND(RawSales[[#This Row],[Sales]],2)</f>
        <v>1</v>
      </c>
    </row>
    <row r="310" spans="1:22" x14ac:dyDescent="0.35">
      <c r="A310" s="4" t="s">
        <v>616</v>
      </c>
      <c r="B310" t="s">
        <v>28</v>
      </c>
      <c r="C310" t="s">
        <v>29</v>
      </c>
      <c r="D310" t="s">
        <v>22</v>
      </c>
      <c r="E310" t="s">
        <v>23</v>
      </c>
      <c r="F310" t="s">
        <v>43</v>
      </c>
      <c r="G310" s="6">
        <v>2532</v>
      </c>
      <c r="H310" s="7">
        <v>8</v>
      </c>
      <c r="I310" s="6">
        <v>1012.8</v>
      </c>
      <c r="J310" s="6">
        <v>21268.799999999999</v>
      </c>
      <c r="K310" s="5">
        <v>43528.958333333336</v>
      </c>
      <c r="L310" s="4" t="s">
        <v>358</v>
      </c>
      <c r="M310" t="s">
        <v>34</v>
      </c>
      <c r="N310" s="6">
        <v>20256</v>
      </c>
      <c r="O310">
        <v>4.7619047620000003</v>
      </c>
      <c r="P310" s="6">
        <v>1012.8</v>
      </c>
      <c r="Q310">
        <v>8.6999999999999993</v>
      </c>
      <c r="R310" s="6">
        <f>RawSales[[#This Row],[Unit price]]*RawSales[[#This Row],[Quantity]]</f>
        <v>20256</v>
      </c>
      <c r="S310" s="6">
        <f>RawSales[[#This Row],[Subtotal]]*$B$1</f>
        <v>1012.8000000000001</v>
      </c>
      <c r="T310" s="6" t="b">
        <f>ROUND(RawSales[[#This Row],[Subtotal]],2)=ROUND(RawSales[[#This Row],[cogs]],2)</f>
        <v>1</v>
      </c>
      <c r="U310" s="6" t="b">
        <f>ROUND(RawSales[[#This Row],[cogs]]*0.05,2)=ROUND(RawSales[[#This Row],[Tax 5%]],2)</f>
        <v>1</v>
      </c>
      <c r="V310" s="6" t="b">
        <f>ROUND(RawSales[[#This Row],[cogs]]+RawSales[[#This Row],[Tax 5%]],2)=ROUND(RawSales[[#This Row],[Sales]],2)</f>
        <v>1</v>
      </c>
    </row>
    <row r="311" spans="1:22" x14ac:dyDescent="0.35">
      <c r="A311" s="4" t="s">
        <v>617</v>
      </c>
      <c r="B311" t="s">
        <v>28</v>
      </c>
      <c r="C311" t="s">
        <v>29</v>
      </c>
      <c r="D311" t="s">
        <v>30</v>
      </c>
      <c r="E311" t="s">
        <v>31</v>
      </c>
      <c r="F311" t="s">
        <v>24</v>
      </c>
      <c r="G311" s="6">
        <v>7239</v>
      </c>
      <c r="H311" s="7">
        <v>2</v>
      </c>
      <c r="I311" s="6">
        <v>723.9</v>
      </c>
      <c r="J311" s="6">
        <v>15201.9</v>
      </c>
      <c r="K311" s="5">
        <v>43477.958333333336</v>
      </c>
      <c r="L311" s="4" t="s">
        <v>618</v>
      </c>
      <c r="M311" t="s">
        <v>51</v>
      </c>
      <c r="N311" s="6">
        <v>14478</v>
      </c>
      <c r="O311">
        <v>4.7619047620000003</v>
      </c>
      <c r="P311" s="6">
        <v>723.9</v>
      </c>
      <c r="Q311">
        <v>8.1</v>
      </c>
      <c r="R311" s="6">
        <f>RawSales[[#This Row],[Unit price]]*RawSales[[#This Row],[Quantity]]</f>
        <v>14478</v>
      </c>
      <c r="S311" s="6">
        <f>RawSales[[#This Row],[Subtotal]]*$B$1</f>
        <v>723.90000000000009</v>
      </c>
      <c r="T311" s="6" t="b">
        <f>ROUND(RawSales[[#This Row],[Subtotal]],2)=ROUND(RawSales[[#This Row],[cogs]],2)</f>
        <v>1</v>
      </c>
      <c r="U311" s="6" t="b">
        <f>ROUND(RawSales[[#This Row],[cogs]]*0.05,2)=ROUND(RawSales[[#This Row],[Tax 5%]],2)</f>
        <v>1</v>
      </c>
      <c r="V311" s="6" t="b">
        <f>ROUND(RawSales[[#This Row],[cogs]]+RawSales[[#This Row],[Tax 5%]],2)=ROUND(RawSales[[#This Row],[Sales]],2)</f>
        <v>1</v>
      </c>
    </row>
    <row r="312" spans="1:22" x14ac:dyDescent="0.35">
      <c r="A312" s="4" t="s">
        <v>619</v>
      </c>
      <c r="B312" t="s">
        <v>28</v>
      </c>
      <c r="C312" t="s">
        <v>29</v>
      </c>
      <c r="D312" t="s">
        <v>22</v>
      </c>
      <c r="E312" t="s">
        <v>31</v>
      </c>
      <c r="F312" t="s">
        <v>49</v>
      </c>
      <c r="G312" s="6">
        <v>3363</v>
      </c>
      <c r="H312" s="7">
        <v>1</v>
      </c>
      <c r="I312" s="6">
        <v>168.15</v>
      </c>
      <c r="J312" s="6">
        <v>3531.15</v>
      </c>
      <c r="K312" s="5">
        <v>43543.958333333336</v>
      </c>
      <c r="L312" s="4" t="s">
        <v>618</v>
      </c>
      <c r="M312" t="s">
        <v>26</v>
      </c>
      <c r="N312" s="6">
        <v>3363</v>
      </c>
      <c r="O312">
        <v>4.7619047620000003</v>
      </c>
      <c r="P312" s="6">
        <v>168.15</v>
      </c>
      <c r="Q312">
        <v>5.6</v>
      </c>
      <c r="R312" s="6">
        <f>RawSales[[#This Row],[Unit price]]*RawSales[[#This Row],[Quantity]]</f>
        <v>3363</v>
      </c>
      <c r="S312" s="6">
        <f>RawSales[[#This Row],[Subtotal]]*$B$1</f>
        <v>168.15</v>
      </c>
      <c r="T312" s="6" t="b">
        <f>ROUND(RawSales[[#This Row],[Subtotal]],2)=ROUND(RawSales[[#This Row],[cogs]],2)</f>
        <v>1</v>
      </c>
      <c r="U312" s="6" t="b">
        <f>ROUND(RawSales[[#This Row],[cogs]]*0.05,2)=ROUND(RawSales[[#This Row],[Tax 5%]],2)</f>
        <v>1</v>
      </c>
      <c r="V312" s="6" t="b">
        <f>ROUND(RawSales[[#This Row],[cogs]]+RawSales[[#This Row],[Tax 5%]],2)=ROUND(RawSales[[#This Row],[Sales]],2)</f>
        <v>1</v>
      </c>
    </row>
    <row r="313" spans="1:22" x14ac:dyDescent="0.35">
      <c r="A313" s="4" t="s">
        <v>620</v>
      </c>
      <c r="B313" t="s">
        <v>38</v>
      </c>
      <c r="C313" t="s">
        <v>39</v>
      </c>
      <c r="D313" t="s">
        <v>22</v>
      </c>
      <c r="E313" t="s">
        <v>23</v>
      </c>
      <c r="F313" t="s">
        <v>32</v>
      </c>
      <c r="G313" s="6">
        <v>8317</v>
      </c>
      <c r="H313" s="7">
        <v>6</v>
      </c>
      <c r="I313" s="6">
        <v>2495.1</v>
      </c>
      <c r="J313" s="6">
        <v>52397.1</v>
      </c>
      <c r="K313" s="5">
        <v>43543.958333333336</v>
      </c>
      <c r="L313" s="4" t="s">
        <v>249</v>
      </c>
      <c r="M313" t="s">
        <v>26</v>
      </c>
      <c r="N313" s="6">
        <v>49902</v>
      </c>
      <c r="O313">
        <v>4.7619047620000003</v>
      </c>
      <c r="P313" s="6">
        <v>2495.1</v>
      </c>
      <c r="Q313">
        <v>7.3</v>
      </c>
      <c r="R313" s="6">
        <f>RawSales[[#This Row],[Unit price]]*RawSales[[#This Row],[Quantity]]</f>
        <v>49902</v>
      </c>
      <c r="S313" s="6">
        <f>RawSales[[#This Row],[Subtotal]]*$B$1</f>
        <v>2495.1000000000004</v>
      </c>
      <c r="T313" s="6" t="b">
        <f>ROUND(RawSales[[#This Row],[Subtotal]],2)=ROUND(RawSales[[#This Row],[cogs]],2)</f>
        <v>1</v>
      </c>
      <c r="U313" s="6" t="b">
        <f>ROUND(RawSales[[#This Row],[cogs]]*0.05,2)=ROUND(RawSales[[#This Row],[Tax 5%]],2)</f>
        <v>1</v>
      </c>
      <c r="V313" s="6" t="b">
        <f>ROUND(RawSales[[#This Row],[cogs]]+RawSales[[#This Row],[Tax 5%]],2)=ROUND(RawSales[[#This Row],[Sales]],2)</f>
        <v>1</v>
      </c>
    </row>
    <row r="314" spans="1:22" x14ac:dyDescent="0.35">
      <c r="A314" s="4" t="s">
        <v>621</v>
      </c>
      <c r="B314" t="s">
        <v>28</v>
      </c>
      <c r="C314" t="s">
        <v>29</v>
      </c>
      <c r="D314" t="s">
        <v>22</v>
      </c>
      <c r="E314" t="s">
        <v>31</v>
      </c>
      <c r="F314" t="s">
        <v>32</v>
      </c>
      <c r="G314" s="6">
        <v>3881</v>
      </c>
      <c r="H314" s="7">
        <v>4</v>
      </c>
      <c r="I314" s="6">
        <v>776.2</v>
      </c>
      <c r="J314" s="6">
        <v>16300.2</v>
      </c>
      <c r="K314" s="5">
        <v>43542.958333333336</v>
      </c>
      <c r="L314" s="4" t="s">
        <v>314</v>
      </c>
      <c r="M314" t="s">
        <v>34</v>
      </c>
      <c r="N314" s="6">
        <v>15524</v>
      </c>
      <c r="O314">
        <v>4.7619047620000003</v>
      </c>
      <c r="P314" s="6">
        <v>776.2</v>
      </c>
      <c r="Q314">
        <v>4.9000000000000004</v>
      </c>
      <c r="R314" s="6">
        <f>RawSales[[#This Row],[Unit price]]*RawSales[[#This Row],[Quantity]]</f>
        <v>15524</v>
      </c>
      <c r="S314" s="6">
        <f>RawSales[[#This Row],[Subtotal]]*$B$1</f>
        <v>776.2</v>
      </c>
      <c r="T314" s="6" t="b">
        <f>ROUND(RawSales[[#This Row],[Subtotal]],2)=ROUND(RawSales[[#This Row],[cogs]],2)</f>
        <v>1</v>
      </c>
      <c r="U314" s="6" t="b">
        <f>ROUND(RawSales[[#This Row],[cogs]]*0.05,2)=ROUND(RawSales[[#This Row],[Tax 5%]],2)</f>
        <v>1</v>
      </c>
      <c r="V314" s="6" t="b">
        <f>ROUND(RawSales[[#This Row],[cogs]]+RawSales[[#This Row],[Tax 5%]],2)=ROUND(RawSales[[#This Row],[Sales]],2)</f>
        <v>1</v>
      </c>
    </row>
    <row r="315" spans="1:22" x14ac:dyDescent="0.35">
      <c r="A315" s="4" t="s">
        <v>622</v>
      </c>
      <c r="B315" t="s">
        <v>28</v>
      </c>
      <c r="C315" t="s">
        <v>29</v>
      </c>
      <c r="D315" t="s">
        <v>30</v>
      </c>
      <c r="E315" t="s">
        <v>23</v>
      </c>
      <c r="F315" t="s">
        <v>62</v>
      </c>
      <c r="G315" s="6">
        <v>3484</v>
      </c>
      <c r="H315" s="7">
        <v>4</v>
      </c>
      <c r="I315" s="6">
        <v>696.8</v>
      </c>
      <c r="J315" s="6">
        <v>14632.8</v>
      </c>
      <c r="K315" s="5">
        <v>43505.958333333336</v>
      </c>
      <c r="L315" s="4" t="s">
        <v>623</v>
      </c>
      <c r="M315" t="s">
        <v>26</v>
      </c>
      <c r="N315" s="6">
        <v>13936</v>
      </c>
      <c r="O315">
        <v>4.7619047620000003</v>
      </c>
      <c r="P315" s="6">
        <v>696.8</v>
      </c>
      <c r="Q315">
        <v>7.4</v>
      </c>
      <c r="R315" s="6">
        <f>RawSales[[#This Row],[Unit price]]*RawSales[[#This Row],[Quantity]]</f>
        <v>13936</v>
      </c>
      <c r="S315" s="6">
        <f>RawSales[[#This Row],[Subtotal]]*$B$1</f>
        <v>696.80000000000007</v>
      </c>
      <c r="T315" s="6" t="b">
        <f>ROUND(RawSales[[#This Row],[Subtotal]],2)=ROUND(RawSales[[#This Row],[cogs]],2)</f>
        <v>1</v>
      </c>
      <c r="U315" s="6" t="b">
        <f>ROUND(RawSales[[#This Row],[cogs]]*0.05,2)=ROUND(RawSales[[#This Row],[Tax 5%]],2)</f>
        <v>1</v>
      </c>
      <c r="V315" s="6" t="b">
        <f>ROUND(RawSales[[#This Row],[cogs]]+RawSales[[#This Row],[Tax 5%]],2)=ROUND(RawSales[[#This Row],[Sales]],2)</f>
        <v>1</v>
      </c>
    </row>
    <row r="316" spans="1:22" x14ac:dyDescent="0.35">
      <c r="A316" s="4" t="s">
        <v>624</v>
      </c>
      <c r="B316" t="s">
        <v>20</v>
      </c>
      <c r="C316" t="s">
        <v>21</v>
      </c>
      <c r="D316" t="s">
        <v>22</v>
      </c>
      <c r="E316" t="s">
        <v>31</v>
      </c>
      <c r="F316" t="s">
        <v>140</v>
      </c>
      <c r="G316" s="6">
        <v>2089</v>
      </c>
      <c r="H316" s="7">
        <v>2</v>
      </c>
      <c r="I316" s="6">
        <v>208.9</v>
      </c>
      <c r="J316" s="6">
        <v>4386.8999999999996</v>
      </c>
      <c r="K316" s="4" t="s">
        <v>481</v>
      </c>
      <c r="L316" s="4" t="s">
        <v>452</v>
      </c>
      <c r="M316" t="s">
        <v>26</v>
      </c>
      <c r="N316" s="6">
        <v>4178</v>
      </c>
      <c r="O316">
        <v>4.7619047620000003</v>
      </c>
      <c r="P316" s="6">
        <v>208.9</v>
      </c>
      <c r="Q316">
        <v>9.8000000000000007</v>
      </c>
      <c r="R316" s="6">
        <f>RawSales[[#This Row],[Unit price]]*RawSales[[#This Row],[Quantity]]</f>
        <v>4178</v>
      </c>
      <c r="S316" s="6">
        <f>RawSales[[#This Row],[Subtotal]]*$B$1</f>
        <v>208.9</v>
      </c>
      <c r="T316" s="6" t="b">
        <f>ROUND(RawSales[[#This Row],[Subtotal]],2)=ROUND(RawSales[[#This Row],[cogs]],2)</f>
        <v>1</v>
      </c>
      <c r="U316" s="6" t="b">
        <f>ROUND(RawSales[[#This Row],[cogs]]*0.05,2)=ROUND(RawSales[[#This Row],[Tax 5%]],2)</f>
        <v>1</v>
      </c>
      <c r="V316" s="6" t="b">
        <f>ROUND(RawSales[[#This Row],[cogs]]+RawSales[[#This Row],[Tax 5%]],2)=ROUND(RawSales[[#This Row],[Sales]],2)</f>
        <v>1</v>
      </c>
    </row>
    <row r="317" spans="1:22" x14ac:dyDescent="0.35">
      <c r="A317" s="4" t="s">
        <v>625</v>
      </c>
      <c r="B317" t="s">
        <v>38</v>
      </c>
      <c r="C317" t="s">
        <v>39</v>
      </c>
      <c r="D317" t="s">
        <v>30</v>
      </c>
      <c r="E317" t="s">
        <v>31</v>
      </c>
      <c r="F317" t="s">
        <v>140</v>
      </c>
      <c r="G317" s="6">
        <v>8308</v>
      </c>
      <c r="H317" s="7">
        <v>1</v>
      </c>
      <c r="I317" s="6">
        <v>415.4</v>
      </c>
      <c r="J317" s="6">
        <v>8723.4</v>
      </c>
      <c r="K317" s="5">
        <v>43487.958333333336</v>
      </c>
      <c r="L317" s="4" t="s">
        <v>534</v>
      </c>
      <c r="M317" t="s">
        <v>34</v>
      </c>
      <c r="N317" s="6">
        <v>8308</v>
      </c>
      <c r="O317">
        <v>4.7619047620000003</v>
      </c>
      <c r="P317" s="6">
        <v>415.4</v>
      </c>
      <c r="Q317">
        <v>6.4</v>
      </c>
      <c r="R317" s="6">
        <f>RawSales[[#This Row],[Unit price]]*RawSales[[#This Row],[Quantity]]</f>
        <v>8308</v>
      </c>
      <c r="S317" s="6">
        <f>RawSales[[#This Row],[Subtotal]]*$B$1</f>
        <v>415.40000000000003</v>
      </c>
      <c r="T317" s="6" t="b">
        <f>ROUND(RawSales[[#This Row],[Subtotal]],2)=ROUND(RawSales[[#This Row],[cogs]],2)</f>
        <v>1</v>
      </c>
      <c r="U317" s="6" t="b">
        <f>ROUND(RawSales[[#This Row],[cogs]]*0.05,2)=ROUND(RawSales[[#This Row],[Tax 5%]],2)</f>
        <v>1</v>
      </c>
      <c r="V317" s="6" t="b">
        <f>ROUND(RawSales[[#This Row],[cogs]]+RawSales[[#This Row],[Tax 5%]],2)=ROUND(RawSales[[#This Row],[Sales]],2)</f>
        <v>1</v>
      </c>
    </row>
    <row r="318" spans="1:22" x14ac:dyDescent="0.35">
      <c r="A318" s="4" t="s">
        <v>626</v>
      </c>
      <c r="B318" t="s">
        <v>20</v>
      </c>
      <c r="C318" t="s">
        <v>21</v>
      </c>
      <c r="D318" t="s">
        <v>22</v>
      </c>
      <c r="E318" t="s">
        <v>31</v>
      </c>
      <c r="F318" t="s">
        <v>43</v>
      </c>
      <c r="G318" s="6">
        <v>4863</v>
      </c>
      <c r="H318" s="7">
        <v>10</v>
      </c>
      <c r="I318" s="6">
        <v>2431.5</v>
      </c>
      <c r="J318" s="6">
        <v>51061.5</v>
      </c>
      <c r="K318" s="5">
        <v>43527.958333333336</v>
      </c>
      <c r="L318" s="4" t="s">
        <v>627</v>
      </c>
      <c r="M318" t="s">
        <v>26</v>
      </c>
      <c r="N318" s="6">
        <v>48630</v>
      </c>
      <c r="O318">
        <v>4.7619047620000003</v>
      </c>
      <c r="P318" s="6">
        <v>2431.5</v>
      </c>
      <c r="Q318">
        <v>8.8000000000000007</v>
      </c>
      <c r="R318" s="6">
        <f>RawSales[[#This Row],[Unit price]]*RawSales[[#This Row],[Quantity]]</f>
        <v>48630</v>
      </c>
      <c r="S318" s="6">
        <f>RawSales[[#This Row],[Subtotal]]*$B$1</f>
        <v>2431.5</v>
      </c>
      <c r="T318" s="6" t="b">
        <f>ROUND(RawSales[[#This Row],[Subtotal]],2)=ROUND(RawSales[[#This Row],[cogs]],2)</f>
        <v>1</v>
      </c>
      <c r="U318" s="6" t="b">
        <f>ROUND(RawSales[[#This Row],[cogs]]*0.05,2)=ROUND(RawSales[[#This Row],[Tax 5%]],2)</f>
        <v>1</v>
      </c>
      <c r="V318" s="6" t="b">
        <f>ROUND(RawSales[[#This Row],[cogs]]+RawSales[[#This Row],[Tax 5%]],2)=ROUND(RawSales[[#This Row],[Sales]],2)</f>
        <v>1</v>
      </c>
    </row>
    <row r="319" spans="1:22" x14ac:dyDescent="0.35">
      <c r="A319" s="4" t="s">
        <v>628</v>
      </c>
      <c r="B319" t="s">
        <v>38</v>
      </c>
      <c r="C319" t="s">
        <v>39</v>
      </c>
      <c r="D319" t="s">
        <v>22</v>
      </c>
      <c r="E319" t="s">
        <v>23</v>
      </c>
      <c r="F319" t="s">
        <v>100</v>
      </c>
      <c r="G319" s="6">
        <v>3347</v>
      </c>
      <c r="H319" s="7">
        <v>2</v>
      </c>
      <c r="I319" s="6">
        <v>334.7</v>
      </c>
      <c r="J319" s="6">
        <v>7028.7</v>
      </c>
      <c r="K319" s="5">
        <v>43505.958333333336</v>
      </c>
      <c r="L319" s="4" t="s">
        <v>629</v>
      </c>
      <c r="M319" t="s">
        <v>34</v>
      </c>
      <c r="N319" s="6">
        <v>6694</v>
      </c>
      <c r="O319">
        <v>4.7619047620000003</v>
      </c>
      <c r="P319" s="6">
        <v>334.7</v>
      </c>
      <c r="Q319">
        <v>6.7</v>
      </c>
      <c r="R319" s="6">
        <f>RawSales[[#This Row],[Unit price]]*RawSales[[#This Row],[Quantity]]</f>
        <v>6694</v>
      </c>
      <c r="S319" s="6">
        <f>RawSales[[#This Row],[Subtotal]]*$B$1</f>
        <v>334.70000000000005</v>
      </c>
      <c r="T319" s="6" t="b">
        <f>ROUND(RawSales[[#This Row],[Subtotal]],2)=ROUND(RawSales[[#This Row],[cogs]],2)</f>
        <v>1</v>
      </c>
      <c r="U319" s="6" t="b">
        <f>ROUND(RawSales[[#This Row],[cogs]]*0.05,2)=ROUND(RawSales[[#This Row],[Tax 5%]],2)</f>
        <v>1</v>
      </c>
      <c r="V319" s="6" t="b">
        <f>ROUND(RawSales[[#This Row],[cogs]]+RawSales[[#This Row],[Tax 5%]],2)=ROUND(RawSales[[#This Row],[Sales]],2)</f>
        <v>1</v>
      </c>
    </row>
    <row r="320" spans="1:22" x14ac:dyDescent="0.35">
      <c r="A320" s="4" t="s">
        <v>630</v>
      </c>
      <c r="B320" t="s">
        <v>20</v>
      </c>
      <c r="C320" t="s">
        <v>21</v>
      </c>
      <c r="D320" t="s">
        <v>30</v>
      </c>
      <c r="E320" t="s">
        <v>31</v>
      </c>
      <c r="F320" t="s">
        <v>43</v>
      </c>
      <c r="G320" s="6">
        <v>3246</v>
      </c>
      <c r="H320" s="7">
        <v>8</v>
      </c>
      <c r="I320" s="6">
        <v>1298.4000000000001</v>
      </c>
      <c r="J320" s="6">
        <v>27266.400000000001</v>
      </c>
      <c r="K320" s="5">
        <v>43550.958333333336</v>
      </c>
      <c r="L320" s="4" t="s">
        <v>349</v>
      </c>
      <c r="M320" t="s">
        <v>51</v>
      </c>
      <c r="N320" s="6">
        <v>25968</v>
      </c>
      <c r="O320">
        <v>4.7619047620000003</v>
      </c>
      <c r="P320" s="6">
        <v>1298.4000000000001</v>
      </c>
      <c r="Q320">
        <v>4.9000000000000004</v>
      </c>
      <c r="R320" s="6">
        <f>RawSales[[#This Row],[Unit price]]*RawSales[[#This Row],[Quantity]]</f>
        <v>25968</v>
      </c>
      <c r="S320" s="6">
        <f>RawSales[[#This Row],[Subtotal]]*$B$1</f>
        <v>1298.4000000000001</v>
      </c>
      <c r="T320" s="6" t="b">
        <f>ROUND(RawSales[[#This Row],[Subtotal]],2)=ROUND(RawSales[[#This Row],[cogs]],2)</f>
        <v>1</v>
      </c>
      <c r="U320" s="6" t="b">
        <f>ROUND(RawSales[[#This Row],[cogs]]*0.05,2)=ROUND(RawSales[[#This Row],[Tax 5%]],2)</f>
        <v>1</v>
      </c>
      <c r="V320" s="6" t="b">
        <f>ROUND(RawSales[[#This Row],[cogs]]+RawSales[[#This Row],[Tax 5%]],2)=ROUND(RawSales[[#This Row],[Sales]],2)</f>
        <v>1</v>
      </c>
    </row>
    <row r="321" spans="1:22" x14ac:dyDescent="0.35">
      <c r="A321" s="4" t="s">
        <v>631</v>
      </c>
      <c r="B321" t="s">
        <v>28</v>
      </c>
      <c r="C321" t="s">
        <v>29</v>
      </c>
      <c r="D321" t="s">
        <v>30</v>
      </c>
      <c r="E321" t="s">
        <v>23</v>
      </c>
      <c r="F321" t="s">
        <v>40</v>
      </c>
      <c r="G321" s="6">
        <v>2365</v>
      </c>
      <c r="H321" s="7">
        <v>4</v>
      </c>
      <c r="I321" s="6">
        <v>473</v>
      </c>
      <c r="J321" s="6">
        <v>9933</v>
      </c>
      <c r="K321" s="5">
        <v>43494.958333333336</v>
      </c>
      <c r="L321" s="4" t="s">
        <v>131</v>
      </c>
      <c r="M321" t="s">
        <v>51</v>
      </c>
      <c r="N321" s="6">
        <v>9460</v>
      </c>
      <c r="O321">
        <v>4.7619047620000003</v>
      </c>
      <c r="P321" s="6">
        <v>473</v>
      </c>
      <c r="Q321">
        <v>4</v>
      </c>
      <c r="R321" s="6">
        <f>RawSales[[#This Row],[Unit price]]*RawSales[[#This Row],[Quantity]]</f>
        <v>9460</v>
      </c>
      <c r="S321" s="6">
        <f>RawSales[[#This Row],[Subtotal]]*$B$1</f>
        <v>473</v>
      </c>
      <c r="T321" s="6" t="b">
        <f>ROUND(RawSales[[#This Row],[Subtotal]],2)=ROUND(RawSales[[#This Row],[cogs]],2)</f>
        <v>1</v>
      </c>
      <c r="U321" s="6" t="b">
        <f>ROUND(RawSales[[#This Row],[cogs]]*0.05,2)=ROUND(RawSales[[#This Row],[Tax 5%]],2)</f>
        <v>1</v>
      </c>
      <c r="V321" s="6" t="b">
        <f>ROUND(RawSales[[#This Row],[cogs]]+RawSales[[#This Row],[Tax 5%]],2)=ROUND(RawSales[[#This Row],[Sales]],2)</f>
        <v>1</v>
      </c>
    </row>
    <row r="322" spans="1:22" x14ac:dyDescent="0.35">
      <c r="A322" s="4" t="s">
        <v>632</v>
      </c>
      <c r="B322" t="s">
        <v>28</v>
      </c>
      <c r="C322" t="s">
        <v>29</v>
      </c>
      <c r="D322" t="s">
        <v>22</v>
      </c>
      <c r="E322" t="s">
        <v>23</v>
      </c>
      <c r="F322" t="s">
        <v>24</v>
      </c>
      <c r="G322" s="6">
        <v>3321</v>
      </c>
      <c r="H322" s="7">
        <v>10</v>
      </c>
      <c r="I322" s="6">
        <v>1660.5</v>
      </c>
      <c r="J322" s="6">
        <v>34870.5</v>
      </c>
      <c r="K322" s="5">
        <v>43472.958333333336</v>
      </c>
      <c r="L322" s="4" t="s">
        <v>633</v>
      </c>
      <c r="M322" t="s">
        <v>34</v>
      </c>
      <c r="N322" s="6">
        <v>33210</v>
      </c>
      <c r="O322">
        <v>4.7619047620000003</v>
      </c>
      <c r="P322" s="6">
        <v>1660.5</v>
      </c>
      <c r="Q322">
        <v>6</v>
      </c>
      <c r="R322" s="6">
        <f>RawSales[[#This Row],[Unit price]]*RawSales[[#This Row],[Quantity]]</f>
        <v>33210</v>
      </c>
      <c r="S322" s="6">
        <f>RawSales[[#This Row],[Subtotal]]*$B$1</f>
        <v>1660.5</v>
      </c>
      <c r="T322" s="6" t="b">
        <f>ROUND(RawSales[[#This Row],[Subtotal]],2)=ROUND(RawSales[[#This Row],[cogs]],2)</f>
        <v>1</v>
      </c>
      <c r="U322" s="6" t="b">
        <f>ROUND(RawSales[[#This Row],[cogs]]*0.05,2)=ROUND(RawSales[[#This Row],[Tax 5%]],2)</f>
        <v>1</v>
      </c>
      <c r="V322" s="6" t="b">
        <f>ROUND(RawSales[[#This Row],[cogs]]+RawSales[[#This Row],[Tax 5%]],2)=ROUND(RawSales[[#This Row],[Sales]],2)</f>
        <v>1</v>
      </c>
    </row>
    <row r="323" spans="1:22" x14ac:dyDescent="0.35">
      <c r="A323" s="4" t="s">
        <v>634</v>
      </c>
      <c r="B323" t="s">
        <v>28</v>
      </c>
      <c r="C323" t="s">
        <v>29</v>
      </c>
      <c r="D323" t="s">
        <v>22</v>
      </c>
      <c r="E323" t="s">
        <v>31</v>
      </c>
      <c r="F323" t="s">
        <v>24</v>
      </c>
      <c r="G323" s="6">
        <v>4716</v>
      </c>
      <c r="H323" s="7">
        <v>5</v>
      </c>
      <c r="I323" s="6">
        <v>1179</v>
      </c>
      <c r="J323" s="6">
        <v>24759</v>
      </c>
      <c r="K323" s="5">
        <v>43498.958333333336</v>
      </c>
      <c r="L323" s="4" t="s">
        <v>635</v>
      </c>
      <c r="M323" t="s">
        <v>51</v>
      </c>
      <c r="N323" s="6">
        <v>23580</v>
      </c>
      <c r="O323">
        <v>4.7619047620000003</v>
      </c>
      <c r="P323" s="6">
        <v>1179</v>
      </c>
      <c r="Q323">
        <v>6</v>
      </c>
      <c r="R323" s="6">
        <f>RawSales[[#This Row],[Unit price]]*RawSales[[#This Row],[Quantity]]</f>
        <v>23580</v>
      </c>
      <c r="S323" s="6">
        <f>RawSales[[#This Row],[Subtotal]]*$B$1</f>
        <v>1179</v>
      </c>
      <c r="T323" s="6" t="b">
        <f>ROUND(RawSales[[#This Row],[Subtotal]],2)=ROUND(RawSales[[#This Row],[cogs]],2)</f>
        <v>1</v>
      </c>
      <c r="U323" s="6" t="b">
        <f>ROUND(RawSales[[#This Row],[cogs]]*0.05,2)=ROUND(RawSales[[#This Row],[Tax 5%]],2)</f>
        <v>1</v>
      </c>
      <c r="V323" s="6" t="b">
        <f>ROUND(RawSales[[#This Row],[cogs]]+RawSales[[#This Row],[Tax 5%]],2)=ROUND(RawSales[[#This Row],[Sales]],2)</f>
        <v>1</v>
      </c>
    </row>
    <row r="324" spans="1:22" x14ac:dyDescent="0.35">
      <c r="A324" s="4" t="s">
        <v>636</v>
      </c>
      <c r="B324" t="s">
        <v>38</v>
      </c>
      <c r="C324" t="s">
        <v>39</v>
      </c>
      <c r="D324" t="s">
        <v>22</v>
      </c>
      <c r="E324" t="s">
        <v>23</v>
      </c>
      <c r="F324" t="s">
        <v>324</v>
      </c>
      <c r="G324" s="6">
        <v>3041</v>
      </c>
      <c r="H324" s="7">
        <v>1</v>
      </c>
      <c r="I324" s="6">
        <v>152.05000000000001</v>
      </c>
      <c r="J324" s="6">
        <v>3193.05</v>
      </c>
      <c r="K324" s="5">
        <v>43517.958333333336</v>
      </c>
      <c r="L324" s="4" t="s">
        <v>302</v>
      </c>
      <c r="M324" t="s">
        <v>51</v>
      </c>
      <c r="N324" s="6">
        <v>3041</v>
      </c>
      <c r="O324">
        <v>4.7619047620000003</v>
      </c>
      <c r="P324" s="6">
        <v>152.05000000000001</v>
      </c>
      <c r="Q324">
        <v>8.4</v>
      </c>
      <c r="R324" s="6">
        <f>RawSales[[#This Row],[Unit price]]*RawSales[[#This Row],[Quantity]]</f>
        <v>3041</v>
      </c>
      <c r="S324" s="6">
        <f>RawSales[[#This Row],[Subtotal]]*$B$1</f>
        <v>152.05000000000001</v>
      </c>
      <c r="T324" s="6" t="b">
        <f>ROUND(RawSales[[#This Row],[Subtotal]],2)=ROUND(RawSales[[#This Row],[cogs]],2)</f>
        <v>1</v>
      </c>
      <c r="U324" s="6" t="b">
        <f>ROUND(RawSales[[#This Row],[cogs]]*0.05,2)=ROUND(RawSales[[#This Row],[Tax 5%]],2)</f>
        <v>1</v>
      </c>
      <c r="V324" s="6" t="b">
        <f>ROUND(RawSales[[#This Row],[cogs]]+RawSales[[#This Row],[Tax 5%]],2)=ROUND(RawSales[[#This Row],[Sales]],2)</f>
        <v>1</v>
      </c>
    </row>
    <row r="325" spans="1:22" x14ac:dyDescent="0.35">
      <c r="A325" s="4" t="s">
        <v>637</v>
      </c>
      <c r="B325" t="s">
        <v>38</v>
      </c>
      <c r="C325" t="s">
        <v>39</v>
      </c>
      <c r="D325" t="s">
        <v>22</v>
      </c>
      <c r="E325" t="s">
        <v>31</v>
      </c>
      <c r="F325" t="s">
        <v>49</v>
      </c>
      <c r="G325" s="6">
        <v>9870</v>
      </c>
      <c r="H325" s="7">
        <v>8</v>
      </c>
      <c r="I325" s="6">
        <v>3948</v>
      </c>
      <c r="J325" s="6">
        <v>82908</v>
      </c>
      <c r="K325" s="5">
        <v>43495.958333333336</v>
      </c>
      <c r="L325" s="4" t="s">
        <v>302</v>
      </c>
      <c r="M325" t="s">
        <v>34</v>
      </c>
      <c r="N325" s="6">
        <v>78960</v>
      </c>
      <c r="O325">
        <v>4.7619047620000003</v>
      </c>
      <c r="P325" s="6">
        <v>3948</v>
      </c>
      <c r="Q325">
        <v>8.5</v>
      </c>
      <c r="R325" s="6">
        <f>RawSales[[#This Row],[Unit price]]*RawSales[[#This Row],[Quantity]]</f>
        <v>78960</v>
      </c>
      <c r="S325" s="6">
        <f>RawSales[[#This Row],[Subtotal]]*$B$1</f>
        <v>3948</v>
      </c>
      <c r="T325" s="6" t="b">
        <f>ROUND(RawSales[[#This Row],[Subtotal]],2)=ROUND(RawSales[[#This Row],[cogs]],2)</f>
        <v>1</v>
      </c>
      <c r="U325" s="6" t="b">
        <f>ROUND(RawSales[[#This Row],[cogs]]*0.05,2)=ROUND(RawSales[[#This Row],[Tax 5%]],2)</f>
        <v>1</v>
      </c>
      <c r="V325" s="6" t="b">
        <f>ROUND(RawSales[[#This Row],[cogs]]+RawSales[[#This Row],[Tax 5%]],2)=ROUND(RawSales[[#This Row],[Sales]],2)</f>
        <v>1</v>
      </c>
    </row>
    <row r="326" spans="1:22" x14ac:dyDescent="0.35">
      <c r="A326" s="4" t="s">
        <v>638</v>
      </c>
      <c r="B326" t="s">
        <v>38</v>
      </c>
      <c r="C326" t="s">
        <v>39</v>
      </c>
      <c r="D326" t="s">
        <v>30</v>
      </c>
      <c r="E326" t="s">
        <v>31</v>
      </c>
      <c r="F326" t="s">
        <v>24</v>
      </c>
      <c r="G326" s="6">
        <v>7756</v>
      </c>
      <c r="H326" s="7">
        <v>10</v>
      </c>
      <c r="I326" s="6">
        <v>3878</v>
      </c>
      <c r="J326" s="6">
        <v>81438</v>
      </c>
      <c r="K326" s="5">
        <v>43537.958333333336</v>
      </c>
      <c r="L326" s="4" t="s">
        <v>166</v>
      </c>
      <c r="M326" t="s">
        <v>34</v>
      </c>
      <c r="N326" s="6">
        <v>77560</v>
      </c>
      <c r="O326">
        <v>4.7619047620000003</v>
      </c>
      <c r="P326" s="6">
        <v>3878</v>
      </c>
      <c r="Q326">
        <v>6.9</v>
      </c>
      <c r="R326" s="6">
        <f>RawSales[[#This Row],[Unit price]]*RawSales[[#This Row],[Quantity]]</f>
        <v>77560</v>
      </c>
      <c r="S326" s="6">
        <f>RawSales[[#This Row],[Subtotal]]*$B$1</f>
        <v>3878</v>
      </c>
      <c r="T326" s="6" t="b">
        <f>ROUND(RawSales[[#This Row],[Subtotal]],2)=ROUND(RawSales[[#This Row],[cogs]],2)</f>
        <v>1</v>
      </c>
      <c r="U326" s="6" t="b">
        <f>ROUND(RawSales[[#This Row],[cogs]]*0.05,2)=ROUND(RawSales[[#This Row],[Tax 5%]],2)</f>
        <v>1</v>
      </c>
      <c r="V326" s="6" t="b">
        <f>ROUND(RawSales[[#This Row],[cogs]]+RawSales[[#This Row],[Tax 5%]],2)=ROUND(RawSales[[#This Row],[Sales]],2)</f>
        <v>1</v>
      </c>
    </row>
    <row r="327" spans="1:22" x14ac:dyDescent="0.35">
      <c r="A327" s="4" t="s">
        <v>639</v>
      </c>
      <c r="B327" t="s">
        <v>38</v>
      </c>
      <c r="C327" t="s">
        <v>39</v>
      </c>
      <c r="D327" t="s">
        <v>30</v>
      </c>
      <c r="E327" t="s">
        <v>23</v>
      </c>
      <c r="F327" t="s">
        <v>49</v>
      </c>
      <c r="G327" s="6">
        <v>1645</v>
      </c>
      <c r="H327" s="7">
        <v>4</v>
      </c>
      <c r="I327" s="6">
        <v>329</v>
      </c>
      <c r="J327" s="6">
        <v>6909</v>
      </c>
      <c r="K327" s="5">
        <v>43530.958333333336</v>
      </c>
      <c r="L327" s="4" t="s">
        <v>640</v>
      </c>
      <c r="M327" t="s">
        <v>34</v>
      </c>
      <c r="N327" s="6">
        <v>6580</v>
      </c>
      <c r="O327">
        <v>4.7619047620000003</v>
      </c>
      <c r="P327" s="6">
        <v>329</v>
      </c>
      <c r="Q327">
        <v>5.6</v>
      </c>
      <c r="R327" s="6">
        <f>RawSales[[#This Row],[Unit price]]*RawSales[[#This Row],[Quantity]]</f>
        <v>6580</v>
      </c>
      <c r="S327" s="6">
        <f>RawSales[[#This Row],[Subtotal]]*$B$1</f>
        <v>329</v>
      </c>
      <c r="T327" s="6" t="b">
        <f>ROUND(RawSales[[#This Row],[Subtotal]],2)=ROUND(RawSales[[#This Row],[cogs]],2)</f>
        <v>1</v>
      </c>
      <c r="U327" s="6" t="b">
        <f>ROUND(RawSales[[#This Row],[cogs]]*0.05,2)=ROUND(RawSales[[#This Row],[Tax 5%]],2)</f>
        <v>1</v>
      </c>
      <c r="V327" s="6" t="b">
        <f>ROUND(RawSales[[#This Row],[cogs]]+RawSales[[#This Row],[Tax 5%]],2)=ROUND(RawSales[[#This Row],[Sales]],2)</f>
        <v>1</v>
      </c>
    </row>
    <row r="328" spans="1:22" x14ac:dyDescent="0.35">
      <c r="A328" s="4" t="s">
        <v>641</v>
      </c>
      <c r="B328" t="s">
        <v>38</v>
      </c>
      <c r="C328" t="s">
        <v>39</v>
      </c>
      <c r="D328" t="s">
        <v>22</v>
      </c>
      <c r="E328" t="s">
        <v>23</v>
      </c>
      <c r="F328" t="s">
        <v>40</v>
      </c>
      <c r="G328" s="6">
        <v>8855</v>
      </c>
      <c r="H328" s="7">
        <v>8</v>
      </c>
      <c r="I328" s="6">
        <v>3542</v>
      </c>
      <c r="J328" s="6">
        <v>74382</v>
      </c>
      <c r="K328" s="5">
        <v>43542.958333333336</v>
      </c>
      <c r="L328" s="4" t="s">
        <v>245</v>
      </c>
      <c r="M328" t="s">
        <v>34</v>
      </c>
      <c r="N328" s="6">
        <v>70840</v>
      </c>
      <c r="O328">
        <v>4.7619047620000003</v>
      </c>
      <c r="P328" s="6">
        <v>3542</v>
      </c>
      <c r="Q328">
        <v>4.7</v>
      </c>
      <c r="R328" s="6">
        <f>RawSales[[#This Row],[Unit price]]*RawSales[[#This Row],[Quantity]]</f>
        <v>70840</v>
      </c>
      <c r="S328" s="6">
        <f>RawSales[[#This Row],[Subtotal]]*$B$1</f>
        <v>3542</v>
      </c>
      <c r="T328" s="6" t="b">
        <f>ROUND(RawSales[[#This Row],[Subtotal]],2)=ROUND(RawSales[[#This Row],[cogs]],2)</f>
        <v>1</v>
      </c>
      <c r="U328" s="6" t="b">
        <f>ROUND(RawSales[[#This Row],[cogs]]*0.05,2)=ROUND(RawSales[[#This Row],[Tax 5%]],2)</f>
        <v>1</v>
      </c>
      <c r="V328" s="6" t="b">
        <f>ROUND(RawSales[[#This Row],[cogs]]+RawSales[[#This Row],[Tax 5%]],2)=ROUND(RawSales[[#This Row],[Sales]],2)</f>
        <v>1</v>
      </c>
    </row>
    <row r="329" spans="1:22" x14ac:dyDescent="0.35">
      <c r="A329" s="4" t="s">
        <v>642</v>
      </c>
      <c r="B329" t="s">
        <v>20</v>
      </c>
      <c r="C329" t="s">
        <v>21</v>
      </c>
      <c r="D329" t="s">
        <v>30</v>
      </c>
      <c r="E329" t="s">
        <v>23</v>
      </c>
      <c r="F329" t="s">
        <v>62</v>
      </c>
      <c r="G329" s="6">
        <v>1234</v>
      </c>
      <c r="H329" s="7">
        <v>7</v>
      </c>
      <c r="I329" s="6">
        <v>431.9</v>
      </c>
      <c r="J329" s="6">
        <v>9069.9</v>
      </c>
      <c r="K329" s="5">
        <v>43527.958333333336</v>
      </c>
      <c r="L329" s="4" t="s">
        <v>643</v>
      </c>
      <c r="M329" t="s">
        <v>51</v>
      </c>
      <c r="N329" s="6">
        <v>8638</v>
      </c>
      <c r="O329">
        <v>4.7619047620000003</v>
      </c>
      <c r="P329" s="6">
        <v>431.9</v>
      </c>
      <c r="Q329">
        <v>6.7</v>
      </c>
      <c r="R329" s="6">
        <f>RawSales[[#This Row],[Unit price]]*RawSales[[#This Row],[Quantity]]</f>
        <v>8638</v>
      </c>
      <c r="S329" s="6">
        <f>RawSales[[#This Row],[Subtotal]]*$B$1</f>
        <v>431.90000000000003</v>
      </c>
      <c r="T329" s="6" t="b">
        <f>ROUND(RawSales[[#This Row],[Subtotal]],2)=ROUND(RawSales[[#This Row],[cogs]],2)</f>
        <v>1</v>
      </c>
      <c r="U329" s="6" t="b">
        <f>ROUND(RawSales[[#This Row],[cogs]]*0.05,2)=ROUND(RawSales[[#This Row],[Tax 5%]],2)</f>
        <v>1</v>
      </c>
      <c r="V329" s="6" t="b">
        <f>ROUND(RawSales[[#This Row],[cogs]]+RawSales[[#This Row],[Tax 5%]],2)=ROUND(RawSales[[#This Row],[Sales]],2)</f>
        <v>1</v>
      </c>
    </row>
    <row r="330" spans="1:22" x14ac:dyDescent="0.35">
      <c r="A330" s="4" t="s">
        <v>644</v>
      </c>
      <c r="B330" t="s">
        <v>38</v>
      </c>
      <c r="C330" t="s">
        <v>39</v>
      </c>
      <c r="D330" t="s">
        <v>22</v>
      </c>
      <c r="E330" t="s">
        <v>31</v>
      </c>
      <c r="F330" t="s">
        <v>62</v>
      </c>
      <c r="G330" s="6">
        <v>7288</v>
      </c>
      <c r="H330" s="7">
        <v>2</v>
      </c>
      <c r="I330" s="6">
        <v>728.8</v>
      </c>
      <c r="J330" s="6">
        <v>15304.8</v>
      </c>
      <c r="K330" s="5">
        <v>43536.958333333336</v>
      </c>
      <c r="L330" s="4" t="s">
        <v>645</v>
      </c>
      <c r="M330" t="s">
        <v>26</v>
      </c>
      <c r="N330" s="6">
        <v>14576</v>
      </c>
      <c r="O330">
        <v>4.7619047620000003</v>
      </c>
      <c r="P330" s="6">
        <v>728.8</v>
      </c>
      <c r="Q330">
        <v>6.1</v>
      </c>
      <c r="R330" s="6">
        <f>RawSales[[#This Row],[Unit price]]*RawSales[[#This Row],[Quantity]]</f>
        <v>14576</v>
      </c>
      <c r="S330" s="6">
        <f>RawSales[[#This Row],[Subtotal]]*$B$1</f>
        <v>728.80000000000007</v>
      </c>
      <c r="T330" s="6" t="b">
        <f>ROUND(RawSales[[#This Row],[Subtotal]],2)=ROUND(RawSales[[#This Row],[cogs]],2)</f>
        <v>1</v>
      </c>
      <c r="U330" s="6" t="b">
        <f>ROUND(RawSales[[#This Row],[cogs]]*0.05,2)=ROUND(RawSales[[#This Row],[Tax 5%]],2)</f>
        <v>1</v>
      </c>
      <c r="V330" s="6" t="b">
        <f>ROUND(RawSales[[#This Row],[cogs]]+RawSales[[#This Row],[Tax 5%]],2)=ROUND(RawSales[[#This Row],[Sales]],2)</f>
        <v>1</v>
      </c>
    </row>
    <row r="331" spans="1:22" x14ac:dyDescent="0.35">
      <c r="A331" s="4" t="s">
        <v>646</v>
      </c>
      <c r="B331" t="s">
        <v>20</v>
      </c>
      <c r="C331" t="s">
        <v>21</v>
      </c>
      <c r="D331" t="s">
        <v>22</v>
      </c>
      <c r="E331" t="s">
        <v>31</v>
      </c>
      <c r="F331" t="s">
        <v>40</v>
      </c>
      <c r="G331" s="6">
        <v>9260</v>
      </c>
      <c r="H331" s="7">
        <v>7</v>
      </c>
      <c r="I331" s="6">
        <v>3241</v>
      </c>
      <c r="J331" s="6">
        <v>68061</v>
      </c>
      <c r="K331" s="5">
        <v>43522.958333333336</v>
      </c>
      <c r="L331" s="4" t="s">
        <v>196</v>
      </c>
      <c r="M331" t="s">
        <v>51</v>
      </c>
      <c r="N331" s="6">
        <v>64820</v>
      </c>
      <c r="O331">
        <v>4.7619047620000003</v>
      </c>
      <c r="P331" s="6">
        <v>3241</v>
      </c>
      <c r="Q331">
        <v>9.3000000000000007</v>
      </c>
      <c r="R331" s="6">
        <f>RawSales[[#This Row],[Unit price]]*RawSales[[#This Row],[Quantity]]</f>
        <v>64820</v>
      </c>
      <c r="S331" s="6">
        <f>RawSales[[#This Row],[Subtotal]]*$B$1</f>
        <v>3241</v>
      </c>
      <c r="T331" s="6" t="b">
        <f>ROUND(RawSales[[#This Row],[Subtotal]],2)=ROUND(RawSales[[#This Row],[cogs]],2)</f>
        <v>1</v>
      </c>
      <c r="U331" s="6" t="b">
        <f>ROUND(RawSales[[#This Row],[cogs]]*0.05,2)=ROUND(RawSales[[#This Row],[Tax 5%]],2)</f>
        <v>1</v>
      </c>
      <c r="V331" s="6" t="b">
        <f>ROUND(RawSales[[#This Row],[cogs]]+RawSales[[#This Row],[Tax 5%]],2)=ROUND(RawSales[[#This Row],[Sales]],2)</f>
        <v>1</v>
      </c>
    </row>
    <row r="332" spans="1:22" x14ac:dyDescent="0.35">
      <c r="A332" s="4" t="s">
        <v>647</v>
      </c>
      <c r="B332" t="s">
        <v>38</v>
      </c>
      <c r="C332" t="s">
        <v>39</v>
      </c>
      <c r="D332" t="s">
        <v>30</v>
      </c>
      <c r="E332" t="s">
        <v>31</v>
      </c>
      <c r="F332" t="s">
        <v>62</v>
      </c>
      <c r="G332" s="6">
        <v>7640</v>
      </c>
      <c r="H332" s="7">
        <v>2</v>
      </c>
      <c r="I332" s="6">
        <v>764</v>
      </c>
      <c r="J332" s="6">
        <v>16044</v>
      </c>
      <c r="K332" s="5">
        <v>43494.958333333336</v>
      </c>
      <c r="L332" s="4" t="s">
        <v>149</v>
      </c>
      <c r="M332" t="s">
        <v>34</v>
      </c>
      <c r="N332" s="6">
        <v>15280</v>
      </c>
      <c r="O332">
        <v>4.7619047620000003</v>
      </c>
      <c r="P332" s="6">
        <v>764</v>
      </c>
      <c r="Q332">
        <v>6.5</v>
      </c>
      <c r="R332" s="6">
        <f>RawSales[[#This Row],[Unit price]]*RawSales[[#This Row],[Quantity]]</f>
        <v>15280</v>
      </c>
      <c r="S332" s="6">
        <f>RawSales[[#This Row],[Subtotal]]*$B$1</f>
        <v>764</v>
      </c>
      <c r="T332" s="6" t="b">
        <f>ROUND(RawSales[[#This Row],[Subtotal]],2)=ROUND(RawSales[[#This Row],[cogs]],2)</f>
        <v>1</v>
      </c>
      <c r="U332" s="6" t="b">
        <f>ROUND(RawSales[[#This Row],[cogs]]*0.05,2)=ROUND(RawSales[[#This Row],[Tax 5%]],2)</f>
        <v>1</v>
      </c>
      <c r="V332" s="6" t="b">
        <f>ROUND(RawSales[[#This Row],[cogs]]+RawSales[[#This Row],[Tax 5%]],2)=ROUND(RawSales[[#This Row],[Sales]],2)</f>
        <v>1</v>
      </c>
    </row>
    <row r="333" spans="1:22" x14ac:dyDescent="0.35">
      <c r="A333" s="4" t="s">
        <v>648</v>
      </c>
      <c r="B333" t="s">
        <v>20</v>
      </c>
      <c r="C333" t="s">
        <v>21</v>
      </c>
      <c r="D333" t="s">
        <v>30</v>
      </c>
      <c r="E333" t="s">
        <v>23</v>
      </c>
      <c r="F333" t="s">
        <v>49</v>
      </c>
      <c r="G333" s="6">
        <v>9910</v>
      </c>
      <c r="H333" s="7">
        <v>6</v>
      </c>
      <c r="I333" s="6">
        <v>2973</v>
      </c>
      <c r="J333" s="6">
        <v>62433</v>
      </c>
      <c r="K333" s="5">
        <v>43483.958333333336</v>
      </c>
      <c r="L333" s="4" t="s">
        <v>334</v>
      </c>
      <c r="M333" t="s">
        <v>26</v>
      </c>
      <c r="N333" s="6">
        <v>59460</v>
      </c>
      <c r="O333">
        <v>4.7619047620000003</v>
      </c>
      <c r="P333" s="6">
        <v>2973</v>
      </c>
      <c r="Q333">
        <v>4.2</v>
      </c>
      <c r="R333" s="6">
        <f>RawSales[[#This Row],[Unit price]]*RawSales[[#This Row],[Quantity]]</f>
        <v>59460</v>
      </c>
      <c r="S333" s="6">
        <f>RawSales[[#This Row],[Subtotal]]*$B$1</f>
        <v>2973</v>
      </c>
      <c r="T333" s="6" t="b">
        <f>ROUND(RawSales[[#This Row],[Subtotal]],2)=ROUND(RawSales[[#This Row],[cogs]],2)</f>
        <v>1</v>
      </c>
      <c r="U333" s="6" t="b">
        <f>ROUND(RawSales[[#This Row],[cogs]]*0.05,2)=ROUND(RawSales[[#This Row],[Tax 5%]],2)</f>
        <v>1</v>
      </c>
      <c r="V333" s="6" t="b">
        <f>ROUND(RawSales[[#This Row],[cogs]]+RawSales[[#This Row],[Tax 5%]],2)=ROUND(RawSales[[#This Row],[Sales]],2)</f>
        <v>1</v>
      </c>
    </row>
    <row r="334" spans="1:22" x14ac:dyDescent="0.35">
      <c r="A334" s="4" t="s">
        <v>649</v>
      </c>
      <c r="B334" t="s">
        <v>28</v>
      </c>
      <c r="C334" t="s">
        <v>29</v>
      </c>
      <c r="D334" t="s">
        <v>22</v>
      </c>
      <c r="E334" t="s">
        <v>23</v>
      </c>
      <c r="F334" t="s">
        <v>40</v>
      </c>
      <c r="G334" s="6">
        <v>9396</v>
      </c>
      <c r="H334" s="7">
        <v>4</v>
      </c>
      <c r="I334" s="6">
        <v>1879.2</v>
      </c>
      <c r="J334" s="6">
        <v>39463.199999999997</v>
      </c>
      <c r="K334" s="5">
        <v>43532.958333333336</v>
      </c>
      <c r="L334" s="4" t="s">
        <v>650</v>
      </c>
      <c r="M334" t="s">
        <v>26</v>
      </c>
      <c r="N334" s="6">
        <v>37584</v>
      </c>
      <c r="O334">
        <v>4.7619047620000003</v>
      </c>
      <c r="P334" s="6">
        <v>1879.2</v>
      </c>
      <c r="Q334">
        <v>9.5</v>
      </c>
      <c r="R334" s="6">
        <f>RawSales[[#This Row],[Unit price]]*RawSales[[#This Row],[Quantity]]</f>
        <v>37584</v>
      </c>
      <c r="S334" s="6">
        <f>RawSales[[#This Row],[Subtotal]]*$B$1</f>
        <v>1879.2</v>
      </c>
      <c r="T334" s="6" t="b">
        <f>ROUND(RawSales[[#This Row],[Subtotal]],2)=ROUND(RawSales[[#This Row],[cogs]],2)</f>
        <v>1</v>
      </c>
      <c r="U334" s="6" t="b">
        <f>ROUND(RawSales[[#This Row],[cogs]]*0.05,2)=ROUND(RawSales[[#This Row],[Tax 5%]],2)</f>
        <v>1</v>
      </c>
      <c r="V334" s="6" t="b">
        <f>ROUND(RawSales[[#This Row],[cogs]]+RawSales[[#This Row],[Tax 5%]],2)=ROUND(RawSales[[#This Row],[Sales]],2)</f>
        <v>1</v>
      </c>
    </row>
    <row r="335" spans="1:22" x14ac:dyDescent="0.35">
      <c r="A335" s="4" t="s">
        <v>651</v>
      </c>
      <c r="B335" t="s">
        <v>38</v>
      </c>
      <c r="C335" t="s">
        <v>39</v>
      </c>
      <c r="D335" t="s">
        <v>22</v>
      </c>
      <c r="E335" t="s">
        <v>31</v>
      </c>
      <c r="F335" t="s">
        <v>43</v>
      </c>
      <c r="G335" s="6">
        <v>6531</v>
      </c>
      <c r="H335" s="7">
        <v>7</v>
      </c>
      <c r="I335" s="6">
        <v>2285.85</v>
      </c>
      <c r="J335" s="6">
        <v>48002.85</v>
      </c>
      <c r="K335" s="5">
        <v>43528.958333333336</v>
      </c>
      <c r="L335" s="4" t="s">
        <v>564</v>
      </c>
      <c r="M335" t="s">
        <v>51</v>
      </c>
      <c r="N335" s="6">
        <v>45717</v>
      </c>
      <c r="O335">
        <v>4.7619047620000003</v>
      </c>
      <c r="P335" s="6">
        <v>2285.85</v>
      </c>
      <c r="Q335">
        <v>4.2</v>
      </c>
      <c r="R335" s="6">
        <f>RawSales[[#This Row],[Unit price]]*RawSales[[#This Row],[Quantity]]</f>
        <v>45717</v>
      </c>
      <c r="S335" s="6">
        <f>RawSales[[#This Row],[Subtotal]]*$B$1</f>
        <v>2285.85</v>
      </c>
      <c r="T335" s="6" t="b">
        <f>ROUND(RawSales[[#This Row],[Subtotal]],2)=ROUND(RawSales[[#This Row],[cogs]],2)</f>
        <v>1</v>
      </c>
      <c r="U335" s="6" t="b">
        <f>ROUND(RawSales[[#This Row],[cogs]]*0.05,2)=ROUND(RawSales[[#This Row],[Tax 5%]],2)</f>
        <v>1</v>
      </c>
      <c r="V335" s="6" t="b">
        <f>ROUND(RawSales[[#This Row],[cogs]]+RawSales[[#This Row],[Tax 5%]],2)=ROUND(RawSales[[#This Row],[Sales]],2)</f>
        <v>1</v>
      </c>
    </row>
    <row r="336" spans="1:22" x14ac:dyDescent="0.35">
      <c r="A336" s="4" t="s">
        <v>652</v>
      </c>
      <c r="B336" t="s">
        <v>38</v>
      </c>
      <c r="C336" t="s">
        <v>39</v>
      </c>
      <c r="D336" t="s">
        <v>22</v>
      </c>
      <c r="E336" t="s">
        <v>31</v>
      </c>
      <c r="F336" t="s">
        <v>62</v>
      </c>
      <c r="G336" s="6">
        <v>1470</v>
      </c>
      <c r="H336" s="7">
        <v>5</v>
      </c>
      <c r="I336" s="6">
        <v>367.5</v>
      </c>
      <c r="J336" s="6">
        <v>7717.5</v>
      </c>
      <c r="K336" s="5">
        <v>43547.958333333336</v>
      </c>
      <c r="L336" s="4" t="s">
        <v>349</v>
      </c>
      <c r="M336" t="s">
        <v>34</v>
      </c>
      <c r="N336" s="6">
        <v>7350</v>
      </c>
      <c r="O336">
        <v>4.7619047620000003</v>
      </c>
      <c r="P336" s="6">
        <v>367.5</v>
      </c>
      <c r="Q336">
        <v>8.5</v>
      </c>
      <c r="R336" s="6">
        <f>RawSales[[#This Row],[Unit price]]*RawSales[[#This Row],[Quantity]]</f>
        <v>7350</v>
      </c>
      <c r="S336" s="6">
        <f>RawSales[[#This Row],[Subtotal]]*$B$1</f>
        <v>367.5</v>
      </c>
      <c r="T336" s="6" t="b">
        <f>ROUND(RawSales[[#This Row],[Subtotal]],2)=ROUND(RawSales[[#This Row],[cogs]],2)</f>
        <v>1</v>
      </c>
      <c r="U336" s="6" t="b">
        <f>ROUND(RawSales[[#This Row],[cogs]]*0.05,2)=ROUND(RawSales[[#This Row],[Tax 5%]],2)</f>
        <v>1</v>
      </c>
      <c r="V336" s="6" t="b">
        <f>ROUND(RawSales[[#This Row],[cogs]]+RawSales[[#This Row],[Tax 5%]],2)=ROUND(RawSales[[#This Row],[Sales]],2)</f>
        <v>1</v>
      </c>
    </row>
    <row r="337" spans="1:22" x14ac:dyDescent="0.35">
      <c r="A337" s="4" t="s">
        <v>653</v>
      </c>
      <c r="B337" t="s">
        <v>20</v>
      </c>
      <c r="C337" t="s">
        <v>21</v>
      </c>
      <c r="D337" t="s">
        <v>22</v>
      </c>
      <c r="E337" t="s">
        <v>23</v>
      </c>
      <c r="F337" t="s">
        <v>40</v>
      </c>
      <c r="G337" s="6">
        <v>9956</v>
      </c>
      <c r="H337" s="7">
        <v>8</v>
      </c>
      <c r="I337" s="6">
        <v>3982.4</v>
      </c>
      <c r="J337" s="6">
        <v>83630.399999999994</v>
      </c>
      <c r="K337" s="5">
        <v>43509.958333333336</v>
      </c>
      <c r="L337" s="4" t="s">
        <v>73</v>
      </c>
      <c r="M337" t="s">
        <v>51</v>
      </c>
      <c r="N337" s="6">
        <v>79648</v>
      </c>
      <c r="O337">
        <v>4.7619047620000003</v>
      </c>
      <c r="P337" s="6">
        <v>3982.4</v>
      </c>
      <c r="Q337">
        <v>5.2</v>
      </c>
      <c r="R337" s="6">
        <f>RawSales[[#This Row],[Unit price]]*RawSales[[#This Row],[Quantity]]</f>
        <v>79648</v>
      </c>
      <c r="S337" s="6">
        <f>RawSales[[#This Row],[Subtotal]]*$B$1</f>
        <v>3982.4</v>
      </c>
      <c r="T337" s="6" t="b">
        <f>ROUND(RawSales[[#This Row],[Subtotal]],2)=ROUND(RawSales[[#This Row],[cogs]],2)</f>
        <v>1</v>
      </c>
      <c r="U337" s="6" t="b">
        <f>ROUND(RawSales[[#This Row],[cogs]]*0.05,2)=ROUND(RawSales[[#This Row],[Tax 5%]],2)</f>
        <v>1</v>
      </c>
      <c r="V337" s="6" t="b">
        <f>ROUND(RawSales[[#This Row],[cogs]]+RawSales[[#This Row],[Tax 5%]],2)=ROUND(RawSales[[#This Row],[Sales]],2)</f>
        <v>1</v>
      </c>
    </row>
    <row r="338" spans="1:22" x14ac:dyDescent="0.35">
      <c r="A338" s="4" t="s">
        <v>654</v>
      </c>
      <c r="B338" t="s">
        <v>28</v>
      </c>
      <c r="C338" t="s">
        <v>29</v>
      </c>
      <c r="D338" t="s">
        <v>22</v>
      </c>
      <c r="E338" t="s">
        <v>23</v>
      </c>
      <c r="F338" t="s">
        <v>24</v>
      </c>
      <c r="G338" s="6">
        <v>2087</v>
      </c>
      <c r="H338" s="7">
        <v>3</v>
      </c>
      <c r="I338" s="6">
        <v>313.05</v>
      </c>
      <c r="J338" s="6">
        <v>6574.05</v>
      </c>
      <c r="K338" s="5">
        <v>43543.958333333336</v>
      </c>
      <c r="L338" s="4" t="s">
        <v>655</v>
      </c>
      <c r="M338" t="s">
        <v>51</v>
      </c>
      <c r="N338" s="6">
        <v>6261</v>
      </c>
      <c r="O338">
        <v>4.7619047620000003</v>
      </c>
      <c r="P338" s="6">
        <v>313.05</v>
      </c>
      <c r="Q338">
        <v>8</v>
      </c>
      <c r="R338" s="6">
        <f>RawSales[[#This Row],[Unit price]]*RawSales[[#This Row],[Quantity]]</f>
        <v>6261</v>
      </c>
      <c r="S338" s="6">
        <f>RawSales[[#This Row],[Subtotal]]*$B$1</f>
        <v>313.05</v>
      </c>
      <c r="T338" s="6" t="b">
        <f>ROUND(RawSales[[#This Row],[Subtotal]],2)=ROUND(RawSales[[#This Row],[cogs]],2)</f>
        <v>1</v>
      </c>
      <c r="U338" s="6" t="b">
        <f>ROUND(RawSales[[#This Row],[cogs]]*0.05,2)=ROUND(RawSales[[#This Row],[Tax 5%]],2)</f>
        <v>1</v>
      </c>
      <c r="V338" s="6" t="b">
        <f>ROUND(RawSales[[#This Row],[cogs]]+RawSales[[#This Row],[Tax 5%]],2)=ROUND(RawSales[[#This Row],[Sales]],2)</f>
        <v>1</v>
      </c>
    </row>
    <row r="339" spans="1:22" x14ac:dyDescent="0.35">
      <c r="A339" s="4" t="s">
        <v>656</v>
      </c>
      <c r="B339" t="s">
        <v>28</v>
      </c>
      <c r="C339" t="s">
        <v>29</v>
      </c>
      <c r="D339" t="s">
        <v>22</v>
      </c>
      <c r="E339" t="s">
        <v>23</v>
      </c>
      <c r="F339" t="s">
        <v>43</v>
      </c>
      <c r="G339" s="6">
        <v>7699</v>
      </c>
      <c r="H339" s="7">
        <v>6</v>
      </c>
      <c r="I339" s="6">
        <v>2309.6999999999998</v>
      </c>
      <c r="J339" s="6">
        <v>48503.7</v>
      </c>
      <c r="K339" s="5">
        <v>43522.958333333336</v>
      </c>
      <c r="L339" s="4" t="s">
        <v>657</v>
      </c>
      <c r="M339" t="s">
        <v>26</v>
      </c>
      <c r="N339" s="6">
        <v>46194</v>
      </c>
      <c r="O339">
        <v>4.7619047620000003</v>
      </c>
      <c r="P339" s="6">
        <v>2309.6999999999998</v>
      </c>
      <c r="Q339">
        <v>6.1</v>
      </c>
      <c r="R339" s="6">
        <f>RawSales[[#This Row],[Unit price]]*RawSales[[#This Row],[Quantity]]</f>
        <v>46194</v>
      </c>
      <c r="S339" s="6">
        <f>RawSales[[#This Row],[Subtotal]]*$B$1</f>
        <v>2309.7000000000003</v>
      </c>
      <c r="T339" s="6" t="b">
        <f>ROUND(RawSales[[#This Row],[Subtotal]],2)=ROUND(RawSales[[#This Row],[cogs]],2)</f>
        <v>1</v>
      </c>
      <c r="U339" s="6" t="b">
        <f>ROUND(RawSales[[#This Row],[cogs]]*0.05,2)=ROUND(RawSales[[#This Row],[Tax 5%]],2)</f>
        <v>1</v>
      </c>
      <c r="V339" s="6" t="b">
        <f>ROUND(RawSales[[#This Row],[cogs]]+RawSales[[#This Row],[Tax 5%]],2)=ROUND(RawSales[[#This Row],[Sales]],2)</f>
        <v>1</v>
      </c>
    </row>
    <row r="340" spans="1:22" x14ac:dyDescent="0.35">
      <c r="A340" s="4" t="s">
        <v>658</v>
      </c>
      <c r="B340" t="s">
        <v>20</v>
      </c>
      <c r="C340" t="s">
        <v>21</v>
      </c>
      <c r="D340" t="s">
        <v>30</v>
      </c>
      <c r="E340" t="s">
        <v>31</v>
      </c>
      <c r="F340" t="s">
        <v>62</v>
      </c>
      <c r="G340" s="6">
        <v>6459</v>
      </c>
      <c r="H340" s="7">
        <v>4</v>
      </c>
      <c r="I340" s="6">
        <v>1291.8</v>
      </c>
      <c r="J340" s="6">
        <v>27127.8</v>
      </c>
      <c r="K340" s="5">
        <v>43470.958333333336</v>
      </c>
      <c r="L340" s="4" t="s">
        <v>659</v>
      </c>
      <c r="M340" t="s">
        <v>34</v>
      </c>
      <c r="N340" s="6">
        <v>25836</v>
      </c>
      <c r="O340">
        <v>4.7619047620000003</v>
      </c>
      <c r="P340" s="6">
        <v>1291.8</v>
      </c>
      <c r="Q340">
        <v>9.3000000000000007</v>
      </c>
      <c r="R340" s="6">
        <f>RawSales[[#This Row],[Unit price]]*RawSales[[#This Row],[Quantity]]</f>
        <v>25836</v>
      </c>
      <c r="S340" s="6">
        <f>RawSales[[#This Row],[Subtotal]]*$B$1</f>
        <v>1291.8000000000002</v>
      </c>
      <c r="T340" s="6" t="b">
        <f>ROUND(RawSales[[#This Row],[Subtotal]],2)=ROUND(RawSales[[#This Row],[cogs]],2)</f>
        <v>1</v>
      </c>
      <c r="U340" s="6" t="b">
        <f>ROUND(RawSales[[#This Row],[cogs]]*0.05,2)=ROUND(RawSales[[#This Row],[Tax 5%]],2)</f>
        <v>1</v>
      </c>
      <c r="V340" s="6" t="b">
        <f>ROUND(RawSales[[#This Row],[cogs]]+RawSales[[#This Row],[Tax 5%]],2)=ROUND(RawSales[[#This Row],[Sales]],2)</f>
        <v>1</v>
      </c>
    </row>
    <row r="341" spans="1:22" x14ac:dyDescent="0.35">
      <c r="A341" s="4" t="s">
        <v>660</v>
      </c>
      <c r="B341" t="s">
        <v>38</v>
      </c>
      <c r="C341" t="s">
        <v>39</v>
      </c>
      <c r="D341" t="s">
        <v>30</v>
      </c>
      <c r="E341" t="s">
        <v>31</v>
      </c>
      <c r="F341" t="s">
        <v>24</v>
      </c>
      <c r="G341" s="6">
        <v>2722</v>
      </c>
      <c r="H341" s="7">
        <v>3</v>
      </c>
      <c r="I341" s="6">
        <v>408.3</v>
      </c>
      <c r="J341" s="6">
        <v>8574.2999999999993</v>
      </c>
      <c r="K341" s="5">
        <v>43471.958333333336</v>
      </c>
      <c r="L341" s="4" t="s">
        <v>545</v>
      </c>
      <c r="M341" t="s">
        <v>26</v>
      </c>
      <c r="N341" s="6">
        <v>8166</v>
      </c>
      <c r="O341">
        <v>4.7619047620000003</v>
      </c>
      <c r="P341" s="6">
        <v>408.3</v>
      </c>
      <c r="Q341">
        <v>7.3</v>
      </c>
      <c r="R341" s="6">
        <f>RawSales[[#This Row],[Unit price]]*RawSales[[#This Row],[Quantity]]</f>
        <v>8166</v>
      </c>
      <c r="S341" s="6">
        <f>RawSales[[#This Row],[Subtotal]]*$B$1</f>
        <v>408.3</v>
      </c>
      <c r="T341" s="6" t="b">
        <f>ROUND(RawSales[[#This Row],[Subtotal]],2)=ROUND(RawSales[[#This Row],[cogs]],2)</f>
        <v>1</v>
      </c>
      <c r="U341" s="6" t="b">
        <f>ROUND(RawSales[[#This Row],[cogs]]*0.05,2)=ROUND(RawSales[[#This Row],[Tax 5%]],2)</f>
        <v>1</v>
      </c>
      <c r="V341" s="6" t="b">
        <f>ROUND(RawSales[[#This Row],[cogs]]+RawSales[[#This Row],[Tax 5%]],2)=ROUND(RawSales[[#This Row],[Sales]],2)</f>
        <v>1</v>
      </c>
    </row>
    <row r="342" spans="1:22" x14ac:dyDescent="0.35">
      <c r="A342" s="4" t="s">
        <v>661</v>
      </c>
      <c r="B342" t="s">
        <v>20</v>
      </c>
      <c r="C342" t="s">
        <v>21</v>
      </c>
      <c r="D342" t="s">
        <v>22</v>
      </c>
      <c r="E342" t="s">
        <v>23</v>
      </c>
      <c r="F342" t="s">
        <v>62</v>
      </c>
      <c r="G342" s="6">
        <v>6213</v>
      </c>
      <c r="H342" s="7">
        <v>6</v>
      </c>
      <c r="I342" s="6">
        <v>1863.9</v>
      </c>
      <c r="J342" s="6">
        <v>39141.9</v>
      </c>
      <c r="K342" s="5">
        <v>43545.958333333336</v>
      </c>
      <c r="L342" s="4" t="s">
        <v>497</v>
      </c>
      <c r="M342" t="s">
        <v>26</v>
      </c>
      <c r="N342" s="6">
        <v>37278</v>
      </c>
      <c r="O342">
        <v>4.7619047620000003</v>
      </c>
      <c r="P342" s="6">
        <v>1863.9</v>
      </c>
      <c r="Q342">
        <v>7.4</v>
      </c>
      <c r="R342" s="6">
        <f>RawSales[[#This Row],[Unit price]]*RawSales[[#This Row],[Quantity]]</f>
        <v>37278</v>
      </c>
      <c r="S342" s="6">
        <f>RawSales[[#This Row],[Subtotal]]*$B$1</f>
        <v>1863.9</v>
      </c>
      <c r="T342" s="6" t="b">
        <f>ROUND(RawSales[[#This Row],[Subtotal]],2)=ROUND(RawSales[[#This Row],[cogs]],2)</f>
        <v>1</v>
      </c>
      <c r="U342" s="6" t="b">
        <f>ROUND(RawSales[[#This Row],[cogs]]*0.05,2)=ROUND(RawSales[[#This Row],[Tax 5%]],2)</f>
        <v>1</v>
      </c>
      <c r="V342" s="6" t="b">
        <f>ROUND(RawSales[[#This Row],[cogs]]+RawSales[[#This Row],[Tax 5%]],2)=ROUND(RawSales[[#This Row],[Sales]],2)</f>
        <v>1</v>
      </c>
    </row>
    <row r="343" spans="1:22" x14ac:dyDescent="0.35">
      <c r="A343" s="4" t="s">
        <v>662</v>
      </c>
      <c r="B343" t="s">
        <v>28</v>
      </c>
      <c r="C343" t="s">
        <v>29</v>
      </c>
      <c r="D343" t="s">
        <v>22</v>
      </c>
      <c r="E343" t="s">
        <v>31</v>
      </c>
      <c r="F343" t="s">
        <v>40</v>
      </c>
      <c r="G343" s="6">
        <v>7217</v>
      </c>
      <c r="H343" s="7">
        <v>1</v>
      </c>
      <c r="I343" s="6">
        <v>360.85</v>
      </c>
      <c r="J343" s="6">
        <v>7577.85</v>
      </c>
      <c r="K343" s="5">
        <v>43468.958333333336</v>
      </c>
      <c r="L343" s="4" t="s">
        <v>174</v>
      </c>
      <c r="M343" t="s">
        <v>26</v>
      </c>
      <c r="N343" s="6">
        <v>7217</v>
      </c>
      <c r="O343">
        <v>4.7619047620000003</v>
      </c>
      <c r="P343" s="6">
        <v>360.85</v>
      </c>
      <c r="Q343">
        <v>6.1</v>
      </c>
      <c r="R343" s="6">
        <f>RawSales[[#This Row],[Unit price]]*RawSales[[#This Row],[Quantity]]</f>
        <v>7217</v>
      </c>
      <c r="S343" s="6">
        <f>RawSales[[#This Row],[Subtotal]]*$B$1</f>
        <v>360.85</v>
      </c>
      <c r="T343" s="6" t="b">
        <f>ROUND(RawSales[[#This Row],[Subtotal]],2)=ROUND(RawSales[[#This Row],[cogs]],2)</f>
        <v>1</v>
      </c>
      <c r="U343" s="6" t="b">
        <f>ROUND(RawSales[[#This Row],[cogs]]*0.05,2)=ROUND(RawSales[[#This Row],[Tax 5%]],2)</f>
        <v>1</v>
      </c>
      <c r="V343" s="6" t="b">
        <f>ROUND(RawSales[[#This Row],[cogs]]+RawSales[[#This Row],[Tax 5%]],2)=ROUND(RawSales[[#This Row],[Sales]],2)</f>
        <v>1</v>
      </c>
    </row>
    <row r="344" spans="1:22" x14ac:dyDescent="0.35">
      <c r="A344" s="4" t="s">
        <v>663</v>
      </c>
      <c r="B344" t="s">
        <v>20</v>
      </c>
      <c r="C344" t="s">
        <v>21</v>
      </c>
      <c r="D344" t="s">
        <v>30</v>
      </c>
      <c r="E344" t="s">
        <v>31</v>
      </c>
      <c r="F344" t="s">
        <v>49</v>
      </c>
      <c r="G344" s="6">
        <v>4538</v>
      </c>
      <c r="H344" s="7">
        <v>3</v>
      </c>
      <c r="I344" s="6">
        <v>680.7</v>
      </c>
      <c r="J344" s="6">
        <v>14294.7</v>
      </c>
      <c r="K344" s="5">
        <v>43512.958333333336</v>
      </c>
      <c r="L344" s="4" t="s">
        <v>510</v>
      </c>
      <c r="M344" t="s">
        <v>51</v>
      </c>
      <c r="N344" s="6">
        <v>13614</v>
      </c>
      <c r="O344">
        <v>4.7619047620000003</v>
      </c>
      <c r="P344" s="6">
        <v>680.7</v>
      </c>
      <c r="Q344">
        <v>7.2</v>
      </c>
      <c r="R344" s="6">
        <f>RawSales[[#This Row],[Unit price]]*RawSales[[#This Row],[Quantity]]</f>
        <v>13614</v>
      </c>
      <c r="S344" s="6">
        <f>RawSales[[#This Row],[Subtotal]]*$B$1</f>
        <v>680.7</v>
      </c>
      <c r="T344" s="6" t="b">
        <f>ROUND(RawSales[[#This Row],[Subtotal]],2)=ROUND(RawSales[[#This Row],[cogs]],2)</f>
        <v>1</v>
      </c>
      <c r="U344" s="6" t="b">
        <f>ROUND(RawSales[[#This Row],[cogs]]*0.05,2)=ROUND(RawSales[[#This Row],[Tax 5%]],2)</f>
        <v>1</v>
      </c>
      <c r="V344" s="6" t="b">
        <f>ROUND(RawSales[[#This Row],[cogs]]+RawSales[[#This Row],[Tax 5%]],2)=ROUND(RawSales[[#This Row],[Sales]],2)</f>
        <v>1</v>
      </c>
    </row>
    <row r="345" spans="1:22" x14ac:dyDescent="0.35">
      <c r="A345" s="4" t="s">
        <v>664</v>
      </c>
      <c r="B345" t="s">
        <v>20</v>
      </c>
      <c r="C345" t="s">
        <v>21</v>
      </c>
      <c r="D345" t="s">
        <v>30</v>
      </c>
      <c r="E345" t="s">
        <v>23</v>
      </c>
      <c r="F345" t="s">
        <v>43</v>
      </c>
      <c r="G345" s="6">
        <v>7750</v>
      </c>
      <c r="H345" s="7">
        <v>5</v>
      </c>
      <c r="I345" s="6">
        <v>1937.5</v>
      </c>
      <c r="J345" s="6">
        <v>40687.5</v>
      </c>
      <c r="K345" s="5">
        <v>43488.958333333336</v>
      </c>
      <c r="L345" s="4" t="s">
        <v>309</v>
      </c>
      <c r="M345" t="s">
        <v>34</v>
      </c>
      <c r="N345" s="6">
        <v>38750</v>
      </c>
      <c r="O345">
        <v>4.7619047620000003</v>
      </c>
      <c r="P345" s="6">
        <v>1937.5</v>
      </c>
      <c r="Q345">
        <v>4.3</v>
      </c>
      <c r="R345" s="6">
        <f>RawSales[[#This Row],[Unit price]]*RawSales[[#This Row],[Quantity]]</f>
        <v>38750</v>
      </c>
      <c r="S345" s="6">
        <f>RawSales[[#This Row],[Subtotal]]*$B$1</f>
        <v>1937.5</v>
      </c>
      <c r="T345" s="6" t="b">
        <f>ROUND(RawSales[[#This Row],[Subtotal]],2)=ROUND(RawSales[[#This Row],[cogs]],2)</f>
        <v>1</v>
      </c>
      <c r="U345" s="6" t="b">
        <f>ROUND(RawSales[[#This Row],[cogs]]*0.05,2)=ROUND(RawSales[[#This Row],[Tax 5%]],2)</f>
        <v>1</v>
      </c>
      <c r="V345" s="6" t="b">
        <f>ROUND(RawSales[[#This Row],[cogs]]+RawSales[[#This Row],[Tax 5%]],2)=ROUND(RawSales[[#This Row],[Sales]],2)</f>
        <v>1</v>
      </c>
    </row>
    <row r="346" spans="1:22" x14ac:dyDescent="0.35">
      <c r="A346" s="4" t="s">
        <v>665</v>
      </c>
      <c r="B346" t="s">
        <v>38</v>
      </c>
      <c r="C346" t="s">
        <v>39</v>
      </c>
      <c r="D346" t="s">
        <v>30</v>
      </c>
      <c r="E346" t="s">
        <v>31</v>
      </c>
      <c r="F346" t="s">
        <v>32</v>
      </c>
      <c r="G346" s="6">
        <v>3547</v>
      </c>
      <c r="H346" s="7">
        <v>4</v>
      </c>
      <c r="I346" s="6">
        <v>709.4</v>
      </c>
      <c r="J346" s="6">
        <v>14897.4</v>
      </c>
      <c r="K346" s="5">
        <v>43537.958333333336</v>
      </c>
      <c r="L346" s="4" t="s">
        <v>666</v>
      </c>
      <c r="M346" t="s">
        <v>51</v>
      </c>
      <c r="N346" s="6">
        <v>14188</v>
      </c>
      <c r="O346">
        <v>4.7619047620000003</v>
      </c>
      <c r="P346" s="6">
        <v>709.4</v>
      </c>
      <c r="Q346">
        <v>6.9</v>
      </c>
      <c r="R346" s="6">
        <f>RawSales[[#This Row],[Unit price]]*RawSales[[#This Row],[Quantity]]</f>
        <v>14188</v>
      </c>
      <c r="S346" s="6">
        <f>RawSales[[#This Row],[Subtotal]]*$B$1</f>
        <v>709.40000000000009</v>
      </c>
      <c r="T346" s="6" t="b">
        <f>ROUND(RawSales[[#This Row],[Subtotal]],2)=ROUND(RawSales[[#This Row],[cogs]],2)</f>
        <v>1</v>
      </c>
      <c r="U346" s="6" t="b">
        <f>ROUND(RawSales[[#This Row],[cogs]]*0.05,2)=ROUND(RawSales[[#This Row],[Tax 5%]],2)</f>
        <v>1</v>
      </c>
      <c r="V346" s="6" t="b">
        <f>ROUND(RawSales[[#This Row],[cogs]]+RawSales[[#This Row],[Tax 5%]],2)=ROUND(RawSales[[#This Row],[Sales]],2)</f>
        <v>1</v>
      </c>
    </row>
    <row r="347" spans="1:22" x14ac:dyDescent="0.35">
      <c r="A347" s="4" t="s">
        <v>667</v>
      </c>
      <c r="B347" t="s">
        <v>20</v>
      </c>
      <c r="C347" t="s">
        <v>21</v>
      </c>
      <c r="D347" t="s">
        <v>22</v>
      </c>
      <c r="E347" t="s">
        <v>31</v>
      </c>
      <c r="F347" t="s">
        <v>24</v>
      </c>
      <c r="G347" s="6">
        <v>3504</v>
      </c>
      <c r="H347" s="7">
        <v>9</v>
      </c>
      <c r="I347" s="6">
        <v>1576.8</v>
      </c>
      <c r="J347" s="6">
        <v>33112.800000000003</v>
      </c>
      <c r="K347" s="5">
        <v>43504.958333333336</v>
      </c>
      <c r="L347" s="4" t="s">
        <v>327</v>
      </c>
      <c r="M347" t="s">
        <v>34</v>
      </c>
      <c r="N347" s="6">
        <v>31536</v>
      </c>
      <c r="O347">
        <v>4.7619047620000003</v>
      </c>
      <c r="P347" s="6">
        <v>1576.8</v>
      </c>
      <c r="Q347">
        <v>4.5999999999999996</v>
      </c>
      <c r="R347" s="6">
        <f>RawSales[[#This Row],[Unit price]]*RawSales[[#This Row],[Quantity]]</f>
        <v>31536</v>
      </c>
      <c r="S347" s="6">
        <f>RawSales[[#This Row],[Subtotal]]*$B$1</f>
        <v>1576.8000000000002</v>
      </c>
      <c r="T347" s="6" t="b">
        <f>ROUND(RawSales[[#This Row],[Subtotal]],2)=ROUND(RawSales[[#This Row],[cogs]],2)</f>
        <v>1</v>
      </c>
      <c r="U347" s="6" t="b">
        <f>ROUND(RawSales[[#This Row],[cogs]]*0.05,2)=ROUND(RawSales[[#This Row],[Tax 5%]],2)</f>
        <v>1</v>
      </c>
      <c r="V347" s="6" t="b">
        <f>ROUND(RawSales[[#This Row],[cogs]]+RawSales[[#This Row],[Tax 5%]],2)=ROUND(RawSales[[#This Row],[Sales]],2)</f>
        <v>1</v>
      </c>
    </row>
    <row r="348" spans="1:22" x14ac:dyDescent="0.35">
      <c r="A348" s="4" t="s">
        <v>668</v>
      </c>
      <c r="B348" t="s">
        <v>38</v>
      </c>
      <c r="C348" t="s">
        <v>39</v>
      </c>
      <c r="D348" t="s">
        <v>22</v>
      </c>
      <c r="E348" t="s">
        <v>23</v>
      </c>
      <c r="F348" t="s">
        <v>49</v>
      </c>
      <c r="G348" s="6">
        <v>8487</v>
      </c>
      <c r="H348" s="7">
        <v>3</v>
      </c>
      <c r="I348" s="6">
        <v>1273.05</v>
      </c>
      <c r="J348" s="6">
        <v>26734.05</v>
      </c>
      <c r="K348" s="5">
        <v>43489.958333333336</v>
      </c>
      <c r="L348" s="4" t="s">
        <v>669</v>
      </c>
      <c r="M348" t="s">
        <v>34</v>
      </c>
      <c r="N348" s="6">
        <v>25461</v>
      </c>
      <c r="O348">
        <v>4.7619047620000003</v>
      </c>
      <c r="P348" s="6">
        <v>1273.05</v>
      </c>
      <c r="Q348">
        <v>7.4</v>
      </c>
      <c r="R348" s="6">
        <f>RawSales[[#This Row],[Unit price]]*RawSales[[#This Row],[Quantity]]</f>
        <v>25461</v>
      </c>
      <c r="S348" s="6">
        <f>RawSales[[#This Row],[Subtotal]]*$B$1</f>
        <v>1273.0500000000002</v>
      </c>
      <c r="T348" s="6" t="b">
        <f>ROUND(RawSales[[#This Row],[Subtotal]],2)=ROUND(RawSales[[#This Row],[cogs]],2)</f>
        <v>1</v>
      </c>
      <c r="U348" s="6" t="b">
        <f>ROUND(RawSales[[#This Row],[cogs]]*0.05,2)=ROUND(RawSales[[#This Row],[Tax 5%]],2)</f>
        <v>1</v>
      </c>
      <c r="V348" s="6" t="b">
        <f>ROUND(RawSales[[#This Row],[cogs]]+RawSales[[#This Row],[Tax 5%]],2)=ROUND(RawSales[[#This Row],[Sales]],2)</f>
        <v>1</v>
      </c>
    </row>
    <row r="349" spans="1:22" x14ac:dyDescent="0.35">
      <c r="A349" s="4" t="s">
        <v>670</v>
      </c>
      <c r="B349" t="s">
        <v>28</v>
      </c>
      <c r="C349" t="s">
        <v>29</v>
      </c>
      <c r="D349" t="s">
        <v>22</v>
      </c>
      <c r="E349" t="s">
        <v>23</v>
      </c>
      <c r="F349" t="s">
        <v>49</v>
      </c>
      <c r="G349" s="6">
        <v>1808</v>
      </c>
      <c r="H349" s="7">
        <v>4</v>
      </c>
      <c r="I349" s="6">
        <v>361.6</v>
      </c>
      <c r="J349" s="6">
        <v>7593.6</v>
      </c>
      <c r="K349" s="5">
        <v>43478.958333333336</v>
      </c>
      <c r="L349" s="4" t="s">
        <v>180</v>
      </c>
      <c r="M349" t="s">
        <v>51</v>
      </c>
      <c r="N349" s="6">
        <v>7232</v>
      </c>
      <c r="O349">
        <v>4.7619047620000003</v>
      </c>
      <c r="P349" s="6">
        <v>361.6</v>
      </c>
      <c r="Q349">
        <v>9.5</v>
      </c>
      <c r="R349" s="6">
        <f>RawSales[[#This Row],[Unit price]]*RawSales[[#This Row],[Quantity]]</f>
        <v>7232</v>
      </c>
      <c r="S349" s="6">
        <f>RawSales[[#This Row],[Subtotal]]*$B$1</f>
        <v>361.6</v>
      </c>
      <c r="T349" s="6" t="b">
        <f>ROUND(RawSales[[#This Row],[Subtotal]],2)=ROUND(RawSales[[#This Row],[cogs]],2)</f>
        <v>1</v>
      </c>
      <c r="U349" s="6" t="b">
        <f>ROUND(RawSales[[#This Row],[cogs]]*0.05,2)=ROUND(RawSales[[#This Row],[Tax 5%]],2)</f>
        <v>1</v>
      </c>
      <c r="V349" s="6" t="b">
        <f>ROUND(RawSales[[#This Row],[cogs]]+RawSales[[#This Row],[Tax 5%]],2)=ROUND(RawSales[[#This Row],[Sales]],2)</f>
        <v>1</v>
      </c>
    </row>
    <row r="350" spans="1:22" x14ac:dyDescent="0.35">
      <c r="A350" s="4" t="s">
        <v>671</v>
      </c>
      <c r="B350" t="s">
        <v>28</v>
      </c>
      <c r="C350" t="s">
        <v>29</v>
      </c>
      <c r="D350" t="s">
        <v>30</v>
      </c>
      <c r="E350" t="s">
        <v>31</v>
      </c>
      <c r="F350" t="s">
        <v>24</v>
      </c>
      <c r="G350" s="6">
        <v>7306</v>
      </c>
      <c r="H350" s="7">
        <v>7</v>
      </c>
      <c r="I350" s="6">
        <v>2557.1</v>
      </c>
      <c r="J350" s="6">
        <v>53699.1</v>
      </c>
      <c r="K350" s="5">
        <v>43478.958333333336</v>
      </c>
      <c r="L350" s="4" t="s">
        <v>116</v>
      </c>
      <c r="M350" t="s">
        <v>51</v>
      </c>
      <c r="N350" s="6">
        <v>51142</v>
      </c>
      <c r="O350">
        <v>4.7619047620000003</v>
      </c>
      <c r="P350" s="6">
        <v>2557.1</v>
      </c>
      <c r="Q350">
        <v>4.2</v>
      </c>
      <c r="R350" s="6">
        <f>RawSales[[#This Row],[Unit price]]*RawSales[[#This Row],[Quantity]]</f>
        <v>51142</v>
      </c>
      <c r="S350" s="6">
        <f>RawSales[[#This Row],[Subtotal]]*$B$1</f>
        <v>2557.1000000000004</v>
      </c>
      <c r="T350" s="6" t="b">
        <f>ROUND(RawSales[[#This Row],[Subtotal]],2)=ROUND(RawSales[[#This Row],[cogs]],2)</f>
        <v>1</v>
      </c>
      <c r="U350" s="6" t="b">
        <f>ROUND(RawSales[[#This Row],[cogs]]*0.05,2)=ROUND(RawSales[[#This Row],[Tax 5%]],2)</f>
        <v>1</v>
      </c>
      <c r="V350" s="6" t="b">
        <f>ROUND(RawSales[[#This Row],[cogs]]+RawSales[[#This Row],[Tax 5%]],2)=ROUND(RawSales[[#This Row],[Sales]],2)</f>
        <v>1</v>
      </c>
    </row>
    <row r="351" spans="1:22" x14ac:dyDescent="0.35">
      <c r="A351" s="4" t="s">
        <v>672</v>
      </c>
      <c r="B351" t="s">
        <v>20</v>
      </c>
      <c r="C351" t="s">
        <v>21</v>
      </c>
      <c r="D351" t="s">
        <v>22</v>
      </c>
      <c r="E351" t="s">
        <v>23</v>
      </c>
      <c r="F351" t="s">
        <v>49</v>
      </c>
      <c r="G351" s="6">
        <v>8815</v>
      </c>
      <c r="H351" s="7">
        <v>3</v>
      </c>
      <c r="I351" s="6">
        <v>1322.25</v>
      </c>
      <c r="J351" s="6">
        <v>27767.25</v>
      </c>
      <c r="K351" s="5">
        <v>43482.958333333336</v>
      </c>
      <c r="L351" s="4" t="s">
        <v>125</v>
      </c>
      <c r="M351" t="s">
        <v>34</v>
      </c>
      <c r="N351" s="6">
        <v>26445</v>
      </c>
      <c r="O351">
        <v>4.7619047620000003</v>
      </c>
      <c r="P351" s="6">
        <v>1322.25</v>
      </c>
      <c r="Q351">
        <v>7.9</v>
      </c>
      <c r="R351" s="6">
        <f>RawSales[[#This Row],[Unit price]]*RawSales[[#This Row],[Quantity]]</f>
        <v>26445</v>
      </c>
      <c r="S351" s="6">
        <f>RawSales[[#This Row],[Subtotal]]*$B$1</f>
        <v>1322.25</v>
      </c>
      <c r="T351" s="6" t="b">
        <f>ROUND(RawSales[[#This Row],[Subtotal]],2)=ROUND(RawSales[[#This Row],[cogs]],2)</f>
        <v>1</v>
      </c>
      <c r="U351" s="6" t="b">
        <f>ROUND(RawSales[[#This Row],[cogs]]*0.05,2)=ROUND(RawSales[[#This Row],[Tax 5%]],2)</f>
        <v>1</v>
      </c>
      <c r="V351" s="6" t="b">
        <f>ROUND(RawSales[[#This Row],[cogs]]+RawSales[[#This Row],[Tax 5%]],2)=ROUND(RawSales[[#This Row],[Sales]],2)</f>
        <v>1</v>
      </c>
    </row>
    <row r="352" spans="1:22" x14ac:dyDescent="0.35">
      <c r="A352" s="4" t="s">
        <v>673</v>
      </c>
      <c r="B352" t="s">
        <v>28</v>
      </c>
      <c r="C352" t="s">
        <v>29</v>
      </c>
      <c r="D352" t="s">
        <v>22</v>
      </c>
      <c r="E352" t="s">
        <v>31</v>
      </c>
      <c r="F352" t="s">
        <v>40</v>
      </c>
      <c r="G352" s="6">
        <v>9156</v>
      </c>
      <c r="H352" s="7">
        <v>8</v>
      </c>
      <c r="I352" s="6">
        <v>3662.4</v>
      </c>
      <c r="J352" s="6">
        <v>76910.399999999994</v>
      </c>
      <c r="K352" s="5">
        <v>43476.958333333336</v>
      </c>
      <c r="L352" s="4" t="s">
        <v>674</v>
      </c>
      <c r="M352" t="s">
        <v>34</v>
      </c>
      <c r="N352" s="6">
        <v>73248</v>
      </c>
      <c r="O352">
        <v>4.7619047620000003</v>
      </c>
      <c r="P352" s="6">
        <v>3662.4</v>
      </c>
      <c r="R352" s="6">
        <f>RawSales[[#This Row],[Unit price]]*RawSales[[#This Row],[Quantity]]</f>
        <v>73248</v>
      </c>
      <c r="S352" s="6">
        <f>RawSales[[#This Row],[Subtotal]]*$B$1</f>
        <v>3662.4</v>
      </c>
      <c r="T352" s="6" t="b">
        <f>ROUND(RawSales[[#This Row],[Subtotal]],2)=ROUND(RawSales[[#This Row],[cogs]],2)</f>
        <v>1</v>
      </c>
      <c r="U352" s="6" t="b">
        <f>ROUND(RawSales[[#This Row],[cogs]]*0.05,2)=ROUND(RawSales[[#This Row],[Tax 5%]],2)</f>
        <v>1</v>
      </c>
      <c r="V352" s="6" t="b">
        <f>ROUND(RawSales[[#This Row],[cogs]]+RawSales[[#This Row],[Tax 5%]],2)=ROUND(RawSales[[#This Row],[Sales]],2)</f>
        <v>1</v>
      </c>
    </row>
    <row r="353" spans="1:22" x14ac:dyDescent="0.35">
      <c r="A353" s="4" t="s">
        <v>675</v>
      </c>
      <c r="B353" t="s">
        <v>20</v>
      </c>
      <c r="C353" t="s">
        <v>21</v>
      </c>
      <c r="D353" t="s">
        <v>30</v>
      </c>
      <c r="E353" t="s">
        <v>31</v>
      </c>
      <c r="F353" t="s">
        <v>62</v>
      </c>
      <c r="G353" s="6">
        <v>2570</v>
      </c>
      <c r="H353" s="7">
        <v>3</v>
      </c>
      <c r="I353" s="6">
        <v>385.5</v>
      </c>
      <c r="J353" s="6">
        <v>8095.5</v>
      </c>
      <c r="K353" s="5">
        <v>43481.958333333336</v>
      </c>
      <c r="L353" s="4" t="s">
        <v>523</v>
      </c>
      <c r="M353" t="s">
        <v>34</v>
      </c>
      <c r="N353" s="6">
        <v>7710</v>
      </c>
      <c r="O353">
        <v>4.7619047620000003</v>
      </c>
      <c r="P353" s="6">
        <v>385.5</v>
      </c>
      <c r="Q353">
        <v>6.1</v>
      </c>
      <c r="R353" s="6">
        <f>RawSales[[#This Row],[Unit price]]*RawSales[[#This Row],[Quantity]]</f>
        <v>7710</v>
      </c>
      <c r="S353" s="6">
        <f>RawSales[[#This Row],[Subtotal]]*$B$1</f>
        <v>385.5</v>
      </c>
      <c r="T353" s="6" t="b">
        <f>ROUND(RawSales[[#This Row],[Subtotal]],2)=ROUND(RawSales[[#This Row],[cogs]],2)</f>
        <v>1</v>
      </c>
      <c r="U353" s="6" t="b">
        <f>ROUND(RawSales[[#This Row],[cogs]]*0.05,2)=ROUND(RawSales[[#This Row],[Tax 5%]],2)</f>
        <v>1</v>
      </c>
      <c r="V353" s="6" t="b">
        <f>ROUND(RawSales[[#This Row],[cogs]]+RawSales[[#This Row],[Tax 5%]],2)=ROUND(RawSales[[#This Row],[Sales]],2)</f>
        <v>1</v>
      </c>
    </row>
    <row r="354" spans="1:22" x14ac:dyDescent="0.35">
      <c r="A354" s="4" t="s">
        <v>676</v>
      </c>
      <c r="B354" t="s">
        <v>38</v>
      </c>
      <c r="C354" t="s">
        <v>39</v>
      </c>
      <c r="D354" t="s">
        <v>30</v>
      </c>
      <c r="E354" t="s">
        <v>31</v>
      </c>
      <c r="F354" t="s">
        <v>40</v>
      </c>
      <c r="G354" s="6">
        <v>2884</v>
      </c>
      <c r="H354" s="7">
        <v>4</v>
      </c>
      <c r="I354" s="6">
        <v>576.79999999999995</v>
      </c>
      <c r="J354" s="6">
        <v>12112.8</v>
      </c>
      <c r="K354" s="5">
        <v>43552.958333333336</v>
      </c>
      <c r="L354" s="4" t="s">
        <v>677</v>
      </c>
      <c r="M354" t="s">
        <v>26</v>
      </c>
      <c r="N354" s="6">
        <v>11536</v>
      </c>
      <c r="O354">
        <v>4.7619047620000003</v>
      </c>
      <c r="P354" s="6">
        <v>576.79999999999995</v>
      </c>
      <c r="Q354">
        <v>6.4</v>
      </c>
      <c r="R354" s="6">
        <f>RawSales[[#This Row],[Unit price]]*RawSales[[#This Row],[Quantity]]</f>
        <v>11536</v>
      </c>
      <c r="S354" s="6">
        <f>RawSales[[#This Row],[Subtotal]]*$B$1</f>
        <v>576.80000000000007</v>
      </c>
      <c r="T354" s="6" t="b">
        <f>ROUND(RawSales[[#This Row],[Subtotal]],2)=ROUND(RawSales[[#This Row],[cogs]],2)</f>
        <v>1</v>
      </c>
      <c r="U354" s="6" t="b">
        <f>ROUND(RawSales[[#This Row],[cogs]]*0.05,2)=ROUND(RawSales[[#This Row],[Tax 5%]],2)</f>
        <v>1</v>
      </c>
      <c r="V354" s="6" t="b">
        <f>ROUND(RawSales[[#This Row],[cogs]]+RawSales[[#This Row],[Tax 5%]],2)=ROUND(RawSales[[#This Row],[Sales]],2)</f>
        <v>1</v>
      </c>
    </row>
    <row r="355" spans="1:22" x14ac:dyDescent="0.35">
      <c r="A355" s="4" t="s">
        <v>678</v>
      </c>
      <c r="B355" t="s">
        <v>38</v>
      </c>
      <c r="C355" t="s">
        <v>39</v>
      </c>
      <c r="D355" t="s">
        <v>22</v>
      </c>
      <c r="E355" t="s">
        <v>23</v>
      </c>
      <c r="F355" t="s">
        <v>62</v>
      </c>
      <c r="G355" s="6">
        <v>8980</v>
      </c>
      <c r="H355" s="7">
        <v>10</v>
      </c>
      <c r="I355" s="6">
        <v>4490</v>
      </c>
      <c r="J355" s="6">
        <v>94290</v>
      </c>
      <c r="K355" s="5">
        <v>43487.958333333336</v>
      </c>
      <c r="L355" s="4" t="s">
        <v>679</v>
      </c>
      <c r="M355" t="s">
        <v>51</v>
      </c>
      <c r="N355" s="6">
        <v>89800</v>
      </c>
      <c r="O355">
        <v>4.7619047620000003</v>
      </c>
      <c r="P355" s="6">
        <v>4490</v>
      </c>
      <c r="Q355">
        <v>5.4</v>
      </c>
      <c r="R355" s="6">
        <f>RawSales[[#This Row],[Unit price]]*RawSales[[#This Row],[Quantity]]</f>
        <v>89800</v>
      </c>
      <c r="S355" s="6">
        <f>RawSales[[#This Row],[Subtotal]]*$B$1</f>
        <v>4490</v>
      </c>
      <c r="T355" s="6" t="b">
        <f>ROUND(RawSales[[#This Row],[Subtotal]],2)=ROUND(RawSales[[#This Row],[cogs]],2)</f>
        <v>1</v>
      </c>
      <c r="U355" s="6" t="b">
        <f>ROUND(RawSales[[#This Row],[cogs]]*0.05,2)=ROUND(RawSales[[#This Row],[Tax 5%]],2)</f>
        <v>1</v>
      </c>
      <c r="V355" s="6" t="b">
        <f>ROUND(RawSales[[#This Row],[cogs]]+RawSales[[#This Row],[Tax 5%]],2)=ROUND(RawSales[[#This Row],[Sales]],2)</f>
        <v>1</v>
      </c>
    </row>
    <row r="356" spans="1:22" x14ac:dyDescent="0.35">
      <c r="A356" s="4" t="s">
        <v>680</v>
      </c>
      <c r="B356" t="s">
        <v>20</v>
      </c>
      <c r="C356" t="s">
        <v>21</v>
      </c>
      <c r="D356" t="s">
        <v>22</v>
      </c>
      <c r="E356" t="s">
        <v>23</v>
      </c>
      <c r="F356" t="s">
        <v>49</v>
      </c>
      <c r="G356" s="6">
        <v>3062</v>
      </c>
      <c r="H356" s="7">
        <v>1</v>
      </c>
      <c r="I356" s="6">
        <v>153.1</v>
      </c>
      <c r="J356" s="6">
        <v>3215.1</v>
      </c>
      <c r="K356" s="5">
        <v>43500.958333333336</v>
      </c>
      <c r="L356" s="4" t="s">
        <v>681</v>
      </c>
      <c r="M356" t="s">
        <v>51</v>
      </c>
      <c r="N356" s="6">
        <v>3062</v>
      </c>
      <c r="O356">
        <v>4.7619047620000003</v>
      </c>
      <c r="P356" s="6">
        <v>153.1</v>
      </c>
      <c r="Q356">
        <v>4.0999999999999996</v>
      </c>
      <c r="R356" s="6">
        <f>RawSales[[#This Row],[Unit price]]*RawSales[[#This Row],[Quantity]]</f>
        <v>3062</v>
      </c>
      <c r="S356" s="6">
        <f>RawSales[[#This Row],[Subtotal]]*$B$1</f>
        <v>153.1</v>
      </c>
      <c r="T356" s="6" t="b">
        <f>ROUND(RawSales[[#This Row],[Subtotal]],2)=ROUND(RawSales[[#This Row],[cogs]],2)</f>
        <v>1</v>
      </c>
      <c r="U356" s="6" t="b">
        <f>ROUND(RawSales[[#This Row],[cogs]]*0.05,2)=ROUND(RawSales[[#This Row],[Tax 5%]],2)</f>
        <v>1</v>
      </c>
      <c r="V356" s="6" t="b">
        <f>ROUND(RawSales[[#This Row],[cogs]]+RawSales[[#This Row],[Tax 5%]],2)=ROUND(RawSales[[#This Row],[Sales]],2)</f>
        <v>1</v>
      </c>
    </row>
    <row r="357" spans="1:22" x14ac:dyDescent="0.35">
      <c r="A357" s="4" t="s">
        <v>682</v>
      </c>
      <c r="B357" t="s">
        <v>20</v>
      </c>
      <c r="C357" t="s">
        <v>21</v>
      </c>
      <c r="D357" t="s">
        <v>30</v>
      </c>
      <c r="E357" t="s">
        <v>31</v>
      </c>
      <c r="F357" t="s">
        <v>40</v>
      </c>
      <c r="G357" s="6">
        <v>5803</v>
      </c>
      <c r="H357" s="7">
        <v>2</v>
      </c>
      <c r="I357" s="6">
        <v>580.29999999999995</v>
      </c>
      <c r="J357" s="6">
        <v>12186.3</v>
      </c>
      <c r="K357" s="5">
        <v>43533.958333333336</v>
      </c>
      <c r="L357" s="4" t="s">
        <v>683</v>
      </c>
      <c r="M357" t="s">
        <v>34</v>
      </c>
      <c r="N357" s="6">
        <v>11606</v>
      </c>
      <c r="O357">
        <v>4.7619047620000003</v>
      </c>
      <c r="P357" s="6">
        <v>580.29999999999995</v>
      </c>
      <c r="Q357">
        <v>8.8000000000000007</v>
      </c>
      <c r="R357" s="6">
        <f>RawSales[[#This Row],[Unit price]]*RawSales[[#This Row],[Quantity]]</f>
        <v>11606</v>
      </c>
      <c r="S357" s="6">
        <f>RawSales[[#This Row],[Subtotal]]*$B$1</f>
        <v>580.30000000000007</v>
      </c>
      <c r="T357" s="6" t="b">
        <f>ROUND(RawSales[[#This Row],[Subtotal]],2)=ROUND(RawSales[[#This Row],[cogs]],2)</f>
        <v>1</v>
      </c>
      <c r="U357" s="6" t="b">
        <f>ROUND(RawSales[[#This Row],[cogs]]*0.05,2)=ROUND(RawSales[[#This Row],[Tax 5%]],2)</f>
        <v>1</v>
      </c>
      <c r="V357" s="6" t="b">
        <f>ROUND(RawSales[[#This Row],[cogs]]+RawSales[[#This Row],[Tax 5%]],2)=ROUND(RawSales[[#This Row],[Sales]],2)</f>
        <v>1</v>
      </c>
    </row>
    <row r="358" spans="1:22" x14ac:dyDescent="0.35">
      <c r="A358" s="4" t="s">
        <v>684</v>
      </c>
      <c r="B358" t="s">
        <v>20</v>
      </c>
      <c r="C358" t="s">
        <v>21</v>
      </c>
      <c r="D358" t="s">
        <v>22</v>
      </c>
      <c r="E358" t="s">
        <v>23</v>
      </c>
      <c r="F358" t="s">
        <v>43</v>
      </c>
      <c r="G358" s="6">
        <v>3962</v>
      </c>
      <c r="H358" s="7">
        <v>9</v>
      </c>
      <c r="I358" s="6">
        <v>1782.9</v>
      </c>
      <c r="J358" s="6">
        <v>37440.9</v>
      </c>
      <c r="K358" s="5">
        <v>43477.958333333336</v>
      </c>
      <c r="L358" s="4" t="s">
        <v>685</v>
      </c>
      <c r="M358" t="s">
        <v>51</v>
      </c>
      <c r="N358" s="6">
        <v>35658</v>
      </c>
      <c r="O358">
        <v>4.7619047620000003</v>
      </c>
      <c r="P358" s="6">
        <v>1782.9</v>
      </c>
      <c r="Q358">
        <v>6.8</v>
      </c>
      <c r="R358" s="6">
        <f>RawSales[[#This Row],[Unit price]]*RawSales[[#This Row],[Quantity]]</f>
        <v>35658</v>
      </c>
      <c r="S358" s="6">
        <f>RawSales[[#This Row],[Subtotal]]*$B$1</f>
        <v>1782.9</v>
      </c>
      <c r="T358" s="6" t="b">
        <f>ROUND(RawSales[[#This Row],[Subtotal]],2)=ROUND(RawSales[[#This Row],[cogs]],2)</f>
        <v>1</v>
      </c>
      <c r="U358" s="6" t="b">
        <f>ROUND(RawSales[[#This Row],[cogs]]*0.05,2)=ROUND(RawSales[[#This Row],[Tax 5%]],2)</f>
        <v>1</v>
      </c>
      <c r="V358" s="6" t="b">
        <f>ROUND(RawSales[[#This Row],[cogs]]+RawSales[[#This Row],[Tax 5%]],2)=ROUND(RawSales[[#This Row],[Sales]],2)</f>
        <v>1</v>
      </c>
    </row>
    <row r="359" spans="1:22" x14ac:dyDescent="0.35">
      <c r="A359" s="4" t="s">
        <v>686</v>
      </c>
      <c r="B359" t="s">
        <v>38</v>
      </c>
      <c r="C359" t="s">
        <v>39</v>
      </c>
      <c r="D359" t="s">
        <v>22</v>
      </c>
      <c r="E359" t="s">
        <v>23</v>
      </c>
      <c r="F359" t="s">
        <v>40</v>
      </c>
      <c r="G359" s="6">
        <v>9884</v>
      </c>
      <c r="H359" s="7">
        <v>1</v>
      </c>
      <c r="I359" s="6">
        <v>494.2</v>
      </c>
      <c r="J359" s="6">
        <v>10378.200000000001</v>
      </c>
      <c r="K359" s="5">
        <v>43510.958333333336</v>
      </c>
      <c r="L359" s="4" t="s">
        <v>687</v>
      </c>
      <c r="M359" t="s">
        <v>26</v>
      </c>
      <c r="N359" s="6">
        <v>9884</v>
      </c>
      <c r="O359">
        <v>4.7619047620000003</v>
      </c>
      <c r="P359" s="6">
        <v>494.2</v>
      </c>
      <c r="Q359">
        <v>8.4</v>
      </c>
      <c r="R359" s="6">
        <f>RawSales[[#This Row],[Unit price]]*RawSales[[#This Row],[Quantity]]</f>
        <v>9884</v>
      </c>
      <c r="S359" s="6">
        <f>RawSales[[#This Row],[Subtotal]]*$B$1</f>
        <v>494.20000000000005</v>
      </c>
      <c r="T359" s="6" t="b">
        <f>ROUND(RawSales[[#This Row],[Subtotal]],2)=ROUND(RawSales[[#This Row],[cogs]],2)</f>
        <v>1</v>
      </c>
      <c r="U359" s="6" t="b">
        <f>ROUND(RawSales[[#This Row],[cogs]]*0.05,2)=ROUND(RawSales[[#This Row],[Tax 5%]],2)</f>
        <v>1</v>
      </c>
      <c r="V359" s="6" t="b">
        <f>ROUND(RawSales[[#This Row],[cogs]]+RawSales[[#This Row],[Tax 5%]],2)=ROUND(RawSales[[#This Row],[Sales]],2)</f>
        <v>1</v>
      </c>
    </row>
    <row r="360" spans="1:22" x14ac:dyDescent="0.35">
      <c r="A360" s="4" t="s">
        <v>688</v>
      </c>
      <c r="B360" t="s">
        <v>38</v>
      </c>
      <c r="C360" t="s">
        <v>39</v>
      </c>
      <c r="D360" t="s">
        <v>22</v>
      </c>
      <c r="E360" t="s">
        <v>23</v>
      </c>
      <c r="F360" t="s">
        <v>49</v>
      </c>
      <c r="G360" s="6">
        <v>9779</v>
      </c>
      <c r="H360" s="7">
        <v>7</v>
      </c>
      <c r="I360" s="6">
        <v>3422.65</v>
      </c>
      <c r="J360" s="6">
        <v>71875.649999999994</v>
      </c>
      <c r="K360" s="5">
        <v>43511.958333333336</v>
      </c>
      <c r="L360" s="4" t="s">
        <v>689</v>
      </c>
      <c r="M360" t="s">
        <v>34</v>
      </c>
      <c r="N360" s="6">
        <v>68453</v>
      </c>
      <c r="O360">
        <v>4.7619047620000003</v>
      </c>
      <c r="P360" s="6">
        <v>3422.65</v>
      </c>
      <c r="Q360">
        <v>4.9000000000000004</v>
      </c>
      <c r="R360" s="6">
        <f>RawSales[[#This Row],[Unit price]]*RawSales[[#This Row],[Quantity]]</f>
        <v>68453</v>
      </c>
      <c r="S360" s="6">
        <f>RawSales[[#This Row],[Subtotal]]*$B$1</f>
        <v>3422.65</v>
      </c>
      <c r="T360" s="6" t="b">
        <f>ROUND(RawSales[[#This Row],[Subtotal]],2)=ROUND(RawSales[[#This Row],[cogs]],2)</f>
        <v>1</v>
      </c>
      <c r="U360" s="6" t="b">
        <f>ROUND(RawSales[[#This Row],[cogs]]*0.05,2)=ROUND(RawSales[[#This Row],[Tax 5%]],2)</f>
        <v>1</v>
      </c>
      <c r="V360" s="6" t="b">
        <f>ROUND(RawSales[[#This Row],[cogs]]+RawSales[[#This Row],[Tax 5%]],2)=ROUND(RawSales[[#This Row],[Sales]],2)</f>
        <v>1</v>
      </c>
    </row>
    <row r="361" spans="1:22" x14ac:dyDescent="0.35">
      <c r="A361" s="4" t="s">
        <v>690</v>
      </c>
      <c r="B361" t="s">
        <v>28</v>
      </c>
      <c r="C361" t="s">
        <v>29</v>
      </c>
      <c r="D361" t="s">
        <v>22</v>
      </c>
      <c r="E361" t="s">
        <v>23</v>
      </c>
      <c r="F361" t="s">
        <v>49</v>
      </c>
      <c r="G361" s="6">
        <v>9154</v>
      </c>
      <c r="H361" s="7">
        <v>4</v>
      </c>
      <c r="I361" s="6">
        <v>1830.8</v>
      </c>
      <c r="J361" s="6">
        <v>38446.800000000003</v>
      </c>
      <c r="K361" s="5">
        <v>43546.958333333336</v>
      </c>
      <c r="L361" s="4" t="s">
        <v>343</v>
      </c>
      <c r="M361" t="s">
        <v>51</v>
      </c>
      <c r="N361" s="6">
        <v>36616</v>
      </c>
      <c r="O361">
        <v>4.7619047620000003</v>
      </c>
      <c r="P361" s="6">
        <v>1830.8</v>
      </c>
      <c r="Q361">
        <v>4.8</v>
      </c>
      <c r="R361" s="6">
        <f>RawSales[[#This Row],[Unit price]]*RawSales[[#This Row],[Quantity]]</f>
        <v>36616</v>
      </c>
      <c r="S361" s="6">
        <f>RawSales[[#This Row],[Subtotal]]*$B$1</f>
        <v>1830.8000000000002</v>
      </c>
      <c r="T361" s="6" t="b">
        <f>ROUND(RawSales[[#This Row],[Subtotal]],2)=ROUND(RawSales[[#This Row],[cogs]],2)</f>
        <v>1</v>
      </c>
      <c r="U361" s="6" t="b">
        <f>ROUND(RawSales[[#This Row],[cogs]]*0.05,2)=ROUND(RawSales[[#This Row],[Tax 5%]],2)</f>
        <v>1</v>
      </c>
      <c r="V361" s="6" t="b">
        <f>ROUND(RawSales[[#This Row],[cogs]]+RawSales[[#This Row],[Tax 5%]],2)=ROUND(RawSales[[#This Row],[Sales]],2)</f>
        <v>1</v>
      </c>
    </row>
    <row r="362" spans="1:22" x14ac:dyDescent="0.35">
      <c r="A362" s="4" t="s">
        <v>691</v>
      </c>
      <c r="B362" t="s">
        <v>20</v>
      </c>
      <c r="C362" t="s">
        <v>21</v>
      </c>
      <c r="D362" t="s">
        <v>30</v>
      </c>
      <c r="E362" t="s">
        <v>31</v>
      </c>
      <c r="F362" t="s">
        <v>24</v>
      </c>
      <c r="G362" s="6">
        <v>8171</v>
      </c>
      <c r="H362" s="7">
        <v>6</v>
      </c>
      <c r="I362" s="6">
        <v>2451.3000000000002</v>
      </c>
      <c r="J362" s="6">
        <v>51477.3</v>
      </c>
      <c r="K362" s="5">
        <v>43491.958333333336</v>
      </c>
      <c r="L362" s="4" t="s">
        <v>692</v>
      </c>
      <c r="M362" t="s">
        <v>51</v>
      </c>
      <c r="N362" s="6">
        <v>49026</v>
      </c>
      <c r="O362">
        <v>4.7619047620000003</v>
      </c>
      <c r="P362" s="6">
        <v>2451.3000000000002</v>
      </c>
      <c r="Q362">
        <v>8</v>
      </c>
      <c r="R362" s="6">
        <f>RawSales[[#This Row],[Unit price]]*RawSales[[#This Row],[Quantity]]</f>
        <v>49026</v>
      </c>
      <c r="S362" s="6">
        <f>RawSales[[#This Row],[Subtotal]]*$B$1</f>
        <v>2451.3000000000002</v>
      </c>
      <c r="T362" s="6" t="b">
        <f>ROUND(RawSales[[#This Row],[Subtotal]],2)=ROUND(RawSales[[#This Row],[cogs]],2)</f>
        <v>1</v>
      </c>
      <c r="U362" s="6" t="b">
        <f>ROUND(RawSales[[#This Row],[cogs]]*0.05,2)=ROUND(RawSales[[#This Row],[Tax 5%]],2)</f>
        <v>1</v>
      </c>
      <c r="V362" s="6" t="b">
        <f>ROUND(RawSales[[#This Row],[cogs]]+RawSales[[#This Row],[Tax 5%]],2)=ROUND(RawSales[[#This Row],[Sales]],2)</f>
        <v>1</v>
      </c>
    </row>
    <row r="363" spans="1:22" x14ac:dyDescent="0.35">
      <c r="A363" s="4" t="s">
        <v>693</v>
      </c>
      <c r="B363" t="s">
        <v>28</v>
      </c>
      <c r="C363" t="s">
        <v>29</v>
      </c>
      <c r="D363" t="s">
        <v>22</v>
      </c>
      <c r="E363" t="s">
        <v>23</v>
      </c>
      <c r="F363" t="s">
        <v>55</v>
      </c>
      <c r="G363" s="6">
        <v>8270</v>
      </c>
      <c r="H363" s="7">
        <v>6</v>
      </c>
      <c r="I363" s="6">
        <v>2481</v>
      </c>
      <c r="J363" s="6">
        <v>52101</v>
      </c>
      <c r="K363" s="5">
        <v>43528.958333333336</v>
      </c>
      <c r="L363" s="4" t="s">
        <v>694</v>
      </c>
      <c r="M363" t="s">
        <v>26</v>
      </c>
      <c r="N363" s="6">
        <v>49620</v>
      </c>
      <c r="O363">
        <v>4.7619047620000003</v>
      </c>
      <c r="P363" s="6">
        <v>2481</v>
      </c>
      <c r="Q363">
        <v>7.4</v>
      </c>
      <c r="R363" s="6">
        <f>RawSales[[#This Row],[Unit price]]*RawSales[[#This Row],[Quantity]]</f>
        <v>49620</v>
      </c>
      <c r="S363" s="6">
        <f>RawSales[[#This Row],[Subtotal]]*$B$1</f>
        <v>2481</v>
      </c>
      <c r="T363" s="6" t="b">
        <f>ROUND(RawSales[[#This Row],[Subtotal]],2)=ROUND(RawSales[[#This Row],[cogs]],2)</f>
        <v>1</v>
      </c>
      <c r="U363" s="6" t="b">
        <f>ROUND(RawSales[[#This Row],[cogs]]*0.05,2)=ROUND(RawSales[[#This Row],[Tax 5%]],2)</f>
        <v>1</v>
      </c>
      <c r="V363" s="6" t="b">
        <f>ROUND(RawSales[[#This Row],[cogs]]+RawSales[[#This Row],[Tax 5%]],2)=ROUND(RawSales[[#This Row],[Sales]],2)</f>
        <v>1</v>
      </c>
    </row>
    <row r="364" spans="1:22" x14ac:dyDescent="0.35">
      <c r="A364" s="4" t="s">
        <v>695</v>
      </c>
      <c r="B364" t="s">
        <v>38</v>
      </c>
      <c r="C364" t="s">
        <v>39</v>
      </c>
      <c r="D364" t="s">
        <v>30</v>
      </c>
      <c r="E364" t="s">
        <v>31</v>
      </c>
      <c r="F364" t="s">
        <v>24</v>
      </c>
      <c r="G364" s="6">
        <v>4861</v>
      </c>
      <c r="H364" s="7">
        <v>1</v>
      </c>
      <c r="I364" s="6">
        <v>243.05</v>
      </c>
      <c r="J364" s="6">
        <v>5104.05</v>
      </c>
      <c r="K364" s="5">
        <v>43520.958333333336</v>
      </c>
      <c r="L364" s="4" t="s">
        <v>406</v>
      </c>
      <c r="M364" t="s">
        <v>26</v>
      </c>
      <c r="N364" s="6">
        <v>4861</v>
      </c>
      <c r="O364">
        <v>4.7619047620000003</v>
      </c>
      <c r="P364" s="6">
        <v>243.05</v>
      </c>
      <c r="Q364">
        <v>4.4000000000000004</v>
      </c>
      <c r="R364" s="6">
        <f>RawSales[[#This Row],[Unit price]]*RawSales[[#This Row],[Quantity]]</f>
        <v>4861</v>
      </c>
      <c r="S364" s="6">
        <f>RawSales[[#This Row],[Subtotal]]*$B$1</f>
        <v>243.05</v>
      </c>
      <c r="T364" s="6" t="b">
        <f>ROUND(RawSales[[#This Row],[Subtotal]],2)=ROUND(RawSales[[#This Row],[cogs]],2)</f>
        <v>1</v>
      </c>
      <c r="U364" s="6" t="b">
        <f>ROUND(RawSales[[#This Row],[cogs]]*0.05,2)=ROUND(RawSales[[#This Row],[Tax 5%]],2)</f>
        <v>1</v>
      </c>
      <c r="V364" s="6" t="b">
        <f>ROUND(RawSales[[#This Row],[cogs]]+RawSales[[#This Row],[Tax 5%]],2)=ROUND(RawSales[[#This Row],[Sales]],2)</f>
        <v>1</v>
      </c>
    </row>
    <row r="365" spans="1:22" x14ac:dyDescent="0.35">
      <c r="A365" s="4" t="s">
        <v>150</v>
      </c>
      <c r="B365" t="s">
        <v>20</v>
      </c>
      <c r="C365" t="s">
        <v>21</v>
      </c>
      <c r="D365" t="s">
        <v>30</v>
      </c>
      <c r="E365" t="s">
        <v>31</v>
      </c>
      <c r="F365" t="s">
        <v>43</v>
      </c>
      <c r="G365" s="6">
        <v>2895</v>
      </c>
      <c r="H365" s="7">
        <v>7</v>
      </c>
      <c r="I365" s="6">
        <v>1013.25</v>
      </c>
      <c r="J365" s="6">
        <v>21278.25</v>
      </c>
      <c r="K365" s="5">
        <v>43526.958333333336</v>
      </c>
      <c r="L365" s="4" t="s">
        <v>151</v>
      </c>
      <c r="M365" t="s">
        <v>51</v>
      </c>
      <c r="N365" s="6">
        <v>20265</v>
      </c>
      <c r="O365">
        <v>4.7619047620000003</v>
      </c>
      <c r="P365" s="6">
        <v>1013.25</v>
      </c>
      <c r="Q365">
        <v>6</v>
      </c>
      <c r="R365" s="6">
        <f>RawSales[[#This Row],[Unit price]]*RawSales[[#This Row],[Quantity]]</f>
        <v>20265</v>
      </c>
      <c r="S365" s="6">
        <f>RawSales[[#This Row],[Subtotal]]*$B$1</f>
        <v>1013.25</v>
      </c>
      <c r="T365" s="6" t="b">
        <f>ROUND(RawSales[[#This Row],[Subtotal]],2)=ROUND(RawSales[[#This Row],[cogs]],2)</f>
        <v>1</v>
      </c>
      <c r="U365" s="6" t="b">
        <f>ROUND(RawSales[[#This Row],[cogs]]*0.05,2)=ROUND(RawSales[[#This Row],[Tax 5%]],2)</f>
        <v>1</v>
      </c>
      <c r="V365" s="6" t="b">
        <f>ROUND(RawSales[[#This Row],[cogs]]+RawSales[[#This Row],[Tax 5%]],2)=ROUND(RawSales[[#This Row],[Sales]],2)</f>
        <v>1</v>
      </c>
    </row>
    <row r="366" spans="1:22" x14ac:dyDescent="0.35">
      <c r="A366" s="4" t="s">
        <v>696</v>
      </c>
      <c r="B366" t="s">
        <v>28</v>
      </c>
      <c r="C366" t="s">
        <v>29</v>
      </c>
      <c r="D366" t="s">
        <v>30</v>
      </c>
      <c r="E366" t="s">
        <v>23</v>
      </c>
      <c r="F366" t="s">
        <v>49</v>
      </c>
      <c r="G366" s="6">
        <v>4109</v>
      </c>
      <c r="H366" s="7">
        <v>10</v>
      </c>
      <c r="I366" s="6">
        <v>2054.5</v>
      </c>
      <c r="J366" s="6">
        <v>43144.5</v>
      </c>
      <c r="K366" s="5">
        <v>43523.958333333336</v>
      </c>
      <c r="L366" s="4" t="s">
        <v>381</v>
      </c>
      <c r="M366" t="s">
        <v>26</v>
      </c>
      <c r="N366" s="6">
        <v>41090</v>
      </c>
      <c r="O366">
        <v>4.7619047620000003</v>
      </c>
      <c r="P366" s="6">
        <v>2054.5</v>
      </c>
      <c r="Q366">
        <v>7.3</v>
      </c>
      <c r="R366" s="6">
        <f>RawSales[[#This Row],[Unit price]]*RawSales[[#This Row],[Quantity]]</f>
        <v>41090</v>
      </c>
      <c r="S366" s="6">
        <f>RawSales[[#This Row],[Subtotal]]*$B$1</f>
        <v>2054.5</v>
      </c>
      <c r="T366" s="6" t="b">
        <f>ROUND(RawSales[[#This Row],[Subtotal]],2)=ROUND(RawSales[[#This Row],[cogs]],2)</f>
        <v>1</v>
      </c>
      <c r="U366" s="6" t="b">
        <f>ROUND(RawSales[[#This Row],[cogs]]*0.05,2)=ROUND(RawSales[[#This Row],[Tax 5%]],2)</f>
        <v>1</v>
      </c>
      <c r="V366" s="6" t="b">
        <f>ROUND(RawSales[[#This Row],[cogs]]+RawSales[[#This Row],[Tax 5%]],2)=ROUND(RawSales[[#This Row],[Sales]],2)</f>
        <v>1</v>
      </c>
    </row>
    <row r="367" spans="1:22" x14ac:dyDescent="0.35">
      <c r="A367" s="4" t="s">
        <v>697</v>
      </c>
      <c r="B367" t="s">
        <v>28</v>
      </c>
      <c r="C367" t="s">
        <v>29</v>
      </c>
      <c r="D367" t="s">
        <v>22</v>
      </c>
      <c r="E367" t="s">
        <v>23</v>
      </c>
      <c r="F367" t="s">
        <v>49</v>
      </c>
      <c r="G367" s="6">
        <v>5647</v>
      </c>
      <c r="H367" s="7">
        <v>8</v>
      </c>
      <c r="I367" s="6">
        <v>2258.8000000000002</v>
      </c>
      <c r="J367" s="6">
        <v>47434.8</v>
      </c>
      <c r="K367" s="5">
        <v>43532.958333333336</v>
      </c>
      <c r="L367" s="4" t="s">
        <v>698</v>
      </c>
      <c r="M367" t="s">
        <v>34</v>
      </c>
      <c r="N367" s="6">
        <v>45176</v>
      </c>
      <c r="O367">
        <v>4.7619047620000003</v>
      </c>
      <c r="P367" s="6">
        <v>2258.8000000000002</v>
      </c>
      <c r="Q367">
        <v>7.3</v>
      </c>
      <c r="R367" s="6">
        <f>RawSales[[#This Row],[Unit price]]*RawSales[[#This Row],[Quantity]]</f>
        <v>45176</v>
      </c>
      <c r="S367" s="6">
        <f>RawSales[[#This Row],[Subtotal]]*$B$1</f>
        <v>2258.8000000000002</v>
      </c>
      <c r="T367" s="6" t="b">
        <f>ROUND(RawSales[[#This Row],[Subtotal]],2)=ROUND(RawSales[[#This Row],[cogs]],2)</f>
        <v>1</v>
      </c>
      <c r="U367" s="6" t="b">
        <f>ROUND(RawSales[[#This Row],[cogs]]*0.05,2)=ROUND(RawSales[[#This Row],[Tax 5%]],2)</f>
        <v>1</v>
      </c>
      <c r="V367" s="6" t="b">
        <f>ROUND(RawSales[[#This Row],[cogs]]+RawSales[[#This Row],[Tax 5%]],2)=ROUND(RawSales[[#This Row],[Sales]],2)</f>
        <v>1</v>
      </c>
    </row>
    <row r="368" spans="1:22" x14ac:dyDescent="0.35">
      <c r="A368" s="4" t="s">
        <v>699</v>
      </c>
      <c r="B368" t="s">
        <v>20</v>
      </c>
      <c r="C368" t="s">
        <v>21</v>
      </c>
      <c r="D368" t="s">
        <v>22</v>
      </c>
      <c r="E368" t="s">
        <v>23</v>
      </c>
      <c r="F368" t="s">
        <v>62</v>
      </c>
      <c r="G368" s="6">
        <v>3872</v>
      </c>
      <c r="H368" s="7">
        <v>9</v>
      </c>
      <c r="I368" s="6">
        <v>1742.4</v>
      </c>
      <c r="J368" s="6">
        <v>36590.400000000001</v>
      </c>
      <c r="K368" s="5">
        <v>43543.958333333336</v>
      </c>
      <c r="L368" s="4" t="s">
        <v>700</v>
      </c>
      <c r="M368" t="s">
        <v>34</v>
      </c>
      <c r="N368" s="6">
        <v>34848</v>
      </c>
      <c r="O368">
        <v>4.7619047620000003</v>
      </c>
      <c r="P368" s="6">
        <v>1742.4</v>
      </c>
      <c r="Q368">
        <v>4.2</v>
      </c>
      <c r="R368" s="6">
        <f>RawSales[[#This Row],[Unit price]]*RawSales[[#This Row],[Quantity]]</f>
        <v>34848</v>
      </c>
      <c r="S368" s="6">
        <f>RawSales[[#This Row],[Subtotal]]*$B$1</f>
        <v>1742.4</v>
      </c>
      <c r="T368" s="6" t="b">
        <f>ROUND(RawSales[[#This Row],[Subtotal]],2)=ROUND(RawSales[[#This Row],[cogs]],2)</f>
        <v>1</v>
      </c>
      <c r="U368" s="6" t="b">
        <f>ROUND(RawSales[[#This Row],[cogs]]*0.05,2)=ROUND(RawSales[[#This Row],[Tax 5%]],2)</f>
        <v>1</v>
      </c>
      <c r="V368" s="6" t="b">
        <f>ROUND(RawSales[[#This Row],[cogs]]+RawSales[[#This Row],[Tax 5%]],2)=ROUND(RawSales[[#This Row],[Sales]],2)</f>
        <v>1</v>
      </c>
    </row>
    <row r="369" spans="1:22" x14ac:dyDescent="0.35">
      <c r="A369" s="4" t="s">
        <v>701</v>
      </c>
      <c r="B369" t="s">
        <v>20</v>
      </c>
      <c r="C369" t="s">
        <v>21</v>
      </c>
      <c r="D369" t="s">
        <v>30</v>
      </c>
      <c r="E369" t="s">
        <v>31</v>
      </c>
      <c r="F369" t="s">
        <v>40</v>
      </c>
      <c r="G369" s="6">
        <v>2602</v>
      </c>
      <c r="H369" s="7">
        <v>7</v>
      </c>
      <c r="I369" s="6">
        <v>910.7</v>
      </c>
      <c r="J369" s="6">
        <v>19124.7</v>
      </c>
      <c r="K369" s="5">
        <v>43551.958333333336</v>
      </c>
      <c r="L369" s="4" t="s">
        <v>138</v>
      </c>
      <c r="M369" t="s">
        <v>26</v>
      </c>
      <c r="N369" s="6">
        <v>18214</v>
      </c>
      <c r="O369">
        <v>4.7619047620000003</v>
      </c>
      <c r="P369" s="6">
        <v>910.7</v>
      </c>
      <c r="Q369">
        <v>5.0999999999999996</v>
      </c>
      <c r="R369" s="6">
        <f>RawSales[[#This Row],[Unit price]]*RawSales[[#This Row],[Quantity]]</f>
        <v>18214</v>
      </c>
      <c r="S369" s="6">
        <f>RawSales[[#This Row],[Subtotal]]*$B$1</f>
        <v>910.7</v>
      </c>
      <c r="T369" s="6" t="b">
        <f>ROUND(RawSales[[#This Row],[Subtotal]],2)=ROUND(RawSales[[#This Row],[cogs]],2)</f>
        <v>1</v>
      </c>
      <c r="U369" s="6" t="b">
        <f>ROUND(RawSales[[#This Row],[cogs]]*0.05,2)=ROUND(RawSales[[#This Row],[Tax 5%]],2)</f>
        <v>1</v>
      </c>
      <c r="V369" s="6" t="b">
        <f>ROUND(RawSales[[#This Row],[cogs]]+RawSales[[#This Row],[Tax 5%]],2)=ROUND(RawSales[[#This Row],[Sales]],2)</f>
        <v>1</v>
      </c>
    </row>
    <row r="370" spans="1:22" x14ac:dyDescent="0.35">
      <c r="A370" s="4" t="s">
        <v>702</v>
      </c>
      <c r="B370" t="s">
        <v>38</v>
      </c>
      <c r="C370" t="s">
        <v>39</v>
      </c>
      <c r="D370" t="s">
        <v>22</v>
      </c>
      <c r="E370" t="s">
        <v>31</v>
      </c>
      <c r="F370" t="s">
        <v>43</v>
      </c>
      <c r="G370" s="6">
        <v>9050</v>
      </c>
      <c r="H370" s="7">
        <v>10</v>
      </c>
      <c r="I370" s="6">
        <v>4525</v>
      </c>
      <c r="J370" s="6">
        <v>95025</v>
      </c>
      <c r="K370" s="5">
        <v>43489.958333333336</v>
      </c>
      <c r="L370" s="4" t="s">
        <v>349</v>
      </c>
      <c r="M370" t="s">
        <v>26</v>
      </c>
      <c r="N370" s="6">
        <v>90500</v>
      </c>
      <c r="O370">
        <v>4.7619047620000003</v>
      </c>
      <c r="P370" s="6">
        <v>4525</v>
      </c>
      <c r="Q370">
        <v>8.1</v>
      </c>
      <c r="R370" s="6">
        <f>RawSales[[#This Row],[Unit price]]*RawSales[[#This Row],[Quantity]]</f>
        <v>90500</v>
      </c>
      <c r="S370" s="6">
        <f>RawSales[[#This Row],[Subtotal]]*$B$1</f>
        <v>4525</v>
      </c>
      <c r="T370" s="6" t="b">
        <f>ROUND(RawSales[[#This Row],[Subtotal]],2)=ROUND(RawSales[[#This Row],[cogs]],2)</f>
        <v>1</v>
      </c>
      <c r="U370" s="6" t="b">
        <f>ROUND(RawSales[[#This Row],[cogs]]*0.05,2)=ROUND(RawSales[[#This Row],[Tax 5%]],2)</f>
        <v>1</v>
      </c>
      <c r="V370" s="6" t="b">
        <f>ROUND(RawSales[[#This Row],[cogs]]+RawSales[[#This Row],[Tax 5%]],2)=ROUND(RawSales[[#This Row],[Sales]],2)</f>
        <v>1</v>
      </c>
    </row>
    <row r="371" spans="1:22" x14ac:dyDescent="0.35">
      <c r="A371" s="4" t="s">
        <v>703</v>
      </c>
      <c r="B371" t="s">
        <v>28</v>
      </c>
      <c r="C371" t="s">
        <v>29</v>
      </c>
      <c r="D371" t="s">
        <v>30</v>
      </c>
      <c r="E371" t="s">
        <v>23</v>
      </c>
      <c r="F371" t="s">
        <v>24</v>
      </c>
      <c r="G371" s="6">
        <v>7120</v>
      </c>
      <c r="H371" s="7">
        <v>1</v>
      </c>
      <c r="I371" s="6">
        <v>356</v>
      </c>
      <c r="J371" s="6">
        <v>7476</v>
      </c>
      <c r="K371" s="5">
        <v>43469.958333333336</v>
      </c>
      <c r="L371" s="4" t="s">
        <v>704</v>
      </c>
      <c r="M371" t="s">
        <v>51</v>
      </c>
      <c r="N371" s="6">
        <v>7120</v>
      </c>
      <c r="O371">
        <v>4.7619047620000003</v>
      </c>
      <c r="P371" s="6">
        <v>356</v>
      </c>
      <c r="Q371">
        <v>9.1999999999999993</v>
      </c>
      <c r="R371" s="6">
        <f>RawSales[[#This Row],[Unit price]]*RawSales[[#This Row],[Quantity]]</f>
        <v>7120</v>
      </c>
      <c r="S371" s="6">
        <f>RawSales[[#This Row],[Subtotal]]*$B$1</f>
        <v>356</v>
      </c>
      <c r="T371" s="6" t="b">
        <f>ROUND(RawSales[[#This Row],[Subtotal]],2)=ROUND(RawSales[[#This Row],[cogs]],2)</f>
        <v>1</v>
      </c>
      <c r="U371" s="6" t="b">
        <f>ROUND(RawSales[[#This Row],[cogs]]*0.05,2)=ROUND(RawSales[[#This Row],[Tax 5%]],2)</f>
        <v>1</v>
      </c>
      <c r="V371" s="6" t="b">
        <f>ROUND(RawSales[[#This Row],[cogs]]+RawSales[[#This Row],[Tax 5%]],2)=ROUND(RawSales[[#This Row],[Sales]],2)</f>
        <v>1</v>
      </c>
    </row>
    <row r="372" spans="1:22" x14ac:dyDescent="0.35">
      <c r="A372" s="4" t="s">
        <v>705</v>
      </c>
      <c r="B372" t="s">
        <v>28</v>
      </c>
      <c r="C372" t="s">
        <v>29</v>
      </c>
      <c r="D372" t="s">
        <v>22</v>
      </c>
      <c r="E372" t="s">
        <v>23</v>
      </c>
      <c r="F372" t="s">
        <v>43</v>
      </c>
      <c r="G372" s="6">
        <v>8798</v>
      </c>
      <c r="H372" s="7">
        <v>3</v>
      </c>
      <c r="I372" s="6">
        <v>1319.7</v>
      </c>
      <c r="J372" s="6">
        <v>27713.7</v>
      </c>
      <c r="K372" s="5">
        <v>43528.958333333336</v>
      </c>
      <c r="L372" s="4" t="s">
        <v>706</v>
      </c>
      <c r="M372" t="s">
        <v>34</v>
      </c>
      <c r="N372" s="6">
        <v>26394</v>
      </c>
      <c r="O372">
        <v>4.7619047620000003</v>
      </c>
      <c r="P372" s="6">
        <v>1319.7</v>
      </c>
      <c r="Q372">
        <v>5.0999999999999996</v>
      </c>
      <c r="R372" s="6">
        <f>RawSales[[#This Row],[Unit price]]*RawSales[[#This Row],[Quantity]]</f>
        <v>26394</v>
      </c>
      <c r="S372" s="6">
        <f>RawSales[[#This Row],[Subtotal]]*$B$1</f>
        <v>1319.7</v>
      </c>
      <c r="T372" s="6" t="b">
        <f>ROUND(RawSales[[#This Row],[Subtotal]],2)=ROUND(RawSales[[#This Row],[cogs]],2)</f>
        <v>1</v>
      </c>
      <c r="U372" s="6" t="b">
        <f>ROUND(RawSales[[#This Row],[cogs]]*0.05,2)=ROUND(RawSales[[#This Row],[Tax 5%]],2)</f>
        <v>1</v>
      </c>
      <c r="V372" s="6" t="b">
        <f>ROUND(RawSales[[#This Row],[cogs]]+RawSales[[#This Row],[Tax 5%]],2)=ROUND(RawSales[[#This Row],[Sales]],2)</f>
        <v>1</v>
      </c>
    </row>
    <row r="373" spans="1:22" x14ac:dyDescent="0.35">
      <c r="A373" s="4" t="s">
        <v>707</v>
      </c>
      <c r="B373" t="s">
        <v>38</v>
      </c>
      <c r="C373" t="s">
        <v>39</v>
      </c>
      <c r="D373" t="s">
        <v>22</v>
      </c>
      <c r="E373" t="s">
        <v>31</v>
      </c>
      <c r="F373" t="s">
        <v>43</v>
      </c>
      <c r="G373" s="6">
        <v>6855</v>
      </c>
      <c r="H373" s="7">
        <v>4</v>
      </c>
      <c r="I373" s="6">
        <v>1371</v>
      </c>
      <c r="J373" s="6">
        <v>28791</v>
      </c>
      <c r="K373" s="5">
        <v>43510.958333333336</v>
      </c>
      <c r="L373" s="4" t="s">
        <v>708</v>
      </c>
      <c r="M373" t="s">
        <v>51</v>
      </c>
      <c r="N373" s="6">
        <v>27420</v>
      </c>
      <c r="O373">
        <v>4.7619047620000003</v>
      </c>
      <c r="P373" s="6">
        <v>1371</v>
      </c>
      <c r="Q373">
        <v>9.1999999999999993</v>
      </c>
      <c r="R373" s="6">
        <f>RawSales[[#This Row],[Unit price]]*RawSales[[#This Row],[Quantity]]</f>
        <v>27420</v>
      </c>
      <c r="S373" s="6">
        <f>RawSales[[#This Row],[Subtotal]]*$B$1</f>
        <v>1371</v>
      </c>
      <c r="T373" s="6" t="b">
        <f>ROUND(RawSales[[#This Row],[Subtotal]],2)=ROUND(RawSales[[#This Row],[cogs]],2)</f>
        <v>1</v>
      </c>
      <c r="U373" s="6" t="b">
        <f>ROUND(RawSales[[#This Row],[cogs]]*0.05,2)=ROUND(RawSales[[#This Row],[Tax 5%]],2)</f>
        <v>1</v>
      </c>
      <c r="V373" s="6" t="b">
        <f>ROUND(RawSales[[#This Row],[cogs]]+RawSales[[#This Row],[Tax 5%]],2)=ROUND(RawSales[[#This Row],[Sales]],2)</f>
        <v>1</v>
      </c>
    </row>
    <row r="374" spans="1:22" x14ac:dyDescent="0.35">
      <c r="A374" s="4" t="s">
        <v>709</v>
      </c>
      <c r="B374" t="s">
        <v>38</v>
      </c>
      <c r="C374" t="s">
        <v>39</v>
      </c>
      <c r="D374" t="s">
        <v>22</v>
      </c>
      <c r="E374" t="s">
        <v>23</v>
      </c>
      <c r="F374" t="s">
        <v>32</v>
      </c>
      <c r="G374" s="6">
        <v>2424</v>
      </c>
      <c r="H374" s="7">
        <v>7</v>
      </c>
      <c r="I374" s="6">
        <v>848.4</v>
      </c>
      <c r="J374" s="6">
        <v>17816.400000000001</v>
      </c>
      <c r="K374" s="5">
        <v>43491.958333333336</v>
      </c>
      <c r="L374" s="4" t="s">
        <v>138</v>
      </c>
      <c r="M374" t="s">
        <v>34</v>
      </c>
      <c r="N374" s="6">
        <v>16968</v>
      </c>
      <c r="O374">
        <v>4.7619047620000003</v>
      </c>
      <c r="P374" s="6">
        <v>848.4</v>
      </c>
      <c r="Q374">
        <v>9.4</v>
      </c>
      <c r="R374" s="6">
        <f>RawSales[[#This Row],[Unit price]]*RawSales[[#This Row],[Quantity]]</f>
        <v>16968</v>
      </c>
      <c r="S374" s="6">
        <f>RawSales[[#This Row],[Subtotal]]*$B$1</f>
        <v>848.40000000000009</v>
      </c>
      <c r="T374" s="6" t="b">
        <f>ROUND(RawSales[[#This Row],[Subtotal]],2)=ROUND(RawSales[[#This Row],[cogs]],2)</f>
        <v>1</v>
      </c>
      <c r="U374" s="6" t="b">
        <f>ROUND(RawSales[[#This Row],[cogs]]*0.05,2)=ROUND(RawSales[[#This Row],[Tax 5%]],2)</f>
        <v>1</v>
      </c>
      <c r="V374" s="6" t="b">
        <f>ROUND(RawSales[[#This Row],[cogs]]+RawSales[[#This Row],[Tax 5%]],2)=ROUND(RawSales[[#This Row],[Sales]],2)</f>
        <v>1</v>
      </c>
    </row>
    <row r="375" spans="1:22" x14ac:dyDescent="0.35">
      <c r="A375" s="4" t="s">
        <v>710</v>
      </c>
      <c r="B375" t="s">
        <v>28</v>
      </c>
      <c r="C375" t="s">
        <v>29</v>
      </c>
      <c r="D375" t="s">
        <v>30</v>
      </c>
      <c r="E375" t="s">
        <v>23</v>
      </c>
      <c r="F375" t="s">
        <v>49</v>
      </c>
      <c r="G375" s="6">
        <v>6371</v>
      </c>
      <c r="H375" s="7">
        <v>5</v>
      </c>
      <c r="I375" s="6">
        <v>1592.75</v>
      </c>
      <c r="J375" s="6">
        <v>33447.75</v>
      </c>
      <c r="K375" s="5">
        <v>43502.958333333336</v>
      </c>
      <c r="L375" s="4" t="s">
        <v>312</v>
      </c>
      <c r="M375" t="s">
        <v>34</v>
      </c>
      <c r="N375" s="6">
        <v>31855</v>
      </c>
      <c r="O375">
        <v>4.7619047620000003</v>
      </c>
      <c r="P375" s="6">
        <v>1592.75</v>
      </c>
      <c r="Q375">
        <v>8.5</v>
      </c>
      <c r="R375" s="6">
        <f>RawSales[[#This Row],[Unit price]]*RawSales[[#This Row],[Quantity]]</f>
        <v>31855</v>
      </c>
      <c r="S375" s="6">
        <f>RawSales[[#This Row],[Subtotal]]*$B$1</f>
        <v>1592.75</v>
      </c>
      <c r="T375" s="6" t="b">
        <f>ROUND(RawSales[[#This Row],[Subtotal]],2)=ROUND(RawSales[[#This Row],[cogs]],2)</f>
        <v>1</v>
      </c>
      <c r="U375" s="6" t="b">
        <f>ROUND(RawSales[[#This Row],[cogs]]*0.05,2)=ROUND(RawSales[[#This Row],[Tax 5%]],2)</f>
        <v>1</v>
      </c>
      <c r="V375" s="6" t="b">
        <f>ROUND(RawSales[[#This Row],[cogs]]+RawSales[[#This Row],[Tax 5%]],2)=ROUND(RawSales[[#This Row],[Sales]],2)</f>
        <v>1</v>
      </c>
    </row>
    <row r="376" spans="1:22" x14ac:dyDescent="0.35">
      <c r="A376" s="4" t="s">
        <v>711</v>
      </c>
      <c r="B376" t="s">
        <v>38</v>
      </c>
      <c r="C376" t="s">
        <v>39</v>
      </c>
      <c r="D376" t="s">
        <v>22</v>
      </c>
      <c r="E376" t="s">
        <v>23</v>
      </c>
      <c r="F376" t="s">
        <v>49</v>
      </c>
      <c r="G376" s="6">
        <v>8263</v>
      </c>
      <c r="H376" s="7">
        <v>10</v>
      </c>
      <c r="I376" s="6">
        <v>4131.5</v>
      </c>
      <c r="J376" s="6">
        <v>86761.5</v>
      </c>
      <c r="K376" s="4" t="s">
        <v>712</v>
      </c>
      <c r="L376" s="4" t="s">
        <v>202</v>
      </c>
      <c r="M376" t="s">
        <v>34</v>
      </c>
      <c r="N376" s="6">
        <v>82630</v>
      </c>
      <c r="O376">
        <v>4.7619047620000003</v>
      </c>
      <c r="P376" s="6">
        <v>4131.5</v>
      </c>
      <c r="Q376">
        <v>7.9</v>
      </c>
      <c r="R376" s="6">
        <f>RawSales[[#This Row],[Unit price]]*RawSales[[#This Row],[Quantity]]</f>
        <v>82630</v>
      </c>
      <c r="S376" s="6">
        <f>RawSales[[#This Row],[Subtotal]]*$B$1</f>
        <v>4131.5</v>
      </c>
      <c r="T376" s="6" t="b">
        <f>ROUND(RawSales[[#This Row],[Subtotal]],2)=ROUND(RawSales[[#This Row],[cogs]],2)</f>
        <v>1</v>
      </c>
      <c r="U376" s="6" t="b">
        <f>ROUND(RawSales[[#This Row],[cogs]]*0.05,2)=ROUND(RawSales[[#This Row],[Tax 5%]],2)</f>
        <v>1</v>
      </c>
      <c r="V376" s="6" t="b">
        <f>ROUND(RawSales[[#This Row],[cogs]]+RawSales[[#This Row],[Tax 5%]],2)=ROUND(RawSales[[#This Row],[Sales]],2)</f>
        <v>1</v>
      </c>
    </row>
    <row r="377" spans="1:22" x14ac:dyDescent="0.35">
      <c r="A377" s="4" t="s">
        <v>713</v>
      </c>
      <c r="B377" t="s">
        <v>28</v>
      </c>
      <c r="C377" t="s">
        <v>29</v>
      </c>
      <c r="D377" t="s">
        <v>22</v>
      </c>
      <c r="E377" t="s">
        <v>31</v>
      </c>
      <c r="F377" t="s">
        <v>62</v>
      </c>
      <c r="G377" s="6">
        <v>3732</v>
      </c>
      <c r="H377" s="7">
        <v>9</v>
      </c>
      <c r="I377" s="6">
        <v>1679.4</v>
      </c>
      <c r="J377" s="6">
        <v>35267.4</v>
      </c>
      <c r="K377" s="5">
        <v>43529.958333333336</v>
      </c>
      <c r="L377" s="4" t="s">
        <v>406</v>
      </c>
      <c r="M377" t="s">
        <v>34</v>
      </c>
      <c r="N377" s="6">
        <v>33588</v>
      </c>
      <c r="O377">
        <v>4.7619047620000003</v>
      </c>
      <c r="P377" s="6">
        <v>1679.4</v>
      </c>
      <c r="Q377">
        <v>5.0999999999999996</v>
      </c>
      <c r="R377" s="6">
        <f>RawSales[[#This Row],[Unit price]]*RawSales[[#This Row],[Quantity]]</f>
        <v>33588</v>
      </c>
      <c r="S377" s="6">
        <f>RawSales[[#This Row],[Subtotal]]*$B$1</f>
        <v>1679.4</v>
      </c>
      <c r="T377" s="6" t="b">
        <f>ROUND(RawSales[[#This Row],[Subtotal]],2)=ROUND(RawSales[[#This Row],[cogs]],2)</f>
        <v>1</v>
      </c>
      <c r="U377" s="6" t="b">
        <f>ROUND(RawSales[[#This Row],[cogs]]*0.05,2)=ROUND(RawSales[[#This Row],[Tax 5%]],2)</f>
        <v>1</v>
      </c>
      <c r="V377" s="6" t="b">
        <f>ROUND(RawSales[[#This Row],[cogs]]+RawSales[[#This Row],[Tax 5%]],2)=ROUND(RawSales[[#This Row],[Sales]],2)</f>
        <v>1</v>
      </c>
    </row>
    <row r="378" spans="1:22" x14ac:dyDescent="0.35">
      <c r="A378" s="4" t="s">
        <v>714</v>
      </c>
      <c r="B378" t="s">
        <v>20</v>
      </c>
      <c r="C378" t="s">
        <v>21</v>
      </c>
      <c r="D378" t="s">
        <v>22</v>
      </c>
      <c r="E378" t="s">
        <v>23</v>
      </c>
      <c r="F378" t="s">
        <v>49</v>
      </c>
      <c r="G378" s="6">
        <v>7146</v>
      </c>
      <c r="H378" s="7">
        <v>7</v>
      </c>
      <c r="I378" s="6">
        <v>2501.1</v>
      </c>
      <c r="J378" s="6">
        <v>52523.1</v>
      </c>
      <c r="K378" s="5">
        <v>43551.958333333336</v>
      </c>
      <c r="L378" s="4" t="s">
        <v>388</v>
      </c>
      <c r="M378" t="s">
        <v>34</v>
      </c>
      <c r="N378" s="6">
        <v>50022</v>
      </c>
      <c r="O378">
        <v>4.7619047620000003</v>
      </c>
      <c r="P378" s="6">
        <v>2501.1</v>
      </c>
      <c r="Q378">
        <v>4.5</v>
      </c>
      <c r="R378" s="6">
        <f>RawSales[[#This Row],[Unit price]]*RawSales[[#This Row],[Quantity]]</f>
        <v>50022</v>
      </c>
      <c r="S378" s="6">
        <f>RawSales[[#This Row],[Subtotal]]*$B$1</f>
        <v>2501.1000000000004</v>
      </c>
      <c r="T378" s="6" t="b">
        <f>ROUND(RawSales[[#This Row],[Subtotal]],2)=ROUND(RawSales[[#This Row],[cogs]],2)</f>
        <v>1</v>
      </c>
      <c r="U378" s="6" t="b">
        <f>ROUND(RawSales[[#This Row],[cogs]]*0.05,2)=ROUND(RawSales[[#This Row],[Tax 5%]],2)</f>
        <v>1</v>
      </c>
      <c r="V378" s="6" t="b">
        <f>ROUND(RawSales[[#This Row],[cogs]]+RawSales[[#This Row],[Tax 5%]],2)=ROUND(RawSales[[#This Row],[Sales]],2)</f>
        <v>1</v>
      </c>
    </row>
    <row r="379" spans="1:22" x14ac:dyDescent="0.35">
      <c r="A379" s="4" t="s">
        <v>715</v>
      </c>
      <c r="B379" t="s">
        <v>38</v>
      </c>
      <c r="C379" t="s">
        <v>39</v>
      </c>
      <c r="D379" t="s">
        <v>30</v>
      </c>
      <c r="E379" t="s">
        <v>23</v>
      </c>
      <c r="F379" t="s">
        <v>24</v>
      </c>
      <c r="G379" s="6">
        <v>5242</v>
      </c>
      <c r="H379" s="7">
        <v>1</v>
      </c>
      <c r="I379" s="6">
        <v>262.10000000000002</v>
      </c>
      <c r="J379" s="6">
        <v>5504.1</v>
      </c>
      <c r="K379" s="5">
        <v>43501.958333333336</v>
      </c>
      <c r="L379" s="4" t="s">
        <v>716</v>
      </c>
      <c r="M379" t="s">
        <v>51</v>
      </c>
      <c r="N379" s="6">
        <v>5242</v>
      </c>
      <c r="O379">
        <v>4.7619047620000003</v>
      </c>
      <c r="P379" s="6">
        <v>262.10000000000002</v>
      </c>
      <c r="Q379">
        <v>6.3</v>
      </c>
      <c r="R379" s="6">
        <f>RawSales[[#This Row],[Unit price]]*RawSales[[#This Row],[Quantity]]</f>
        <v>5242</v>
      </c>
      <c r="S379" s="6">
        <f>RawSales[[#This Row],[Subtotal]]*$B$1</f>
        <v>262.10000000000002</v>
      </c>
      <c r="T379" s="6" t="b">
        <f>ROUND(RawSales[[#This Row],[Subtotal]],2)=ROUND(RawSales[[#This Row],[cogs]],2)</f>
        <v>1</v>
      </c>
      <c r="U379" s="6" t="b">
        <f>ROUND(RawSales[[#This Row],[cogs]]*0.05,2)=ROUND(RawSales[[#This Row],[Tax 5%]],2)</f>
        <v>1</v>
      </c>
      <c r="V379" s="6" t="b">
        <f>ROUND(RawSales[[#This Row],[cogs]]+RawSales[[#This Row],[Tax 5%]],2)=ROUND(RawSales[[#This Row],[Sales]],2)</f>
        <v>1</v>
      </c>
    </row>
    <row r="380" spans="1:22" x14ac:dyDescent="0.35">
      <c r="A380" s="4" t="s">
        <v>717</v>
      </c>
      <c r="B380" t="s">
        <v>38</v>
      </c>
      <c r="C380" t="s">
        <v>39</v>
      </c>
      <c r="D380" t="s">
        <v>22</v>
      </c>
      <c r="E380" t="s">
        <v>23</v>
      </c>
      <c r="F380" t="s">
        <v>49</v>
      </c>
      <c r="G380" s="6">
        <v>4346</v>
      </c>
      <c r="H380" s="7">
        <v>6</v>
      </c>
      <c r="I380" s="6">
        <v>1303.8</v>
      </c>
      <c r="J380" s="6">
        <v>27379.8</v>
      </c>
      <c r="K380" s="5">
        <v>43502.958333333336</v>
      </c>
      <c r="L380" s="4" t="s">
        <v>657</v>
      </c>
      <c r="M380" t="s">
        <v>34</v>
      </c>
      <c r="N380" s="6">
        <v>26076</v>
      </c>
      <c r="O380">
        <v>4.7619047620000003</v>
      </c>
      <c r="P380" s="6">
        <v>1303.8</v>
      </c>
      <c r="Q380">
        <v>8.5</v>
      </c>
      <c r="R380" s="6">
        <f>RawSales[[#This Row],[Unit price]]*RawSales[[#This Row],[Quantity]]</f>
        <v>26076</v>
      </c>
      <c r="S380" s="6">
        <f>RawSales[[#This Row],[Subtotal]]*$B$1</f>
        <v>1303.8000000000002</v>
      </c>
      <c r="T380" s="6" t="b">
        <f>ROUND(RawSales[[#This Row],[Subtotal]],2)=ROUND(RawSales[[#This Row],[cogs]],2)</f>
        <v>1</v>
      </c>
      <c r="U380" s="6" t="b">
        <f>ROUND(RawSales[[#This Row],[cogs]]*0.05,2)=ROUND(RawSales[[#This Row],[Tax 5%]],2)</f>
        <v>1</v>
      </c>
      <c r="V380" s="6" t="b">
        <f>ROUND(RawSales[[#This Row],[cogs]]+RawSales[[#This Row],[Tax 5%]],2)=ROUND(RawSales[[#This Row],[Sales]],2)</f>
        <v>1</v>
      </c>
    </row>
    <row r="381" spans="1:22" x14ac:dyDescent="0.35">
      <c r="A381" s="4" t="s">
        <v>718</v>
      </c>
      <c r="B381" t="s">
        <v>38</v>
      </c>
      <c r="C381" t="s">
        <v>39</v>
      </c>
      <c r="D381" t="s">
        <v>22</v>
      </c>
      <c r="E381" t="s">
        <v>23</v>
      </c>
      <c r="F381" t="s">
        <v>24</v>
      </c>
      <c r="G381" s="6">
        <v>9140</v>
      </c>
      <c r="H381" s="7">
        <v>7</v>
      </c>
      <c r="I381" s="6">
        <v>3199</v>
      </c>
      <c r="J381" s="6">
        <v>67179</v>
      </c>
      <c r="K381" s="5">
        <v>43498.958333333336</v>
      </c>
      <c r="L381" s="4" t="s">
        <v>719</v>
      </c>
      <c r="M381" t="s">
        <v>26</v>
      </c>
      <c r="N381" s="6">
        <v>63980</v>
      </c>
      <c r="O381">
        <v>4.7619047620000003</v>
      </c>
      <c r="P381" s="6">
        <v>3199</v>
      </c>
      <c r="Q381">
        <v>9.5</v>
      </c>
      <c r="R381" s="6">
        <f>RawSales[[#This Row],[Unit price]]*RawSales[[#This Row],[Quantity]]</f>
        <v>63980</v>
      </c>
      <c r="S381" s="6">
        <f>RawSales[[#This Row],[Subtotal]]*$B$1</f>
        <v>3199</v>
      </c>
      <c r="T381" s="6" t="b">
        <f>ROUND(RawSales[[#This Row],[Subtotal]],2)=ROUND(RawSales[[#This Row],[cogs]],2)</f>
        <v>1</v>
      </c>
      <c r="U381" s="6" t="b">
        <f>ROUND(RawSales[[#This Row],[cogs]]*0.05,2)=ROUND(RawSales[[#This Row],[Tax 5%]],2)</f>
        <v>1</v>
      </c>
      <c r="V381" s="6" t="b">
        <f>ROUND(RawSales[[#This Row],[cogs]]+RawSales[[#This Row],[Tax 5%]],2)=ROUND(RawSales[[#This Row],[Sales]],2)</f>
        <v>1</v>
      </c>
    </row>
    <row r="382" spans="1:22" x14ac:dyDescent="0.35">
      <c r="A382" s="4" t="s">
        <v>720</v>
      </c>
      <c r="B382" t="s">
        <v>20</v>
      </c>
      <c r="C382" t="s">
        <v>21</v>
      </c>
      <c r="D382" t="s">
        <v>30</v>
      </c>
      <c r="E382" t="s">
        <v>23</v>
      </c>
      <c r="F382" t="s">
        <v>49</v>
      </c>
      <c r="G382" s="6">
        <v>6177</v>
      </c>
      <c r="H382" s="7">
        <v>5</v>
      </c>
      <c r="I382" s="6">
        <v>1544.25</v>
      </c>
      <c r="J382" s="6">
        <v>32429.25</v>
      </c>
      <c r="K382" s="5">
        <v>43531.958333333336</v>
      </c>
      <c r="L382" s="4" t="s">
        <v>448</v>
      </c>
      <c r="M382" t="s">
        <v>26</v>
      </c>
      <c r="N382" s="6">
        <v>30885</v>
      </c>
      <c r="O382">
        <v>4.7619047620000003</v>
      </c>
      <c r="P382" s="6">
        <v>1544.25</v>
      </c>
      <c r="Q382">
        <v>6.7</v>
      </c>
      <c r="R382" s="6">
        <f>RawSales[[#This Row],[Unit price]]*RawSales[[#This Row],[Quantity]]</f>
        <v>30885</v>
      </c>
      <c r="S382" s="6">
        <f>RawSales[[#This Row],[Subtotal]]*$B$1</f>
        <v>1544.25</v>
      </c>
      <c r="T382" s="6" t="b">
        <f>ROUND(RawSales[[#This Row],[Subtotal]],2)=ROUND(RawSales[[#This Row],[cogs]],2)</f>
        <v>1</v>
      </c>
      <c r="U382" s="6" t="b">
        <f>ROUND(RawSales[[#This Row],[cogs]]*0.05,2)=ROUND(RawSales[[#This Row],[Tax 5%]],2)</f>
        <v>1</v>
      </c>
      <c r="V382" s="6" t="b">
        <f>ROUND(RawSales[[#This Row],[cogs]]+RawSales[[#This Row],[Tax 5%]],2)=ROUND(RawSales[[#This Row],[Sales]],2)</f>
        <v>1</v>
      </c>
    </row>
    <row r="383" spans="1:22" x14ac:dyDescent="0.35">
      <c r="A383" s="4" t="s">
        <v>721</v>
      </c>
      <c r="B383" t="s">
        <v>28</v>
      </c>
      <c r="C383" t="s">
        <v>29</v>
      </c>
      <c r="D383" t="s">
        <v>30</v>
      </c>
      <c r="E383" t="s">
        <v>31</v>
      </c>
      <c r="F383" t="s">
        <v>24</v>
      </c>
      <c r="G383" s="6">
        <v>1979</v>
      </c>
      <c r="H383" s="7">
        <v>8</v>
      </c>
      <c r="I383" s="6">
        <v>791.6</v>
      </c>
      <c r="J383" s="6">
        <v>16623.599999999999</v>
      </c>
      <c r="K383" s="5">
        <v>43482.958333333336</v>
      </c>
      <c r="L383" s="4" t="s">
        <v>400</v>
      </c>
      <c r="M383" t="s">
        <v>34</v>
      </c>
      <c r="N383" s="6">
        <v>15832</v>
      </c>
      <c r="O383">
        <v>4.7619047620000003</v>
      </c>
      <c r="P383" s="6">
        <v>791.6</v>
      </c>
      <c r="Q383">
        <v>8.6999999999999993</v>
      </c>
      <c r="R383" s="6">
        <f>RawSales[[#This Row],[Unit price]]*RawSales[[#This Row],[Quantity]]</f>
        <v>15832</v>
      </c>
      <c r="S383" s="6">
        <f>RawSales[[#This Row],[Subtotal]]*$B$1</f>
        <v>791.6</v>
      </c>
      <c r="T383" s="6" t="b">
        <f>ROUND(RawSales[[#This Row],[Subtotal]],2)=ROUND(RawSales[[#This Row],[cogs]],2)</f>
        <v>1</v>
      </c>
      <c r="U383" s="6" t="b">
        <f>ROUND(RawSales[[#This Row],[cogs]]*0.05,2)=ROUND(RawSales[[#This Row],[Tax 5%]],2)</f>
        <v>1</v>
      </c>
      <c r="V383" s="6" t="b">
        <f>ROUND(RawSales[[#This Row],[cogs]]+RawSales[[#This Row],[Tax 5%]],2)=ROUND(RawSales[[#This Row],[Sales]],2)</f>
        <v>1</v>
      </c>
    </row>
    <row r="384" spans="1:22" x14ac:dyDescent="0.35">
      <c r="A384" s="4" t="s">
        <v>722</v>
      </c>
      <c r="B384" t="s">
        <v>20</v>
      </c>
      <c r="C384" t="s">
        <v>21</v>
      </c>
      <c r="D384" t="s">
        <v>22</v>
      </c>
      <c r="E384" t="s">
        <v>31</v>
      </c>
      <c r="F384" t="s">
        <v>24</v>
      </c>
      <c r="G384" s="6">
        <v>9978</v>
      </c>
      <c r="H384" s="7">
        <v>5</v>
      </c>
      <c r="I384" s="6">
        <v>2494.5</v>
      </c>
      <c r="J384" s="6">
        <v>52384.5</v>
      </c>
      <c r="K384" s="5">
        <v>43532.958333333336</v>
      </c>
      <c r="L384" s="4" t="s">
        <v>723</v>
      </c>
      <c r="M384" t="s">
        <v>26</v>
      </c>
      <c r="N384" s="6">
        <v>49890</v>
      </c>
      <c r="O384">
        <v>4.7619047620000003</v>
      </c>
      <c r="P384" s="6">
        <v>2494.5</v>
      </c>
      <c r="Q384">
        <v>5.4</v>
      </c>
      <c r="R384" s="6">
        <f>RawSales[[#This Row],[Unit price]]*RawSales[[#This Row],[Quantity]]</f>
        <v>49890</v>
      </c>
      <c r="S384" s="6">
        <f>RawSales[[#This Row],[Subtotal]]*$B$1</f>
        <v>2494.5</v>
      </c>
      <c r="T384" s="6" t="b">
        <f>ROUND(RawSales[[#This Row],[Subtotal]],2)=ROUND(RawSales[[#This Row],[cogs]],2)</f>
        <v>1</v>
      </c>
      <c r="U384" s="6" t="b">
        <f>ROUND(RawSales[[#This Row],[cogs]]*0.05,2)=ROUND(RawSales[[#This Row],[Tax 5%]],2)</f>
        <v>1</v>
      </c>
      <c r="V384" s="6" t="b">
        <f>ROUND(RawSales[[#This Row],[cogs]]+RawSales[[#This Row],[Tax 5%]],2)=ROUND(RawSales[[#This Row],[Sales]],2)</f>
        <v>1</v>
      </c>
    </row>
    <row r="385" spans="1:22" x14ac:dyDescent="0.35">
      <c r="A385" s="4" t="s">
        <v>724</v>
      </c>
      <c r="B385" t="s">
        <v>38</v>
      </c>
      <c r="C385" t="s">
        <v>39</v>
      </c>
      <c r="D385" t="s">
        <v>22</v>
      </c>
      <c r="E385" t="s">
        <v>31</v>
      </c>
      <c r="F385" t="s">
        <v>62</v>
      </c>
      <c r="G385" s="6">
        <v>5839</v>
      </c>
      <c r="H385" s="7">
        <v>7</v>
      </c>
      <c r="I385" s="6">
        <v>2043.65</v>
      </c>
      <c r="J385" s="6">
        <v>42916.65</v>
      </c>
      <c r="K385" s="5">
        <v>43518.958333333336</v>
      </c>
      <c r="L385" s="4" t="s">
        <v>65</v>
      </c>
      <c r="M385" t="s">
        <v>51</v>
      </c>
      <c r="N385" s="6">
        <v>40873</v>
      </c>
      <c r="O385">
        <v>4.7619047620000003</v>
      </c>
      <c r="P385" s="6">
        <v>2043.65</v>
      </c>
      <c r="Q385">
        <v>8.1999999999999993</v>
      </c>
      <c r="R385" s="6">
        <f>RawSales[[#This Row],[Unit price]]*RawSales[[#This Row],[Quantity]]</f>
        <v>40873</v>
      </c>
      <c r="S385" s="6">
        <f>RawSales[[#This Row],[Subtotal]]*$B$1</f>
        <v>2043.65</v>
      </c>
      <c r="T385" s="6" t="b">
        <f>ROUND(RawSales[[#This Row],[Subtotal]],2)=ROUND(RawSales[[#This Row],[cogs]],2)</f>
        <v>1</v>
      </c>
      <c r="U385" s="6" t="b">
        <f>ROUND(RawSales[[#This Row],[cogs]]*0.05,2)=ROUND(RawSales[[#This Row],[Tax 5%]],2)</f>
        <v>1</v>
      </c>
      <c r="V385" s="6" t="b">
        <f>ROUND(RawSales[[#This Row],[cogs]]+RawSales[[#This Row],[Tax 5%]],2)=ROUND(RawSales[[#This Row],[Sales]],2)</f>
        <v>1</v>
      </c>
    </row>
    <row r="386" spans="1:22" x14ac:dyDescent="0.35">
      <c r="A386" s="4" t="s">
        <v>725</v>
      </c>
      <c r="B386" t="s">
        <v>20</v>
      </c>
      <c r="C386" t="s">
        <v>21</v>
      </c>
      <c r="D386" t="s">
        <v>30</v>
      </c>
      <c r="E386" t="s">
        <v>23</v>
      </c>
      <c r="F386" t="s">
        <v>24</v>
      </c>
      <c r="G386" s="6">
        <v>7444</v>
      </c>
      <c r="H386" s="7">
        <v>10</v>
      </c>
      <c r="I386" s="6">
        <v>3722</v>
      </c>
      <c r="J386" s="6">
        <v>78162</v>
      </c>
      <c r="K386" s="5">
        <v>43522.958333333336</v>
      </c>
      <c r="L386" s="4" t="s">
        <v>567</v>
      </c>
      <c r="M386" t="s">
        <v>34</v>
      </c>
      <c r="N386" s="6">
        <v>74440</v>
      </c>
      <c r="O386">
        <v>4.7619047620000003</v>
      </c>
      <c r="P386" s="6">
        <v>3722</v>
      </c>
      <c r="R386" s="6">
        <f>RawSales[[#This Row],[Unit price]]*RawSales[[#This Row],[Quantity]]</f>
        <v>74440</v>
      </c>
      <c r="S386" s="6">
        <f>RawSales[[#This Row],[Subtotal]]*$B$1</f>
        <v>3722</v>
      </c>
      <c r="T386" s="6" t="b">
        <f>ROUND(RawSales[[#This Row],[Subtotal]],2)=ROUND(RawSales[[#This Row],[cogs]],2)</f>
        <v>1</v>
      </c>
      <c r="U386" s="6" t="b">
        <f>ROUND(RawSales[[#This Row],[cogs]]*0.05,2)=ROUND(RawSales[[#This Row],[Tax 5%]],2)</f>
        <v>1</v>
      </c>
      <c r="V386" s="6" t="b">
        <f>ROUND(RawSales[[#This Row],[cogs]]+RawSales[[#This Row],[Tax 5%]],2)=ROUND(RawSales[[#This Row],[Sales]],2)</f>
        <v>1</v>
      </c>
    </row>
    <row r="387" spans="1:22" x14ac:dyDescent="0.35">
      <c r="A387" s="4" t="s">
        <v>244</v>
      </c>
      <c r="B387" t="s">
        <v>20</v>
      </c>
      <c r="C387" t="s">
        <v>21</v>
      </c>
      <c r="D387" t="s">
        <v>30</v>
      </c>
      <c r="E387" t="s">
        <v>31</v>
      </c>
      <c r="F387" t="s">
        <v>32</v>
      </c>
      <c r="G387" s="6">
        <v>8008</v>
      </c>
      <c r="H387" s="7">
        <v>3</v>
      </c>
      <c r="I387" s="6">
        <v>1201.2</v>
      </c>
      <c r="J387" s="6">
        <v>25225.200000000001</v>
      </c>
      <c r="K387" s="5">
        <v>43506.958333333336</v>
      </c>
      <c r="L387" s="4" t="s">
        <v>245</v>
      </c>
      <c r="M387" t="s">
        <v>26</v>
      </c>
      <c r="N387" s="6">
        <v>24024</v>
      </c>
      <c r="O387">
        <v>4.7619047620000003</v>
      </c>
      <c r="P387" s="6">
        <v>1201.2</v>
      </c>
      <c r="Q387">
        <v>5.4</v>
      </c>
      <c r="R387" s="6">
        <f>RawSales[[#This Row],[Unit price]]*RawSales[[#This Row],[Quantity]]</f>
        <v>24024</v>
      </c>
      <c r="S387" s="6">
        <f>RawSales[[#This Row],[Subtotal]]*$B$1</f>
        <v>1201.2</v>
      </c>
      <c r="T387" s="6" t="b">
        <f>ROUND(RawSales[[#This Row],[Subtotal]],2)=ROUND(RawSales[[#This Row],[cogs]],2)</f>
        <v>1</v>
      </c>
      <c r="U387" s="6" t="b">
        <f>ROUND(RawSales[[#This Row],[cogs]]*0.05,2)=ROUND(RawSales[[#This Row],[Tax 5%]],2)</f>
        <v>1</v>
      </c>
      <c r="V387" s="6" t="b">
        <f>ROUND(RawSales[[#This Row],[cogs]]+RawSales[[#This Row],[Tax 5%]],2)=ROUND(RawSales[[#This Row],[Sales]],2)</f>
        <v>1</v>
      </c>
    </row>
    <row r="388" spans="1:22" x14ac:dyDescent="0.35">
      <c r="A388" s="4" t="s">
        <v>726</v>
      </c>
      <c r="B388" t="s">
        <v>20</v>
      </c>
      <c r="C388" t="s">
        <v>21</v>
      </c>
      <c r="D388" t="s">
        <v>22</v>
      </c>
      <c r="E388" t="s">
        <v>23</v>
      </c>
      <c r="F388" t="s">
        <v>32</v>
      </c>
      <c r="G388" s="6">
        <v>8737</v>
      </c>
      <c r="H388" s="7">
        <v>5</v>
      </c>
      <c r="I388" s="6">
        <v>2184.25</v>
      </c>
      <c r="J388" s="6">
        <v>45869.25</v>
      </c>
      <c r="K388" s="5">
        <v>43493.958333333336</v>
      </c>
      <c r="L388" s="4" t="s">
        <v>727</v>
      </c>
      <c r="M388" t="s">
        <v>26</v>
      </c>
      <c r="N388" s="6">
        <v>43685</v>
      </c>
      <c r="O388">
        <v>4.7619047620000003</v>
      </c>
      <c r="P388" s="6">
        <v>2184.25</v>
      </c>
      <c r="Q388">
        <v>6.6</v>
      </c>
      <c r="R388" s="6">
        <f>RawSales[[#This Row],[Unit price]]*RawSales[[#This Row],[Quantity]]</f>
        <v>43685</v>
      </c>
      <c r="S388" s="6">
        <f>RawSales[[#This Row],[Subtotal]]*$B$1</f>
        <v>2184.25</v>
      </c>
      <c r="T388" s="6" t="b">
        <f>ROUND(RawSales[[#This Row],[Subtotal]],2)=ROUND(RawSales[[#This Row],[cogs]],2)</f>
        <v>1</v>
      </c>
      <c r="U388" s="6" t="b">
        <f>ROUND(RawSales[[#This Row],[cogs]]*0.05,2)=ROUND(RawSales[[#This Row],[Tax 5%]],2)</f>
        <v>1</v>
      </c>
      <c r="V388" s="6" t="b">
        <f>ROUND(RawSales[[#This Row],[cogs]]+RawSales[[#This Row],[Tax 5%]],2)=ROUND(RawSales[[#This Row],[Sales]],2)</f>
        <v>1</v>
      </c>
    </row>
    <row r="389" spans="1:22" x14ac:dyDescent="0.35">
      <c r="A389" s="4" t="s">
        <v>728</v>
      </c>
      <c r="B389" t="s">
        <v>38</v>
      </c>
      <c r="C389" t="s">
        <v>39</v>
      </c>
      <c r="D389" t="s">
        <v>22</v>
      </c>
      <c r="E389" t="s">
        <v>23</v>
      </c>
      <c r="F389" t="s">
        <v>24</v>
      </c>
      <c r="G389" s="6">
        <v>9852</v>
      </c>
      <c r="H389" s="7">
        <v>10</v>
      </c>
      <c r="I389" s="6">
        <v>4926</v>
      </c>
      <c r="J389" s="6">
        <v>103446</v>
      </c>
      <c r="K389" s="5">
        <v>43494.958333333336</v>
      </c>
      <c r="L389" s="4" t="s">
        <v>184</v>
      </c>
      <c r="M389" t="s">
        <v>34</v>
      </c>
      <c r="N389" s="6">
        <v>98520</v>
      </c>
      <c r="O389">
        <v>4.7619047620000003</v>
      </c>
      <c r="P389" s="6">
        <v>4926</v>
      </c>
      <c r="Q389">
        <v>4.5</v>
      </c>
      <c r="R389" s="6">
        <f>RawSales[[#This Row],[Unit price]]*RawSales[[#This Row],[Quantity]]</f>
        <v>98520</v>
      </c>
      <c r="S389" s="6">
        <f>RawSales[[#This Row],[Subtotal]]*$B$1</f>
        <v>4926</v>
      </c>
      <c r="T389" s="6" t="b">
        <f>ROUND(RawSales[[#This Row],[Subtotal]],2)=ROUND(RawSales[[#This Row],[cogs]],2)</f>
        <v>1</v>
      </c>
      <c r="U389" s="6" t="b">
        <f>ROUND(RawSales[[#This Row],[cogs]]*0.05,2)=ROUND(RawSales[[#This Row],[Tax 5%]],2)</f>
        <v>1</v>
      </c>
      <c r="V389" s="6" t="b">
        <f>ROUND(RawSales[[#This Row],[cogs]]+RawSales[[#This Row],[Tax 5%]],2)=ROUND(RawSales[[#This Row],[Sales]],2)</f>
        <v>1</v>
      </c>
    </row>
    <row r="390" spans="1:22" x14ac:dyDescent="0.35">
      <c r="A390" s="4" t="s">
        <v>729</v>
      </c>
      <c r="B390" t="s">
        <v>28</v>
      </c>
      <c r="C390" t="s">
        <v>29</v>
      </c>
      <c r="D390" t="s">
        <v>30</v>
      </c>
      <c r="E390" t="s">
        <v>31</v>
      </c>
      <c r="F390" t="s">
        <v>49</v>
      </c>
      <c r="G390" s="6">
        <v>2718</v>
      </c>
      <c r="H390" s="7">
        <v>2</v>
      </c>
      <c r="I390" s="6">
        <v>271.8</v>
      </c>
      <c r="J390" s="6">
        <v>5707.8</v>
      </c>
      <c r="K390" s="5">
        <v>43538.958333333336</v>
      </c>
      <c r="L390" s="4" t="s">
        <v>730</v>
      </c>
      <c r="M390" t="s">
        <v>34</v>
      </c>
      <c r="N390" s="6">
        <v>5436</v>
      </c>
      <c r="O390">
        <v>4.7619047620000003</v>
      </c>
      <c r="P390" s="6">
        <v>271.8</v>
      </c>
      <c r="Q390">
        <v>4.3</v>
      </c>
      <c r="R390" s="6">
        <f>RawSales[[#This Row],[Unit price]]*RawSales[[#This Row],[Quantity]]</f>
        <v>5436</v>
      </c>
      <c r="S390" s="6">
        <f>RawSales[[#This Row],[Subtotal]]*$B$1</f>
        <v>271.8</v>
      </c>
      <c r="T390" s="6" t="b">
        <f>ROUND(RawSales[[#This Row],[Subtotal]],2)=ROUND(RawSales[[#This Row],[cogs]],2)</f>
        <v>1</v>
      </c>
      <c r="U390" s="6" t="b">
        <f>ROUND(RawSales[[#This Row],[cogs]]*0.05,2)=ROUND(RawSales[[#This Row],[Tax 5%]],2)</f>
        <v>1</v>
      </c>
      <c r="V390" s="6" t="b">
        <f>ROUND(RawSales[[#This Row],[cogs]]+RawSales[[#This Row],[Tax 5%]],2)=ROUND(RawSales[[#This Row],[Sales]],2)</f>
        <v>1</v>
      </c>
    </row>
    <row r="391" spans="1:22" x14ac:dyDescent="0.35">
      <c r="A391" s="4" t="s">
        <v>731</v>
      </c>
      <c r="B391" t="s">
        <v>28</v>
      </c>
      <c r="C391" t="s">
        <v>29</v>
      </c>
      <c r="D391" t="s">
        <v>22</v>
      </c>
      <c r="E391" t="s">
        <v>23</v>
      </c>
      <c r="F391" t="s">
        <v>49</v>
      </c>
      <c r="G391" s="6">
        <v>3352</v>
      </c>
      <c r="H391" s="7">
        <v>1</v>
      </c>
      <c r="I391" s="6">
        <v>167.6</v>
      </c>
      <c r="J391" s="6">
        <v>3519.6</v>
      </c>
      <c r="K391" s="5">
        <v>43503.958333333336</v>
      </c>
      <c r="L391" s="4" t="s">
        <v>406</v>
      </c>
      <c r="M391" t="s">
        <v>26</v>
      </c>
      <c r="N391" s="6">
        <v>3352</v>
      </c>
      <c r="O391">
        <v>4.7619047620000003</v>
      </c>
      <c r="P391" s="6">
        <v>167.6</v>
      </c>
      <c r="Q391">
        <v>6.7</v>
      </c>
      <c r="R391" s="6">
        <f>RawSales[[#This Row],[Unit price]]*RawSales[[#This Row],[Quantity]]</f>
        <v>3352</v>
      </c>
      <c r="S391" s="6">
        <f>RawSales[[#This Row],[Subtotal]]*$B$1</f>
        <v>167.60000000000002</v>
      </c>
      <c r="T391" s="6" t="b">
        <f>ROUND(RawSales[[#This Row],[Subtotal]],2)=ROUND(RawSales[[#This Row],[cogs]],2)</f>
        <v>1</v>
      </c>
      <c r="U391" s="6" t="b">
        <f>ROUND(RawSales[[#This Row],[cogs]]*0.05,2)=ROUND(RawSales[[#This Row],[Tax 5%]],2)</f>
        <v>1</v>
      </c>
      <c r="V391" s="6" t="b">
        <f>ROUND(RawSales[[#This Row],[cogs]]+RawSales[[#This Row],[Tax 5%]],2)=ROUND(RawSales[[#This Row],[Sales]],2)</f>
        <v>1</v>
      </c>
    </row>
    <row r="392" spans="1:22" x14ac:dyDescent="0.35">
      <c r="A392" s="4" t="s">
        <v>732</v>
      </c>
      <c r="B392" t="s">
        <v>20</v>
      </c>
      <c r="C392" t="s">
        <v>21</v>
      </c>
      <c r="D392" t="s">
        <v>22</v>
      </c>
      <c r="E392" t="s">
        <v>23</v>
      </c>
      <c r="F392" t="s">
        <v>62</v>
      </c>
      <c r="G392" s="6">
        <v>7163</v>
      </c>
      <c r="H392" s="7">
        <v>2</v>
      </c>
      <c r="I392" s="6">
        <v>716.3</v>
      </c>
      <c r="J392" s="6">
        <v>15042.3</v>
      </c>
      <c r="K392" s="5">
        <v>43507.958333333336</v>
      </c>
      <c r="L392" s="4" t="s">
        <v>733</v>
      </c>
      <c r="M392" t="s">
        <v>34</v>
      </c>
      <c r="N392" s="6">
        <v>14326</v>
      </c>
      <c r="O392">
        <v>4.7619047620000003</v>
      </c>
      <c r="P392" s="6">
        <v>716.3</v>
      </c>
      <c r="Q392">
        <v>8.8000000000000007</v>
      </c>
      <c r="R392" s="6">
        <f>RawSales[[#This Row],[Unit price]]*RawSales[[#This Row],[Quantity]]</f>
        <v>14326</v>
      </c>
      <c r="S392" s="6">
        <f>RawSales[[#This Row],[Subtotal]]*$B$1</f>
        <v>716.30000000000007</v>
      </c>
      <c r="T392" s="6" t="b">
        <f>ROUND(RawSales[[#This Row],[Subtotal]],2)=ROUND(RawSales[[#This Row],[cogs]],2)</f>
        <v>1</v>
      </c>
      <c r="U392" s="6" t="b">
        <f>ROUND(RawSales[[#This Row],[cogs]]*0.05,2)=ROUND(RawSales[[#This Row],[Tax 5%]],2)</f>
        <v>1</v>
      </c>
      <c r="V392" s="6" t="b">
        <f>ROUND(RawSales[[#This Row],[cogs]]+RawSales[[#This Row],[Tax 5%]],2)=ROUND(RawSales[[#This Row],[Sales]],2)</f>
        <v>1</v>
      </c>
    </row>
    <row r="393" spans="1:22" x14ac:dyDescent="0.35">
      <c r="A393" s="4" t="s">
        <v>734</v>
      </c>
      <c r="B393" t="s">
        <v>20</v>
      </c>
      <c r="C393" t="s">
        <v>21</v>
      </c>
      <c r="D393" t="s">
        <v>30</v>
      </c>
      <c r="E393" t="s">
        <v>31</v>
      </c>
      <c r="F393" t="s">
        <v>32</v>
      </c>
      <c r="G393" s="6">
        <v>2375</v>
      </c>
      <c r="H393" s="7">
        <v>4</v>
      </c>
      <c r="I393" s="6">
        <v>475</v>
      </c>
      <c r="J393" s="6">
        <v>9975</v>
      </c>
      <c r="K393" s="5">
        <v>43539.958333333336</v>
      </c>
      <c r="L393" s="4" t="s">
        <v>735</v>
      </c>
      <c r="M393" t="s">
        <v>26</v>
      </c>
      <c r="N393" s="6">
        <v>9500</v>
      </c>
      <c r="O393">
        <v>4.7619047620000003</v>
      </c>
      <c r="P393" s="6">
        <v>475</v>
      </c>
      <c r="Q393">
        <v>5.2</v>
      </c>
      <c r="R393" s="6">
        <f>RawSales[[#This Row],[Unit price]]*RawSales[[#This Row],[Quantity]]</f>
        <v>9500</v>
      </c>
      <c r="S393" s="6">
        <f>RawSales[[#This Row],[Subtotal]]*$B$1</f>
        <v>475</v>
      </c>
      <c r="T393" s="6" t="b">
        <f>ROUND(RawSales[[#This Row],[Subtotal]],2)=ROUND(RawSales[[#This Row],[cogs]],2)</f>
        <v>1</v>
      </c>
      <c r="U393" s="6" t="b">
        <f>ROUND(RawSales[[#This Row],[cogs]]*0.05,2)=ROUND(RawSales[[#This Row],[Tax 5%]],2)</f>
        <v>1</v>
      </c>
      <c r="V393" s="6" t="b">
        <f>ROUND(RawSales[[#This Row],[cogs]]+RawSales[[#This Row],[Tax 5%]],2)=ROUND(RawSales[[#This Row],[Sales]],2)</f>
        <v>1</v>
      </c>
    </row>
    <row r="394" spans="1:22" x14ac:dyDescent="0.35">
      <c r="A394" s="4" t="s">
        <v>736</v>
      </c>
      <c r="B394" t="s">
        <v>28</v>
      </c>
      <c r="C394" t="s">
        <v>29</v>
      </c>
      <c r="D394" t="s">
        <v>30</v>
      </c>
      <c r="E394" t="s">
        <v>31</v>
      </c>
      <c r="F394" t="s">
        <v>40</v>
      </c>
      <c r="G394" s="6">
        <v>6030</v>
      </c>
      <c r="H394" s="7">
        <v>1</v>
      </c>
      <c r="I394" s="6">
        <v>301.5</v>
      </c>
      <c r="J394" s="6">
        <v>6331.5</v>
      </c>
      <c r="K394" s="5">
        <v>43523.958333333336</v>
      </c>
      <c r="L394" s="4" t="s">
        <v>138</v>
      </c>
      <c r="M394" t="s">
        <v>26</v>
      </c>
      <c r="N394" s="6">
        <v>6030</v>
      </c>
      <c r="O394">
        <v>4.7619047620000003</v>
      </c>
      <c r="P394" s="6">
        <v>301.5</v>
      </c>
      <c r="Q394">
        <v>6</v>
      </c>
      <c r="R394" s="6">
        <f>RawSales[[#This Row],[Unit price]]*RawSales[[#This Row],[Quantity]]</f>
        <v>6030</v>
      </c>
      <c r="S394" s="6">
        <f>RawSales[[#This Row],[Subtotal]]*$B$1</f>
        <v>301.5</v>
      </c>
      <c r="T394" s="6" t="b">
        <f>ROUND(RawSales[[#This Row],[Subtotal]],2)=ROUND(RawSales[[#This Row],[cogs]],2)</f>
        <v>1</v>
      </c>
      <c r="U394" s="6" t="b">
        <f>ROUND(RawSales[[#This Row],[cogs]]*0.05,2)=ROUND(RawSales[[#This Row],[Tax 5%]],2)</f>
        <v>1</v>
      </c>
      <c r="V394" s="6" t="b">
        <f>ROUND(RawSales[[#This Row],[cogs]]+RawSales[[#This Row],[Tax 5%]],2)=ROUND(RawSales[[#This Row],[Sales]],2)</f>
        <v>1</v>
      </c>
    </row>
    <row r="395" spans="1:22" x14ac:dyDescent="0.35">
      <c r="A395" s="4" t="s">
        <v>737</v>
      </c>
      <c r="B395" t="s">
        <v>38</v>
      </c>
      <c r="C395" t="s">
        <v>39</v>
      </c>
      <c r="D395" t="s">
        <v>30</v>
      </c>
      <c r="E395" t="s">
        <v>23</v>
      </c>
      <c r="F395" t="s">
        <v>49</v>
      </c>
      <c r="G395" s="6">
        <v>4544</v>
      </c>
      <c r="H395" s="7">
        <v>7</v>
      </c>
      <c r="I395" s="6">
        <v>1590.4</v>
      </c>
      <c r="J395" s="6">
        <v>33398.400000000001</v>
      </c>
      <c r="K395" s="5">
        <v>43487.958333333336</v>
      </c>
      <c r="L395" s="4" t="s">
        <v>172</v>
      </c>
      <c r="M395" t="s">
        <v>26</v>
      </c>
      <c r="N395" s="6">
        <v>31808</v>
      </c>
      <c r="O395">
        <v>4.7619047620000003</v>
      </c>
      <c r="P395" s="6">
        <v>1590.4</v>
      </c>
      <c r="Q395">
        <v>9.1999999999999993</v>
      </c>
      <c r="R395" s="6">
        <f>RawSales[[#This Row],[Unit price]]*RawSales[[#This Row],[Quantity]]</f>
        <v>31808</v>
      </c>
      <c r="S395" s="6">
        <f>RawSales[[#This Row],[Subtotal]]*$B$1</f>
        <v>1590.4</v>
      </c>
      <c r="T395" s="6" t="b">
        <f>ROUND(RawSales[[#This Row],[Subtotal]],2)=ROUND(RawSales[[#This Row],[cogs]],2)</f>
        <v>1</v>
      </c>
      <c r="U395" s="6" t="b">
        <f>ROUND(RawSales[[#This Row],[cogs]]*0.05,2)=ROUND(RawSales[[#This Row],[Tax 5%]],2)</f>
        <v>1</v>
      </c>
      <c r="V395" s="6" t="b">
        <f>ROUND(RawSales[[#This Row],[cogs]]+RawSales[[#This Row],[Tax 5%]],2)=ROUND(RawSales[[#This Row],[Sales]],2)</f>
        <v>1</v>
      </c>
    </row>
    <row r="396" spans="1:22" x14ac:dyDescent="0.35">
      <c r="A396" s="4" t="s">
        <v>738</v>
      </c>
      <c r="B396" t="s">
        <v>20</v>
      </c>
      <c r="C396" t="s">
        <v>21</v>
      </c>
      <c r="D396" t="s">
        <v>30</v>
      </c>
      <c r="E396" t="s">
        <v>23</v>
      </c>
      <c r="F396" t="s">
        <v>43</v>
      </c>
      <c r="G396" s="6">
        <v>6427</v>
      </c>
      <c r="H396" s="7">
        <v>4</v>
      </c>
      <c r="I396" s="6">
        <v>1285.4000000000001</v>
      </c>
      <c r="J396" s="6">
        <v>26993.4</v>
      </c>
      <c r="K396" s="5">
        <v>43549.958333333336</v>
      </c>
      <c r="L396" s="4" t="s">
        <v>739</v>
      </c>
      <c r="M396" t="s">
        <v>26</v>
      </c>
      <c r="N396" s="6">
        <v>25708</v>
      </c>
      <c r="O396">
        <v>4.7619047620000003</v>
      </c>
      <c r="P396" s="6">
        <v>1285.4000000000001</v>
      </c>
      <c r="Q396">
        <v>7.7</v>
      </c>
      <c r="R396" s="6">
        <f>RawSales[[#This Row],[Unit price]]*RawSales[[#This Row],[Quantity]]</f>
        <v>25708</v>
      </c>
      <c r="S396" s="6">
        <f>RawSales[[#This Row],[Subtotal]]*$B$1</f>
        <v>1285.4000000000001</v>
      </c>
      <c r="T396" s="6" t="b">
        <f>ROUND(RawSales[[#This Row],[Subtotal]],2)=ROUND(RawSales[[#This Row],[cogs]],2)</f>
        <v>1</v>
      </c>
      <c r="U396" s="6" t="b">
        <f>ROUND(RawSales[[#This Row],[cogs]]*0.05,2)=ROUND(RawSales[[#This Row],[Tax 5%]],2)</f>
        <v>1</v>
      </c>
      <c r="V396" s="6" t="b">
        <f>ROUND(RawSales[[#This Row],[cogs]]+RawSales[[#This Row],[Tax 5%]],2)=ROUND(RawSales[[#This Row],[Sales]],2)</f>
        <v>1</v>
      </c>
    </row>
    <row r="397" spans="1:22" x14ac:dyDescent="0.35">
      <c r="A397" s="4" t="s">
        <v>740</v>
      </c>
      <c r="B397" t="s">
        <v>28</v>
      </c>
      <c r="C397" t="s">
        <v>29</v>
      </c>
      <c r="D397" t="s">
        <v>22</v>
      </c>
      <c r="E397" t="s">
        <v>31</v>
      </c>
      <c r="F397" t="s">
        <v>62</v>
      </c>
      <c r="G397" s="6">
        <v>7582</v>
      </c>
      <c r="H397" s="7">
        <v>1</v>
      </c>
      <c r="I397" s="6">
        <v>379.1</v>
      </c>
      <c r="J397" s="6">
        <v>7961.1</v>
      </c>
      <c r="K397" s="5">
        <v>43495.958333333336</v>
      </c>
      <c r="L397" s="4" t="s">
        <v>741</v>
      </c>
      <c r="M397" t="s">
        <v>26</v>
      </c>
      <c r="N397" s="6">
        <v>7582</v>
      </c>
      <c r="O397">
        <v>4.7619047620000003</v>
      </c>
      <c r="P397" s="6">
        <v>379.1</v>
      </c>
      <c r="Q397">
        <v>5.8</v>
      </c>
      <c r="R397" s="6">
        <f>RawSales[[#This Row],[Unit price]]*RawSales[[#This Row],[Quantity]]</f>
        <v>7582</v>
      </c>
      <c r="S397" s="6">
        <f>RawSales[[#This Row],[Subtotal]]*$B$1</f>
        <v>379.1</v>
      </c>
      <c r="T397" s="6" t="b">
        <f>ROUND(RawSales[[#This Row],[Subtotal]],2)=ROUND(RawSales[[#This Row],[cogs]],2)</f>
        <v>1</v>
      </c>
      <c r="U397" s="6" t="b">
        <f>ROUND(RawSales[[#This Row],[cogs]]*0.05,2)=ROUND(RawSales[[#This Row],[Tax 5%]],2)</f>
        <v>1</v>
      </c>
      <c r="V397" s="6" t="b">
        <f>ROUND(RawSales[[#This Row],[cogs]]+RawSales[[#This Row],[Tax 5%]],2)=ROUND(RawSales[[#This Row],[Sales]],2)</f>
        <v>1</v>
      </c>
    </row>
    <row r="398" spans="1:22" x14ac:dyDescent="0.35">
      <c r="A398" s="4" t="s">
        <v>742</v>
      </c>
      <c r="B398" t="s">
        <v>38</v>
      </c>
      <c r="C398" t="s">
        <v>39</v>
      </c>
      <c r="D398" t="s">
        <v>30</v>
      </c>
      <c r="E398" t="s">
        <v>23</v>
      </c>
      <c r="F398" t="s">
        <v>49</v>
      </c>
      <c r="G398" s="6">
        <v>6499</v>
      </c>
      <c r="H398" s="7">
        <v>1</v>
      </c>
      <c r="I398" s="6">
        <v>324.95</v>
      </c>
      <c r="J398" s="6">
        <v>6823.95</v>
      </c>
      <c r="K398" s="5">
        <v>43490.958333333336</v>
      </c>
      <c r="L398" s="4" t="s">
        <v>743</v>
      </c>
      <c r="M398" t="s">
        <v>51</v>
      </c>
      <c r="N398" s="6">
        <v>6499</v>
      </c>
      <c r="O398">
        <v>4.7619047620000003</v>
      </c>
      <c r="P398" s="6">
        <v>324.95</v>
      </c>
      <c r="Q398">
        <v>4.5</v>
      </c>
      <c r="R398" s="6">
        <f>RawSales[[#This Row],[Unit price]]*RawSales[[#This Row],[Quantity]]</f>
        <v>6499</v>
      </c>
      <c r="S398" s="6">
        <f>RawSales[[#This Row],[Subtotal]]*$B$1</f>
        <v>324.95000000000005</v>
      </c>
      <c r="T398" s="6" t="b">
        <f>ROUND(RawSales[[#This Row],[Subtotal]],2)=ROUND(RawSales[[#This Row],[cogs]],2)</f>
        <v>1</v>
      </c>
      <c r="U398" s="6" t="b">
        <f>ROUND(RawSales[[#This Row],[cogs]]*0.05,2)=ROUND(RawSales[[#This Row],[Tax 5%]],2)</f>
        <v>1</v>
      </c>
      <c r="V398" s="6" t="b">
        <f>ROUND(RawSales[[#This Row],[cogs]]+RawSales[[#This Row],[Tax 5%]],2)=ROUND(RawSales[[#This Row],[Sales]],2)</f>
        <v>1</v>
      </c>
    </row>
    <row r="399" spans="1:22" x14ac:dyDescent="0.35">
      <c r="A399" s="4" t="s">
        <v>744</v>
      </c>
      <c r="B399" t="s">
        <v>28</v>
      </c>
      <c r="C399" t="s">
        <v>29</v>
      </c>
      <c r="D399" t="s">
        <v>30</v>
      </c>
      <c r="E399" t="s">
        <v>31</v>
      </c>
      <c r="F399" t="s">
        <v>49</v>
      </c>
      <c r="G399" s="6">
        <v>9554</v>
      </c>
      <c r="H399" s="7">
        <v>7</v>
      </c>
      <c r="I399" s="6">
        <v>3343.9</v>
      </c>
      <c r="J399" s="6">
        <v>70221.899999999994</v>
      </c>
      <c r="K399" s="5">
        <v>43532.958333333336</v>
      </c>
      <c r="L399" s="4" t="s">
        <v>692</v>
      </c>
      <c r="M399" t="s">
        <v>51</v>
      </c>
      <c r="N399" s="6">
        <v>66878</v>
      </c>
      <c r="O399">
        <v>4.7619047620000003</v>
      </c>
      <c r="P399" s="6">
        <v>3343.9</v>
      </c>
      <c r="Q399">
        <v>9.6</v>
      </c>
      <c r="R399" s="6">
        <f>RawSales[[#This Row],[Unit price]]*RawSales[[#This Row],[Quantity]]</f>
        <v>66878</v>
      </c>
      <c r="S399" s="6">
        <f>RawSales[[#This Row],[Subtotal]]*$B$1</f>
        <v>3343.9</v>
      </c>
      <c r="T399" s="6" t="b">
        <f>ROUND(RawSales[[#This Row],[Subtotal]],2)=ROUND(RawSales[[#This Row],[cogs]],2)</f>
        <v>1</v>
      </c>
      <c r="U399" s="6" t="b">
        <f>ROUND(RawSales[[#This Row],[cogs]]*0.05,2)=ROUND(RawSales[[#This Row],[Tax 5%]],2)</f>
        <v>1</v>
      </c>
      <c r="V399" s="6" t="b">
        <f>ROUND(RawSales[[#This Row],[cogs]]+RawSales[[#This Row],[Tax 5%]],2)=ROUND(RawSales[[#This Row],[Sales]],2)</f>
        <v>1</v>
      </c>
    </row>
    <row r="400" spans="1:22" x14ac:dyDescent="0.35">
      <c r="A400" s="4" t="s">
        <v>745</v>
      </c>
      <c r="B400" t="s">
        <v>20</v>
      </c>
      <c r="C400" t="s">
        <v>21</v>
      </c>
      <c r="D400" t="s">
        <v>22</v>
      </c>
      <c r="E400" t="s">
        <v>23</v>
      </c>
      <c r="F400" t="s">
        <v>32</v>
      </c>
      <c r="G400" s="6">
        <v>2154</v>
      </c>
      <c r="H400" s="7">
        <v>9</v>
      </c>
      <c r="I400" s="6">
        <v>969.3</v>
      </c>
      <c r="J400" s="6">
        <v>20355.3</v>
      </c>
      <c r="K400" s="5">
        <v>43471.958333333336</v>
      </c>
      <c r="L400" s="4" t="s">
        <v>746</v>
      </c>
      <c r="M400" t="s">
        <v>51</v>
      </c>
      <c r="N400" s="6">
        <v>19386</v>
      </c>
      <c r="O400">
        <v>4.7619047620000003</v>
      </c>
      <c r="P400" s="6">
        <v>969.3</v>
      </c>
      <c r="Q400">
        <v>8.8000000000000007</v>
      </c>
      <c r="R400" s="6">
        <f>RawSales[[#This Row],[Unit price]]*RawSales[[#This Row],[Quantity]]</f>
        <v>19386</v>
      </c>
      <c r="S400" s="6">
        <f>RawSales[[#This Row],[Subtotal]]*$B$1</f>
        <v>969.30000000000007</v>
      </c>
      <c r="T400" s="6" t="b">
        <f>ROUND(RawSales[[#This Row],[Subtotal]],2)=ROUND(RawSales[[#This Row],[cogs]],2)</f>
        <v>1</v>
      </c>
      <c r="U400" s="6" t="b">
        <f>ROUND(RawSales[[#This Row],[cogs]]*0.05,2)=ROUND(RawSales[[#This Row],[Tax 5%]],2)</f>
        <v>1</v>
      </c>
      <c r="V400" s="6" t="b">
        <f>ROUND(RawSales[[#This Row],[cogs]]+RawSales[[#This Row],[Tax 5%]],2)=ROUND(RawSales[[#This Row],[Sales]],2)</f>
        <v>1</v>
      </c>
    </row>
    <row r="401" spans="1:22" x14ac:dyDescent="0.35">
      <c r="A401" s="4" t="s">
        <v>747</v>
      </c>
      <c r="B401" t="s">
        <v>20</v>
      </c>
      <c r="C401" t="s">
        <v>21</v>
      </c>
      <c r="D401" t="s">
        <v>30</v>
      </c>
      <c r="E401" t="s">
        <v>31</v>
      </c>
      <c r="F401" t="s">
        <v>40</v>
      </c>
      <c r="G401" s="6">
        <v>3860</v>
      </c>
      <c r="H401" s="7">
        <v>1</v>
      </c>
      <c r="I401" s="6">
        <v>193</v>
      </c>
      <c r="J401" s="6">
        <v>4053</v>
      </c>
      <c r="K401" s="5">
        <v>43493.958333333336</v>
      </c>
      <c r="L401" s="4" t="s">
        <v>748</v>
      </c>
      <c r="M401" t="s">
        <v>34</v>
      </c>
      <c r="N401" s="6">
        <v>3860</v>
      </c>
      <c r="O401">
        <v>4.7619047620000003</v>
      </c>
      <c r="P401" s="6">
        <v>193</v>
      </c>
      <c r="Q401">
        <v>6.7</v>
      </c>
      <c r="R401" s="6">
        <f>RawSales[[#This Row],[Unit price]]*RawSales[[#This Row],[Quantity]]</f>
        <v>3860</v>
      </c>
      <c r="S401" s="6">
        <f>RawSales[[#This Row],[Subtotal]]*$B$1</f>
        <v>193</v>
      </c>
      <c r="T401" s="6" t="b">
        <f>ROUND(RawSales[[#This Row],[Subtotal]],2)=ROUND(RawSales[[#This Row],[cogs]],2)</f>
        <v>1</v>
      </c>
      <c r="U401" s="6" t="b">
        <f>ROUND(RawSales[[#This Row],[cogs]]*0.05,2)=ROUND(RawSales[[#This Row],[Tax 5%]],2)</f>
        <v>1</v>
      </c>
      <c r="V401" s="6" t="b">
        <f>ROUND(RawSales[[#This Row],[cogs]]+RawSales[[#This Row],[Tax 5%]],2)=ROUND(RawSales[[#This Row],[Sales]],2)</f>
        <v>1</v>
      </c>
    </row>
    <row r="402" spans="1:22" x14ac:dyDescent="0.35">
      <c r="A402" s="4" t="s">
        <v>749</v>
      </c>
      <c r="B402" t="s">
        <v>20</v>
      </c>
      <c r="C402" t="s">
        <v>21</v>
      </c>
      <c r="D402" t="s">
        <v>30</v>
      </c>
      <c r="E402" t="s">
        <v>31</v>
      </c>
      <c r="F402" t="s">
        <v>24</v>
      </c>
      <c r="G402" s="6">
        <v>2494</v>
      </c>
      <c r="H402" s="7">
        <v>9</v>
      </c>
      <c r="I402" s="6">
        <v>1122.3</v>
      </c>
      <c r="J402" s="6">
        <v>23568.3</v>
      </c>
      <c r="K402" s="5">
        <v>43475.958333333336</v>
      </c>
      <c r="L402" s="4" t="s">
        <v>750</v>
      </c>
      <c r="M402" t="s">
        <v>51</v>
      </c>
      <c r="N402" s="6">
        <v>22446</v>
      </c>
      <c r="O402">
        <v>4.7619047620000003</v>
      </c>
      <c r="P402" s="6">
        <v>1122.3</v>
      </c>
      <c r="Q402">
        <v>5.6</v>
      </c>
      <c r="R402" s="6">
        <f>RawSales[[#This Row],[Unit price]]*RawSales[[#This Row],[Quantity]]</f>
        <v>22446</v>
      </c>
      <c r="S402" s="6">
        <f>RawSales[[#This Row],[Subtotal]]*$B$1</f>
        <v>1122.3</v>
      </c>
      <c r="T402" s="6" t="b">
        <f>ROUND(RawSales[[#This Row],[Subtotal]],2)=ROUND(RawSales[[#This Row],[cogs]],2)</f>
        <v>1</v>
      </c>
      <c r="U402" s="6" t="b">
        <f>ROUND(RawSales[[#This Row],[cogs]]*0.05,2)=ROUND(RawSales[[#This Row],[Tax 5%]],2)</f>
        <v>1</v>
      </c>
      <c r="V402" s="6" t="b">
        <f>ROUND(RawSales[[#This Row],[cogs]]+RawSales[[#This Row],[Tax 5%]],2)=ROUND(RawSales[[#This Row],[Sales]],2)</f>
        <v>1</v>
      </c>
    </row>
    <row r="403" spans="1:22" x14ac:dyDescent="0.35">
      <c r="A403" s="4" t="s">
        <v>751</v>
      </c>
      <c r="B403" t="s">
        <v>20</v>
      </c>
      <c r="C403" t="s">
        <v>21</v>
      </c>
      <c r="D403" t="s">
        <v>30</v>
      </c>
      <c r="E403" t="s">
        <v>31</v>
      </c>
      <c r="F403" t="s">
        <v>32</v>
      </c>
      <c r="G403" s="6">
        <v>9396</v>
      </c>
      <c r="H403" s="7">
        <v>9</v>
      </c>
      <c r="I403" s="6">
        <v>4228.2</v>
      </c>
      <c r="J403" s="6">
        <v>88792.2</v>
      </c>
      <c r="K403" s="5">
        <v>43543.958333333336</v>
      </c>
      <c r="L403" s="4" t="s">
        <v>50</v>
      </c>
      <c r="M403" t="s">
        <v>26</v>
      </c>
      <c r="N403" s="6">
        <v>84564</v>
      </c>
      <c r="O403">
        <v>4.7619047620000003</v>
      </c>
      <c r="P403" s="6">
        <v>4228.2</v>
      </c>
      <c r="Q403">
        <v>9.8000000000000007</v>
      </c>
      <c r="R403" s="6">
        <f>RawSales[[#This Row],[Unit price]]*RawSales[[#This Row],[Quantity]]</f>
        <v>84564</v>
      </c>
      <c r="S403" s="6">
        <f>RawSales[[#This Row],[Subtotal]]*$B$1</f>
        <v>4228.2</v>
      </c>
      <c r="T403" s="6" t="b">
        <f>ROUND(RawSales[[#This Row],[Subtotal]],2)=ROUND(RawSales[[#This Row],[cogs]],2)</f>
        <v>1</v>
      </c>
      <c r="U403" s="6" t="b">
        <f>ROUND(RawSales[[#This Row],[cogs]]*0.05,2)=ROUND(RawSales[[#This Row],[Tax 5%]],2)</f>
        <v>1</v>
      </c>
      <c r="V403" s="6" t="b">
        <f>ROUND(RawSales[[#This Row],[cogs]]+RawSales[[#This Row],[Tax 5%]],2)=ROUND(RawSales[[#This Row],[Sales]],2)</f>
        <v>1</v>
      </c>
    </row>
    <row r="404" spans="1:22" x14ac:dyDescent="0.35">
      <c r="A404" s="4" t="s">
        <v>752</v>
      </c>
      <c r="B404" t="s">
        <v>28</v>
      </c>
      <c r="C404" t="s">
        <v>29</v>
      </c>
      <c r="D404" t="s">
        <v>22</v>
      </c>
      <c r="E404" t="s">
        <v>31</v>
      </c>
      <c r="F404" t="s">
        <v>46</v>
      </c>
      <c r="G404" s="6">
        <v>7993</v>
      </c>
      <c r="H404" s="7">
        <v>6</v>
      </c>
      <c r="I404" s="6">
        <v>2397.9</v>
      </c>
      <c r="J404" s="6">
        <v>50355.9</v>
      </c>
      <c r="K404" s="5">
        <v>43495.958333333336</v>
      </c>
      <c r="L404" s="4" t="s">
        <v>442</v>
      </c>
      <c r="M404" t="s">
        <v>26</v>
      </c>
      <c r="N404" s="6">
        <v>47958</v>
      </c>
      <c r="O404">
        <v>4.7619047620000003</v>
      </c>
      <c r="P404" s="6">
        <v>2397.9</v>
      </c>
      <c r="Q404">
        <v>5.5</v>
      </c>
      <c r="R404" s="6">
        <f>RawSales[[#This Row],[Unit price]]*RawSales[[#This Row],[Quantity]]</f>
        <v>47958</v>
      </c>
      <c r="S404" s="6">
        <f>RawSales[[#This Row],[Subtotal]]*$B$1</f>
        <v>2397.9</v>
      </c>
      <c r="T404" s="6" t="b">
        <f>ROUND(RawSales[[#This Row],[Subtotal]],2)=ROUND(RawSales[[#This Row],[cogs]],2)</f>
        <v>1</v>
      </c>
      <c r="U404" s="6" t="b">
        <f>ROUND(RawSales[[#This Row],[cogs]]*0.05,2)=ROUND(RawSales[[#This Row],[Tax 5%]],2)</f>
        <v>1</v>
      </c>
      <c r="V404" s="6" t="b">
        <f>ROUND(RawSales[[#This Row],[cogs]]+RawSales[[#This Row],[Tax 5%]],2)=ROUND(RawSales[[#This Row],[Sales]],2)</f>
        <v>1</v>
      </c>
    </row>
    <row r="405" spans="1:22" x14ac:dyDescent="0.35">
      <c r="A405" s="4" t="s">
        <v>753</v>
      </c>
      <c r="B405" t="s">
        <v>38</v>
      </c>
      <c r="C405" t="s">
        <v>39</v>
      </c>
      <c r="D405" t="s">
        <v>22</v>
      </c>
      <c r="E405" t="s">
        <v>23</v>
      </c>
      <c r="F405" t="s">
        <v>49</v>
      </c>
      <c r="G405" s="6">
        <v>1543</v>
      </c>
      <c r="H405" s="7">
        <v>1</v>
      </c>
      <c r="I405" s="6">
        <v>77.150000000000006</v>
      </c>
      <c r="J405" s="6">
        <v>1620.15</v>
      </c>
      <c r="K405" s="5">
        <v>43489.958333333336</v>
      </c>
      <c r="L405" s="4" t="s">
        <v>282</v>
      </c>
      <c r="M405" t="s">
        <v>51</v>
      </c>
      <c r="N405" s="6">
        <v>1543</v>
      </c>
      <c r="O405">
        <v>4.7619047620000003</v>
      </c>
      <c r="P405" s="6">
        <v>77.150000000000006</v>
      </c>
      <c r="Q405">
        <v>6.1</v>
      </c>
      <c r="R405" s="6">
        <f>RawSales[[#This Row],[Unit price]]*RawSales[[#This Row],[Quantity]]</f>
        <v>1543</v>
      </c>
      <c r="S405" s="6">
        <f>RawSales[[#This Row],[Subtotal]]*$B$1</f>
        <v>77.150000000000006</v>
      </c>
      <c r="T405" s="6" t="b">
        <f>ROUND(RawSales[[#This Row],[Subtotal]],2)=ROUND(RawSales[[#This Row],[cogs]],2)</f>
        <v>1</v>
      </c>
      <c r="U405" s="6" t="b">
        <f>ROUND(RawSales[[#This Row],[cogs]]*0.05,2)=ROUND(RawSales[[#This Row],[Tax 5%]],2)</f>
        <v>1</v>
      </c>
      <c r="V405" s="6" t="b">
        <f>ROUND(RawSales[[#This Row],[cogs]]+RawSales[[#This Row],[Tax 5%]],2)=ROUND(RawSales[[#This Row],[Sales]],2)</f>
        <v>1</v>
      </c>
    </row>
    <row r="406" spans="1:22" x14ac:dyDescent="0.35">
      <c r="A406" s="4" t="s">
        <v>754</v>
      </c>
      <c r="B406" t="s">
        <v>20</v>
      </c>
      <c r="C406" t="s">
        <v>21</v>
      </c>
      <c r="D406" t="s">
        <v>22</v>
      </c>
      <c r="E406" t="s">
        <v>31</v>
      </c>
      <c r="F406" t="s">
        <v>40</v>
      </c>
      <c r="G406" s="6">
        <v>7195</v>
      </c>
      <c r="H406" s="7">
        <v>1</v>
      </c>
      <c r="I406" s="6">
        <v>359.75</v>
      </c>
      <c r="J406" s="6">
        <v>7554.75</v>
      </c>
      <c r="K406" s="5">
        <v>43499.958333333336</v>
      </c>
      <c r="L406" s="4" t="s">
        <v>755</v>
      </c>
      <c r="M406" t="s">
        <v>26</v>
      </c>
      <c r="N406" s="6">
        <v>7195</v>
      </c>
      <c r="O406">
        <v>4.7619047620000003</v>
      </c>
      <c r="P406" s="6">
        <v>359.75</v>
      </c>
      <c r="Q406">
        <v>7.3</v>
      </c>
      <c r="R406" s="6">
        <f>RawSales[[#This Row],[Unit price]]*RawSales[[#This Row],[Quantity]]</f>
        <v>7195</v>
      </c>
      <c r="S406" s="6">
        <f>RawSales[[#This Row],[Subtotal]]*$B$1</f>
        <v>359.75</v>
      </c>
      <c r="T406" s="6" t="b">
        <f>ROUND(RawSales[[#This Row],[Subtotal]],2)=ROUND(RawSales[[#This Row],[cogs]],2)</f>
        <v>1</v>
      </c>
      <c r="U406" s="6" t="b">
        <f>ROUND(RawSales[[#This Row],[cogs]]*0.05,2)=ROUND(RawSales[[#This Row],[Tax 5%]],2)</f>
        <v>1</v>
      </c>
      <c r="V406" s="6" t="b">
        <f>ROUND(RawSales[[#This Row],[cogs]]+RawSales[[#This Row],[Tax 5%]],2)=ROUND(RawSales[[#This Row],[Sales]],2)</f>
        <v>1</v>
      </c>
    </row>
    <row r="407" spans="1:22" x14ac:dyDescent="0.35">
      <c r="A407" s="4" t="s">
        <v>756</v>
      </c>
      <c r="B407" t="s">
        <v>28</v>
      </c>
      <c r="C407" t="s">
        <v>29</v>
      </c>
      <c r="D407" t="s">
        <v>22</v>
      </c>
      <c r="E407" t="s">
        <v>31</v>
      </c>
      <c r="F407" t="s">
        <v>24</v>
      </c>
      <c r="G407" s="6">
        <v>5774</v>
      </c>
      <c r="H407" s="7">
        <v>3</v>
      </c>
      <c r="I407" s="6">
        <v>866.1</v>
      </c>
      <c r="J407" s="6">
        <v>18188.099999999999</v>
      </c>
      <c r="K407" s="5">
        <v>43515.958333333336</v>
      </c>
      <c r="L407" s="4" t="s">
        <v>757</v>
      </c>
      <c r="M407" t="s">
        <v>34</v>
      </c>
      <c r="N407" s="6">
        <v>17322</v>
      </c>
      <c r="O407">
        <v>4.7619047620000003</v>
      </c>
      <c r="P407" s="6">
        <v>866.1</v>
      </c>
      <c r="Q407">
        <v>7.7</v>
      </c>
      <c r="R407" s="6">
        <f>RawSales[[#This Row],[Unit price]]*RawSales[[#This Row],[Quantity]]</f>
        <v>17322</v>
      </c>
      <c r="S407" s="6">
        <f>RawSales[[#This Row],[Subtotal]]*$B$1</f>
        <v>866.1</v>
      </c>
      <c r="T407" s="6" t="b">
        <f>ROUND(RawSales[[#This Row],[Subtotal]],2)=ROUND(RawSales[[#This Row],[cogs]],2)</f>
        <v>1</v>
      </c>
      <c r="U407" s="6" t="b">
        <f>ROUND(RawSales[[#This Row],[cogs]]*0.05,2)=ROUND(RawSales[[#This Row],[Tax 5%]],2)</f>
        <v>1</v>
      </c>
      <c r="V407" s="6" t="b">
        <f>ROUND(RawSales[[#This Row],[cogs]]+RawSales[[#This Row],[Tax 5%]],2)=ROUND(RawSales[[#This Row],[Sales]],2)</f>
        <v>1</v>
      </c>
    </row>
    <row r="408" spans="1:22" x14ac:dyDescent="0.35">
      <c r="A408" s="4" t="s">
        <v>758</v>
      </c>
      <c r="B408" t="s">
        <v>20</v>
      </c>
      <c r="C408" t="s">
        <v>21</v>
      </c>
      <c r="D408" t="s">
        <v>30</v>
      </c>
      <c r="E408" t="s">
        <v>23</v>
      </c>
      <c r="F408" t="s">
        <v>43</v>
      </c>
      <c r="G408" s="6">
        <v>7974</v>
      </c>
      <c r="H408" s="7">
        <v>1</v>
      </c>
      <c r="I408" s="6">
        <v>398.7</v>
      </c>
      <c r="J408" s="6">
        <v>8372.7000000000007</v>
      </c>
      <c r="K408" s="5">
        <v>43529.958333333336</v>
      </c>
      <c r="L408" s="4" t="s">
        <v>302</v>
      </c>
      <c r="M408" t="s">
        <v>34</v>
      </c>
      <c r="N408" s="6">
        <v>7974</v>
      </c>
      <c r="O408">
        <v>4.7619047620000003</v>
      </c>
      <c r="P408" s="6">
        <v>398.7</v>
      </c>
      <c r="Q408">
        <v>7.3</v>
      </c>
      <c r="R408" s="6">
        <f>RawSales[[#This Row],[Unit price]]*RawSales[[#This Row],[Quantity]]</f>
        <v>7974</v>
      </c>
      <c r="S408" s="6">
        <f>RawSales[[#This Row],[Subtotal]]*$B$1</f>
        <v>398.70000000000005</v>
      </c>
      <c r="T408" s="6" t="b">
        <f>ROUND(RawSales[[#This Row],[Subtotal]],2)=ROUND(RawSales[[#This Row],[cogs]],2)</f>
        <v>1</v>
      </c>
      <c r="U408" s="6" t="b">
        <f>ROUND(RawSales[[#This Row],[cogs]]*0.05,2)=ROUND(RawSales[[#This Row],[Tax 5%]],2)</f>
        <v>1</v>
      </c>
      <c r="V408" s="6" t="b">
        <f>ROUND(RawSales[[#This Row],[cogs]]+RawSales[[#This Row],[Tax 5%]],2)=ROUND(RawSales[[#This Row],[Sales]],2)</f>
        <v>1</v>
      </c>
    </row>
    <row r="409" spans="1:22" x14ac:dyDescent="0.35">
      <c r="A409" s="4" t="s">
        <v>759</v>
      </c>
      <c r="B409" t="s">
        <v>20</v>
      </c>
      <c r="C409" t="s">
        <v>21</v>
      </c>
      <c r="D409" t="s">
        <v>22</v>
      </c>
      <c r="E409" t="s">
        <v>23</v>
      </c>
      <c r="F409" t="s">
        <v>43</v>
      </c>
      <c r="G409" s="6">
        <v>7768</v>
      </c>
      <c r="H409" s="7">
        <v>4</v>
      </c>
      <c r="I409" s="6">
        <v>1553.6</v>
      </c>
      <c r="J409" s="6">
        <v>32625.599999999999</v>
      </c>
      <c r="K409" s="5">
        <v>43496.958333333336</v>
      </c>
      <c r="L409" s="4" t="s">
        <v>760</v>
      </c>
      <c r="M409" t="s">
        <v>26</v>
      </c>
      <c r="N409" s="6">
        <v>31072</v>
      </c>
      <c r="O409">
        <v>4.7619047620000003</v>
      </c>
      <c r="P409" s="6">
        <v>1553.6</v>
      </c>
      <c r="Q409">
        <v>8.4</v>
      </c>
      <c r="R409" s="6">
        <f>RawSales[[#This Row],[Unit price]]*RawSales[[#This Row],[Quantity]]</f>
        <v>31072</v>
      </c>
      <c r="S409" s="6">
        <f>RawSales[[#This Row],[Subtotal]]*$B$1</f>
        <v>1553.6000000000001</v>
      </c>
      <c r="T409" s="6" t="b">
        <f>ROUND(RawSales[[#This Row],[Subtotal]],2)=ROUND(RawSales[[#This Row],[cogs]],2)</f>
        <v>1</v>
      </c>
      <c r="U409" s="6" t="b">
        <f>ROUND(RawSales[[#This Row],[cogs]]*0.05,2)=ROUND(RawSales[[#This Row],[Tax 5%]],2)</f>
        <v>1</v>
      </c>
      <c r="V409" s="6" t="b">
        <f>ROUND(RawSales[[#This Row],[cogs]]+RawSales[[#This Row],[Tax 5%]],2)=ROUND(RawSales[[#This Row],[Sales]],2)</f>
        <v>1</v>
      </c>
    </row>
    <row r="410" spans="1:22" x14ac:dyDescent="0.35">
      <c r="A410" s="4" t="s">
        <v>761</v>
      </c>
      <c r="B410" t="s">
        <v>38</v>
      </c>
      <c r="C410" t="s">
        <v>39</v>
      </c>
      <c r="D410" t="s">
        <v>30</v>
      </c>
      <c r="E410" t="s">
        <v>31</v>
      </c>
      <c r="F410" t="s">
        <v>49</v>
      </c>
      <c r="G410" s="6">
        <v>1628</v>
      </c>
      <c r="H410" s="7">
        <v>1</v>
      </c>
      <c r="I410" s="6">
        <v>81.400000000000006</v>
      </c>
      <c r="J410" s="6">
        <v>1709.4</v>
      </c>
      <c r="K410" s="5">
        <v>43532.958333333336</v>
      </c>
      <c r="L410" s="4" t="s">
        <v>762</v>
      </c>
      <c r="M410" t="s">
        <v>26</v>
      </c>
      <c r="N410" s="6">
        <v>1628</v>
      </c>
      <c r="O410">
        <v>4.7619047620000003</v>
      </c>
      <c r="P410" s="6">
        <v>81.400000000000006</v>
      </c>
      <c r="Q410">
        <v>5</v>
      </c>
      <c r="R410" s="6">
        <f>RawSales[[#This Row],[Unit price]]*RawSales[[#This Row],[Quantity]]</f>
        <v>1628</v>
      </c>
      <c r="S410" s="6">
        <f>RawSales[[#This Row],[Subtotal]]*$B$1</f>
        <v>81.400000000000006</v>
      </c>
      <c r="T410" s="6" t="b">
        <f>ROUND(RawSales[[#This Row],[Subtotal]],2)=ROUND(RawSales[[#This Row],[cogs]],2)</f>
        <v>1</v>
      </c>
      <c r="U410" s="6" t="b">
        <f>ROUND(RawSales[[#This Row],[cogs]]*0.05,2)=ROUND(RawSales[[#This Row],[Tax 5%]],2)</f>
        <v>1</v>
      </c>
      <c r="V410" s="6" t="b">
        <f>ROUND(RawSales[[#This Row],[cogs]]+RawSales[[#This Row],[Tax 5%]],2)=ROUND(RawSales[[#This Row],[Sales]],2)</f>
        <v>1</v>
      </c>
    </row>
    <row r="411" spans="1:22" x14ac:dyDescent="0.35">
      <c r="A411" s="4" t="s">
        <v>763</v>
      </c>
      <c r="B411" t="s">
        <v>38</v>
      </c>
      <c r="C411" t="s">
        <v>39</v>
      </c>
      <c r="D411" t="s">
        <v>30</v>
      </c>
      <c r="E411" t="s">
        <v>31</v>
      </c>
      <c r="F411" t="s">
        <v>24</v>
      </c>
      <c r="G411" s="6">
        <v>4677</v>
      </c>
      <c r="H411" s="7">
        <v>6</v>
      </c>
      <c r="I411" s="6">
        <v>1403.1</v>
      </c>
      <c r="J411" s="6">
        <v>29465.1</v>
      </c>
      <c r="K411" s="5">
        <v>43534.958333333336</v>
      </c>
      <c r="L411" s="4" t="s">
        <v>322</v>
      </c>
      <c r="M411" t="s">
        <v>26</v>
      </c>
      <c r="N411" s="6">
        <v>28062</v>
      </c>
      <c r="O411">
        <v>4.7619047620000003</v>
      </c>
      <c r="P411" s="6">
        <v>1403.1</v>
      </c>
      <c r="Q411">
        <v>6</v>
      </c>
      <c r="R411" s="6">
        <f>RawSales[[#This Row],[Unit price]]*RawSales[[#This Row],[Quantity]]</f>
        <v>28062</v>
      </c>
      <c r="S411" s="6">
        <f>RawSales[[#This Row],[Subtotal]]*$B$1</f>
        <v>1403.1000000000001</v>
      </c>
      <c r="T411" s="6" t="b">
        <f>ROUND(RawSales[[#This Row],[Subtotal]],2)=ROUND(RawSales[[#This Row],[cogs]],2)</f>
        <v>1</v>
      </c>
      <c r="U411" s="6" t="b">
        <f>ROUND(RawSales[[#This Row],[cogs]]*0.05,2)=ROUND(RawSales[[#This Row],[Tax 5%]],2)</f>
        <v>1</v>
      </c>
      <c r="V411" s="6" t="b">
        <f>ROUND(RawSales[[#This Row],[cogs]]+RawSales[[#This Row],[Tax 5%]],2)=ROUND(RawSales[[#This Row],[Sales]],2)</f>
        <v>1</v>
      </c>
    </row>
    <row r="412" spans="1:22" x14ac:dyDescent="0.35">
      <c r="A412" s="4" t="s">
        <v>764</v>
      </c>
      <c r="B412" t="s">
        <v>28</v>
      </c>
      <c r="C412" t="s">
        <v>29</v>
      </c>
      <c r="D412" t="s">
        <v>30</v>
      </c>
      <c r="E412" t="s">
        <v>23</v>
      </c>
      <c r="F412" t="s">
        <v>40</v>
      </c>
      <c r="G412" s="6">
        <v>3827</v>
      </c>
      <c r="H412" s="7">
        <v>2</v>
      </c>
      <c r="I412" s="6">
        <v>382.7</v>
      </c>
      <c r="J412" s="6">
        <v>8036.7</v>
      </c>
      <c r="K412" s="5">
        <v>43525.958333333336</v>
      </c>
      <c r="L412" s="4" t="s">
        <v>765</v>
      </c>
      <c r="M412" t="s">
        <v>51</v>
      </c>
      <c r="N412" s="6">
        <v>7654</v>
      </c>
      <c r="O412">
        <v>4.7619047620000003</v>
      </c>
      <c r="P412" s="6">
        <v>382.7</v>
      </c>
      <c r="Q412">
        <v>5.8</v>
      </c>
      <c r="R412" s="6">
        <f>RawSales[[#This Row],[Unit price]]*RawSales[[#This Row],[Quantity]]</f>
        <v>7654</v>
      </c>
      <c r="S412" s="6">
        <f>RawSales[[#This Row],[Subtotal]]*$B$1</f>
        <v>382.70000000000005</v>
      </c>
      <c r="T412" s="6" t="b">
        <f>ROUND(RawSales[[#This Row],[Subtotal]],2)=ROUND(RawSales[[#This Row],[cogs]],2)</f>
        <v>1</v>
      </c>
      <c r="U412" s="6" t="b">
        <f>ROUND(RawSales[[#This Row],[cogs]]*0.05,2)=ROUND(RawSales[[#This Row],[Tax 5%]],2)</f>
        <v>1</v>
      </c>
      <c r="V412" s="6" t="b">
        <f>ROUND(RawSales[[#This Row],[cogs]]+RawSales[[#This Row],[Tax 5%]],2)=ROUND(RawSales[[#This Row],[Sales]],2)</f>
        <v>1</v>
      </c>
    </row>
    <row r="413" spans="1:22" x14ac:dyDescent="0.35">
      <c r="A413" s="4" t="s">
        <v>766</v>
      </c>
      <c r="B413" t="s">
        <v>28</v>
      </c>
      <c r="C413" t="s">
        <v>29</v>
      </c>
      <c r="D413" t="s">
        <v>30</v>
      </c>
      <c r="E413" t="s">
        <v>31</v>
      </c>
      <c r="F413" t="s">
        <v>43</v>
      </c>
      <c r="G413" s="6">
        <v>6668</v>
      </c>
      <c r="H413" s="7">
        <v>5</v>
      </c>
      <c r="I413" s="6">
        <v>1667</v>
      </c>
      <c r="J413" s="6">
        <v>35007</v>
      </c>
      <c r="K413" s="5">
        <v>43515.958333333336</v>
      </c>
      <c r="L413" s="4" t="s">
        <v>408</v>
      </c>
      <c r="M413" t="s">
        <v>26</v>
      </c>
      <c r="N413" s="6">
        <v>33340</v>
      </c>
      <c r="O413">
        <v>4.7619047620000003</v>
      </c>
      <c r="P413" s="6">
        <v>1667</v>
      </c>
      <c r="Q413">
        <v>7.6</v>
      </c>
      <c r="R413" s="6">
        <f>RawSales[[#This Row],[Unit price]]*RawSales[[#This Row],[Quantity]]</f>
        <v>33340</v>
      </c>
      <c r="S413" s="6">
        <f>RawSales[[#This Row],[Subtotal]]*$B$1</f>
        <v>1667</v>
      </c>
      <c r="T413" s="6" t="b">
        <f>ROUND(RawSales[[#This Row],[Subtotal]],2)=ROUND(RawSales[[#This Row],[cogs]],2)</f>
        <v>1</v>
      </c>
      <c r="U413" s="6" t="b">
        <f>ROUND(RawSales[[#This Row],[cogs]]*0.05,2)=ROUND(RawSales[[#This Row],[Tax 5%]],2)</f>
        <v>1</v>
      </c>
      <c r="V413" s="6" t="b">
        <f>ROUND(RawSales[[#This Row],[cogs]]+RawSales[[#This Row],[Tax 5%]],2)=ROUND(RawSales[[#This Row],[Sales]],2)</f>
        <v>1</v>
      </c>
    </row>
    <row r="414" spans="1:22" x14ac:dyDescent="0.35">
      <c r="A414" s="4" t="s">
        <v>767</v>
      </c>
      <c r="B414" t="s">
        <v>38</v>
      </c>
      <c r="C414" t="s">
        <v>39</v>
      </c>
      <c r="D414" t="s">
        <v>30</v>
      </c>
      <c r="E414" t="s">
        <v>23</v>
      </c>
      <c r="F414" t="s">
        <v>40</v>
      </c>
      <c r="G414" s="6">
        <v>4765</v>
      </c>
      <c r="H414" s="7">
        <v>3</v>
      </c>
      <c r="I414" s="6">
        <v>714.75</v>
      </c>
      <c r="J414" s="6">
        <v>15009.75</v>
      </c>
      <c r="K414" s="5">
        <v>43551.958333333336</v>
      </c>
      <c r="L414" s="4" t="s">
        <v>768</v>
      </c>
      <c r="M414" t="s">
        <v>51</v>
      </c>
      <c r="N414" s="6">
        <v>14295</v>
      </c>
      <c r="O414">
        <v>4.7619047620000003</v>
      </c>
      <c r="P414" s="6">
        <v>714.75</v>
      </c>
      <c r="Q414">
        <v>9.5</v>
      </c>
      <c r="R414" s="6">
        <f>RawSales[[#This Row],[Unit price]]*RawSales[[#This Row],[Quantity]]</f>
        <v>14295</v>
      </c>
      <c r="S414" s="6">
        <f>RawSales[[#This Row],[Subtotal]]*$B$1</f>
        <v>714.75</v>
      </c>
      <c r="T414" s="6" t="b">
        <f>ROUND(RawSales[[#This Row],[Subtotal]],2)=ROUND(RawSales[[#This Row],[cogs]],2)</f>
        <v>1</v>
      </c>
      <c r="U414" s="6" t="b">
        <f>ROUND(RawSales[[#This Row],[cogs]]*0.05,2)=ROUND(RawSales[[#This Row],[Tax 5%]],2)</f>
        <v>1</v>
      </c>
      <c r="V414" s="6" t="b">
        <f>ROUND(RawSales[[#This Row],[cogs]]+RawSales[[#This Row],[Tax 5%]],2)=ROUND(RawSales[[#This Row],[Sales]],2)</f>
        <v>1</v>
      </c>
    </row>
    <row r="415" spans="1:22" x14ac:dyDescent="0.35">
      <c r="A415" s="4" t="s">
        <v>769</v>
      </c>
      <c r="B415" t="s">
        <v>20</v>
      </c>
      <c r="C415" t="s">
        <v>21</v>
      </c>
      <c r="D415" t="s">
        <v>22</v>
      </c>
      <c r="E415" t="s">
        <v>31</v>
      </c>
      <c r="F415" t="s">
        <v>24</v>
      </c>
      <c r="G415" s="6">
        <v>2482</v>
      </c>
      <c r="H415" s="7">
        <v>7</v>
      </c>
      <c r="I415" s="6">
        <v>868.7</v>
      </c>
      <c r="J415" s="6">
        <v>18242.7</v>
      </c>
      <c r="K415" s="5">
        <v>43511.958333333336</v>
      </c>
      <c r="L415" s="4" t="s">
        <v>320</v>
      </c>
      <c r="M415" t="s">
        <v>51</v>
      </c>
      <c r="N415" s="6">
        <v>17374</v>
      </c>
      <c r="O415">
        <v>4.7619047620000003</v>
      </c>
      <c r="P415" s="6">
        <v>868.7</v>
      </c>
      <c r="Q415">
        <v>7.1</v>
      </c>
      <c r="R415" s="6">
        <f>RawSales[[#This Row],[Unit price]]*RawSales[[#This Row],[Quantity]]</f>
        <v>17374</v>
      </c>
      <c r="S415" s="6">
        <f>RawSales[[#This Row],[Subtotal]]*$B$1</f>
        <v>868.7</v>
      </c>
      <c r="T415" s="6" t="b">
        <f>ROUND(RawSales[[#This Row],[Subtotal]],2)=ROUND(RawSales[[#This Row],[cogs]],2)</f>
        <v>1</v>
      </c>
      <c r="U415" s="6" t="b">
        <f>ROUND(RawSales[[#This Row],[cogs]]*0.05,2)=ROUND(RawSales[[#This Row],[Tax 5%]],2)</f>
        <v>1</v>
      </c>
      <c r="V415" s="6" t="b">
        <f>ROUND(RawSales[[#This Row],[cogs]]+RawSales[[#This Row],[Tax 5%]],2)=ROUND(RawSales[[#This Row],[Sales]],2)</f>
        <v>1</v>
      </c>
    </row>
    <row r="416" spans="1:22" x14ac:dyDescent="0.35">
      <c r="A416" s="4" t="s">
        <v>770</v>
      </c>
      <c r="B416" t="s">
        <v>28</v>
      </c>
      <c r="C416" t="s">
        <v>29</v>
      </c>
      <c r="D416" t="s">
        <v>30</v>
      </c>
      <c r="E416" t="s">
        <v>23</v>
      </c>
      <c r="F416" t="s">
        <v>100</v>
      </c>
      <c r="G416" s="6">
        <v>8409</v>
      </c>
      <c r="H416" s="7">
        <v>9</v>
      </c>
      <c r="I416" s="6">
        <v>3784.05</v>
      </c>
      <c r="J416" s="6">
        <v>79465.05</v>
      </c>
      <c r="K416" s="5">
        <v>43506.958333333336</v>
      </c>
      <c r="L416" s="4" t="s">
        <v>77</v>
      </c>
      <c r="M416" t="s">
        <v>26</v>
      </c>
      <c r="N416" s="6">
        <v>75681</v>
      </c>
      <c r="O416">
        <v>4.7619047620000003</v>
      </c>
      <c r="P416" s="6">
        <v>3784.05</v>
      </c>
      <c r="Q416">
        <v>8</v>
      </c>
      <c r="R416" s="6">
        <f>RawSales[[#This Row],[Unit price]]*RawSales[[#This Row],[Quantity]]</f>
        <v>75681</v>
      </c>
      <c r="S416" s="6">
        <f>RawSales[[#This Row],[Subtotal]]*$B$1</f>
        <v>3784.05</v>
      </c>
      <c r="T416" s="6" t="b">
        <f>ROUND(RawSales[[#This Row],[Subtotal]],2)=ROUND(RawSales[[#This Row],[cogs]],2)</f>
        <v>1</v>
      </c>
      <c r="U416" s="6" t="b">
        <f>ROUND(RawSales[[#This Row],[cogs]]*0.05,2)=ROUND(RawSales[[#This Row],[Tax 5%]],2)</f>
        <v>1</v>
      </c>
      <c r="V416" s="6" t="b">
        <f>ROUND(RawSales[[#This Row],[cogs]]+RawSales[[#This Row],[Tax 5%]],2)=ROUND(RawSales[[#This Row],[Sales]],2)</f>
        <v>1</v>
      </c>
    </row>
    <row r="417" spans="1:22" x14ac:dyDescent="0.35">
      <c r="A417" s="4" t="s">
        <v>771</v>
      </c>
      <c r="B417" t="s">
        <v>20</v>
      </c>
      <c r="C417" t="s">
        <v>21</v>
      </c>
      <c r="D417" t="s">
        <v>22</v>
      </c>
      <c r="E417" t="s">
        <v>31</v>
      </c>
      <c r="F417" t="s">
        <v>24</v>
      </c>
      <c r="G417" s="6">
        <v>9229</v>
      </c>
      <c r="H417" s="7">
        <v>5</v>
      </c>
      <c r="I417" s="6">
        <v>2307.25</v>
      </c>
      <c r="J417" s="6">
        <v>48452.25</v>
      </c>
      <c r="K417" s="5">
        <v>43515.958333333336</v>
      </c>
      <c r="L417" s="4" t="s">
        <v>367</v>
      </c>
      <c r="M417" t="s">
        <v>51</v>
      </c>
      <c r="N417" s="6">
        <v>46145</v>
      </c>
      <c r="O417">
        <v>4.7619047620000003</v>
      </c>
      <c r="P417" s="6">
        <v>2307.25</v>
      </c>
      <c r="Q417">
        <v>9</v>
      </c>
      <c r="R417" s="6">
        <f>RawSales[[#This Row],[Unit price]]*RawSales[[#This Row],[Quantity]]</f>
        <v>46145</v>
      </c>
      <c r="S417" s="6">
        <f>RawSales[[#This Row],[Subtotal]]*$B$1</f>
        <v>2307.25</v>
      </c>
      <c r="T417" s="6" t="b">
        <f>ROUND(RawSales[[#This Row],[Subtotal]],2)=ROUND(RawSales[[#This Row],[cogs]],2)</f>
        <v>1</v>
      </c>
      <c r="U417" s="6" t="b">
        <f>ROUND(RawSales[[#This Row],[cogs]]*0.05,2)=ROUND(RawSales[[#This Row],[Tax 5%]],2)</f>
        <v>1</v>
      </c>
      <c r="V417" s="6" t="b">
        <f>ROUND(RawSales[[#This Row],[cogs]]+RawSales[[#This Row],[Tax 5%]],2)=ROUND(RawSales[[#This Row],[Sales]],2)</f>
        <v>1</v>
      </c>
    </row>
    <row r="418" spans="1:22" x14ac:dyDescent="0.35">
      <c r="A418" s="4" t="s">
        <v>772</v>
      </c>
      <c r="B418" t="s">
        <v>38</v>
      </c>
      <c r="C418" t="s">
        <v>39</v>
      </c>
      <c r="D418" t="s">
        <v>22</v>
      </c>
      <c r="E418" t="s">
        <v>31</v>
      </c>
      <c r="F418" t="s">
        <v>49</v>
      </c>
      <c r="G418" s="6">
        <v>7099</v>
      </c>
      <c r="H418" s="7">
        <v>10</v>
      </c>
      <c r="I418" s="6">
        <v>3549.5</v>
      </c>
      <c r="J418" s="6">
        <v>74539.5</v>
      </c>
      <c r="K418" s="5">
        <v>43543.958333333336</v>
      </c>
      <c r="L418" s="4" t="s">
        <v>145</v>
      </c>
      <c r="M418" t="s">
        <v>26</v>
      </c>
      <c r="N418" s="6">
        <v>70990</v>
      </c>
      <c r="O418">
        <v>4.7619047620000003</v>
      </c>
      <c r="P418" s="6">
        <v>3549.5</v>
      </c>
      <c r="Q418">
        <v>5.7</v>
      </c>
      <c r="R418" s="6">
        <f>RawSales[[#This Row],[Unit price]]*RawSales[[#This Row],[Quantity]]</f>
        <v>70990</v>
      </c>
      <c r="S418" s="6">
        <f>RawSales[[#This Row],[Subtotal]]*$B$1</f>
        <v>3549.5</v>
      </c>
      <c r="T418" s="6" t="b">
        <f>ROUND(RawSales[[#This Row],[Subtotal]],2)=ROUND(RawSales[[#This Row],[cogs]],2)</f>
        <v>1</v>
      </c>
      <c r="U418" s="6" t="b">
        <f>ROUND(RawSales[[#This Row],[cogs]]*0.05,2)=ROUND(RawSales[[#This Row],[Tax 5%]],2)</f>
        <v>1</v>
      </c>
      <c r="V418" s="6" t="b">
        <f>ROUND(RawSales[[#This Row],[cogs]]+RawSales[[#This Row],[Tax 5%]],2)=ROUND(RawSales[[#This Row],[Sales]],2)</f>
        <v>1</v>
      </c>
    </row>
    <row r="419" spans="1:22" x14ac:dyDescent="0.35">
      <c r="A419" s="4" t="s">
        <v>773</v>
      </c>
      <c r="B419" t="s">
        <v>28</v>
      </c>
      <c r="C419" t="s">
        <v>29</v>
      </c>
      <c r="D419" t="s">
        <v>22</v>
      </c>
      <c r="E419" t="s">
        <v>31</v>
      </c>
      <c r="F419" t="s">
        <v>43</v>
      </c>
      <c r="G419" s="6">
        <v>6647</v>
      </c>
      <c r="H419" s="7">
        <v>10</v>
      </c>
      <c r="I419" s="6">
        <v>3323.5</v>
      </c>
      <c r="J419" s="6">
        <v>69793.5</v>
      </c>
      <c r="K419" s="5">
        <v>43479.958333333336</v>
      </c>
      <c r="L419" s="4" t="s">
        <v>774</v>
      </c>
      <c r="M419" t="s">
        <v>51</v>
      </c>
      <c r="N419" s="6">
        <v>66470</v>
      </c>
      <c r="O419">
        <v>4.7619047620000003</v>
      </c>
      <c r="P419" s="6">
        <v>3323.5</v>
      </c>
      <c r="Q419">
        <v>5</v>
      </c>
      <c r="R419" s="6">
        <f>RawSales[[#This Row],[Unit price]]*RawSales[[#This Row],[Quantity]]</f>
        <v>66470</v>
      </c>
      <c r="S419" s="6">
        <f>RawSales[[#This Row],[Subtotal]]*$B$1</f>
        <v>3323.5</v>
      </c>
      <c r="T419" s="6" t="b">
        <f>ROUND(RawSales[[#This Row],[Subtotal]],2)=ROUND(RawSales[[#This Row],[cogs]],2)</f>
        <v>1</v>
      </c>
      <c r="U419" s="6" t="b">
        <f>ROUND(RawSales[[#This Row],[cogs]]*0.05,2)=ROUND(RawSales[[#This Row],[Tax 5%]],2)</f>
        <v>1</v>
      </c>
      <c r="V419" s="6" t="b">
        <f>ROUND(RawSales[[#This Row],[cogs]]+RawSales[[#This Row],[Tax 5%]],2)=ROUND(RawSales[[#This Row],[Sales]],2)</f>
        <v>1</v>
      </c>
    </row>
    <row r="420" spans="1:22" x14ac:dyDescent="0.35">
      <c r="A420" s="4" t="s">
        <v>477</v>
      </c>
      <c r="B420" t="s">
        <v>20</v>
      </c>
      <c r="C420" t="s">
        <v>21</v>
      </c>
      <c r="D420" t="s">
        <v>22</v>
      </c>
      <c r="E420" t="s">
        <v>23</v>
      </c>
      <c r="F420" t="s">
        <v>32</v>
      </c>
      <c r="G420" s="6">
        <v>3442</v>
      </c>
      <c r="H420" s="7">
        <v>6</v>
      </c>
      <c r="I420" s="6">
        <v>1032.5999999999999</v>
      </c>
      <c r="J420" s="6">
        <v>21684.6</v>
      </c>
      <c r="K420" s="4" t="s">
        <v>775</v>
      </c>
      <c r="L420" s="4" t="s">
        <v>478</v>
      </c>
      <c r="M420" t="s">
        <v>34</v>
      </c>
      <c r="N420" s="6">
        <v>20652</v>
      </c>
      <c r="O420">
        <v>4.7619047620000003</v>
      </c>
      <c r="P420" s="6">
        <v>1032.5999999999999</v>
      </c>
      <c r="Q420">
        <v>7.5</v>
      </c>
      <c r="R420" s="6">
        <f>RawSales[[#This Row],[Unit price]]*RawSales[[#This Row],[Quantity]]</f>
        <v>20652</v>
      </c>
      <c r="S420" s="6">
        <f>RawSales[[#This Row],[Subtotal]]*$B$1</f>
        <v>1032.6000000000001</v>
      </c>
      <c r="T420" s="6" t="b">
        <f>ROUND(RawSales[[#This Row],[Subtotal]],2)=ROUND(RawSales[[#This Row],[cogs]],2)</f>
        <v>1</v>
      </c>
      <c r="U420" s="6" t="b">
        <f>ROUND(RawSales[[#This Row],[cogs]]*0.05,2)=ROUND(RawSales[[#This Row],[Tax 5%]],2)</f>
        <v>1</v>
      </c>
      <c r="V420" s="6" t="b">
        <f>ROUND(RawSales[[#This Row],[cogs]]+RawSales[[#This Row],[Tax 5%]],2)=ROUND(RawSales[[#This Row],[Sales]],2)</f>
        <v>1</v>
      </c>
    </row>
    <row r="421" spans="1:22" x14ac:dyDescent="0.35">
      <c r="A421" s="4" t="s">
        <v>776</v>
      </c>
      <c r="B421" t="s">
        <v>28</v>
      </c>
      <c r="C421" t="s">
        <v>29</v>
      </c>
      <c r="D421" t="s">
        <v>30</v>
      </c>
      <c r="E421" t="s">
        <v>31</v>
      </c>
      <c r="F421" t="s">
        <v>46</v>
      </c>
      <c r="G421" s="6">
        <v>2187</v>
      </c>
      <c r="H421" s="7">
        <v>2</v>
      </c>
      <c r="I421" s="6">
        <v>218.7</v>
      </c>
      <c r="J421" s="6">
        <v>4592.7</v>
      </c>
      <c r="K421" s="5">
        <v>43489.958333333336</v>
      </c>
      <c r="L421" s="4" t="s">
        <v>777</v>
      </c>
      <c r="M421" t="s">
        <v>34</v>
      </c>
      <c r="N421" s="6">
        <v>4374</v>
      </c>
      <c r="O421">
        <v>4.7619047620000003</v>
      </c>
      <c r="P421" s="6">
        <v>218.7</v>
      </c>
      <c r="Q421">
        <v>6.9</v>
      </c>
      <c r="R421" s="6">
        <f>RawSales[[#This Row],[Unit price]]*RawSales[[#This Row],[Quantity]]</f>
        <v>4374</v>
      </c>
      <c r="S421" s="6">
        <f>RawSales[[#This Row],[Subtotal]]*$B$1</f>
        <v>218.70000000000002</v>
      </c>
      <c r="T421" s="6" t="b">
        <f>ROUND(RawSales[[#This Row],[Subtotal]],2)=ROUND(RawSales[[#This Row],[cogs]],2)</f>
        <v>1</v>
      </c>
      <c r="U421" s="6" t="b">
        <f>ROUND(RawSales[[#This Row],[cogs]]*0.05,2)=ROUND(RawSales[[#This Row],[Tax 5%]],2)</f>
        <v>1</v>
      </c>
      <c r="V421" s="6" t="b">
        <f>ROUND(RawSales[[#This Row],[cogs]]+RawSales[[#This Row],[Tax 5%]],2)=ROUND(RawSales[[#This Row],[Sales]],2)</f>
        <v>1</v>
      </c>
    </row>
    <row r="422" spans="1:22" x14ac:dyDescent="0.35">
      <c r="A422" s="4" t="s">
        <v>778</v>
      </c>
      <c r="B422" t="s">
        <v>28</v>
      </c>
      <c r="C422" t="s">
        <v>29</v>
      </c>
      <c r="D422" t="s">
        <v>30</v>
      </c>
      <c r="E422" t="s">
        <v>23</v>
      </c>
      <c r="F422" t="s">
        <v>40</v>
      </c>
      <c r="G422" s="6">
        <v>4242</v>
      </c>
      <c r="H422" s="7">
        <v>8</v>
      </c>
      <c r="I422" s="6">
        <v>1696.8</v>
      </c>
      <c r="J422" s="6">
        <v>35632.800000000003</v>
      </c>
      <c r="K422" s="5">
        <v>43494.958333333336</v>
      </c>
      <c r="L422" s="4" t="s">
        <v>96</v>
      </c>
      <c r="M422" t="s">
        <v>34</v>
      </c>
      <c r="N422" s="6">
        <v>33936</v>
      </c>
      <c r="O422">
        <v>4.7619047620000003</v>
      </c>
      <c r="P422" s="6">
        <v>1696.8</v>
      </c>
      <c r="Q422">
        <v>5.7</v>
      </c>
      <c r="R422" s="6">
        <f>RawSales[[#This Row],[Unit price]]*RawSales[[#This Row],[Quantity]]</f>
        <v>33936</v>
      </c>
      <c r="S422" s="6">
        <f>RawSales[[#This Row],[Subtotal]]*$B$1</f>
        <v>1696.8000000000002</v>
      </c>
      <c r="T422" s="6" t="b">
        <f>ROUND(RawSales[[#This Row],[Subtotal]],2)=ROUND(RawSales[[#This Row],[cogs]],2)</f>
        <v>1</v>
      </c>
      <c r="U422" s="6" t="b">
        <f>ROUND(RawSales[[#This Row],[cogs]]*0.05,2)=ROUND(RawSales[[#This Row],[Tax 5%]],2)</f>
        <v>1</v>
      </c>
      <c r="V422" s="6" t="b">
        <f>ROUND(RawSales[[#This Row],[cogs]]+RawSales[[#This Row],[Tax 5%]],2)=ROUND(RawSales[[#This Row],[Sales]],2)</f>
        <v>1</v>
      </c>
    </row>
    <row r="423" spans="1:22" x14ac:dyDescent="0.35">
      <c r="A423" s="4" t="s">
        <v>779</v>
      </c>
      <c r="B423" t="s">
        <v>20</v>
      </c>
      <c r="C423" t="s">
        <v>21</v>
      </c>
      <c r="D423" t="s">
        <v>30</v>
      </c>
      <c r="E423" t="s">
        <v>23</v>
      </c>
      <c r="F423" t="s">
        <v>49</v>
      </c>
      <c r="G423" s="6">
        <v>9848</v>
      </c>
      <c r="H423" s="7">
        <v>2</v>
      </c>
      <c r="I423" s="6">
        <v>984.8</v>
      </c>
      <c r="J423" s="6">
        <v>20680.8</v>
      </c>
      <c r="K423" s="5">
        <v>43514.958333333336</v>
      </c>
      <c r="L423" s="4" t="s">
        <v>88</v>
      </c>
      <c r="M423" t="s">
        <v>34</v>
      </c>
      <c r="N423" s="6">
        <v>19696</v>
      </c>
      <c r="O423">
        <v>4.7619047620000003</v>
      </c>
      <c r="P423" s="6">
        <v>984.8</v>
      </c>
      <c r="Q423">
        <v>9.1999999999999993</v>
      </c>
      <c r="R423" s="6">
        <f>RawSales[[#This Row],[Unit price]]*RawSales[[#This Row],[Quantity]]</f>
        <v>19696</v>
      </c>
      <c r="S423" s="6">
        <f>RawSales[[#This Row],[Subtotal]]*$B$1</f>
        <v>984.80000000000007</v>
      </c>
      <c r="T423" s="6" t="b">
        <f>ROUND(RawSales[[#This Row],[Subtotal]],2)=ROUND(RawSales[[#This Row],[cogs]],2)</f>
        <v>1</v>
      </c>
      <c r="U423" s="6" t="b">
        <f>ROUND(RawSales[[#This Row],[cogs]]*0.05,2)=ROUND(RawSales[[#This Row],[Tax 5%]],2)</f>
        <v>1</v>
      </c>
      <c r="V423" s="6" t="b">
        <f>ROUND(RawSales[[#This Row],[cogs]]+RawSales[[#This Row],[Tax 5%]],2)=ROUND(RawSales[[#This Row],[Sales]],2)</f>
        <v>1</v>
      </c>
    </row>
    <row r="424" spans="1:22" x14ac:dyDescent="0.35">
      <c r="A424" s="4" t="s">
        <v>780</v>
      </c>
      <c r="B424" t="s">
        <v>28</v>
      </c>
      <c r="C424" t="s">
        <v>29</v>
      </c>
      <c r="D424" t="s">
        <v>22</v>
      </c>
      <c r="E424" t="s">
        <v>31</v>
      </c>
      <c r="F424" t="s">
        <v>43</v>
      </c>
      <c r="G424" s="6">
        <v>8258</v>
      </c>
      <c r="H424" s="7">
        <v>10</v>
      </c>
      <c r="I424" s="6">
        <v>4129</v>
      </c>
      <c r="J424" s="6">
        <v>86709</v>
      </c>
      <c r="K424" s="5">
        <v>43537.958333333336</v>
      </c>
      <c r="L424" s="4" t="s">
        <v>549</v>
      </c>
      <c r="M424" t="s">
        <v>26</v>
      </c>
      <c r="N424" s="6">
        <v>82580</v>
      </c>
      <c r="O424">
        <v>4.7619047620000003</v>
      </c>
      <c r="P424" s="6">
        <v>4129</v>
      </c>
      <c r="Q424">
        <v>5</v>
      </c>
      <c r="R424" s="6">
        <f>RawSales[[#This Row],[Unit price]]*RawSales[[#This Row],[Quantity]]</f>
        <v>82580</v>
      </c>
      <c r="S424" s="6">
        <f>RawSales[[#This Row],[Subtotal]]*$B$1</f>
        <v>4129</v>
      </c>
      <c r="T424" s="6" t="b">
        <f>ROUND(RawSales[[#This Row],[Subtotal]],2)=ROUND(RawSales[[#This Row],[cogs]],2)</f>
        <v>1</v>
      </c>
      <c r="U424" s="6" t="b">
        <f>ROUND(RawSales[[#This Row],[cogs]]*0.05,2)=ROUND(RawSales[[#This Row],[Tax 5%]],2)</f>
        <v>1</v>
      </c>
      <c r="V424" s="6" t="b">
        <f>ROUND(RawSales[[#This Row],[cogs]]+RawSales[[#This Row],[Tax 5%]],2)=ROUND(RawSales[[#This Row],[Sales]],2)</f>
        <v>1</v>
      </c>
    </row>
    <row r="425" spans="1:22" x14ac:dyDescent="0.35">
      <c r="A425" s="4" t="s">
        <v>781</v>
      </c>
      <c r="B425" t="s">
        <v>20</v>
      </c>
      <c r="C425" t="s">
        <v>21</v>
      </c>
      <c r="D425" t="s">
        <v>30</v>
      </c>
      <c r="E425" t="s">
        <v>23</v>
      </c>
      <c r="F425" t="s">
        <v>62</v>
      </c>
      <c r="G425" s="6">
        <v>4023</v>
      </c>
      <c r="H425" s="7">
        <v>7</v>
      </c>
      <c r="I425" s="6">
        <v>1408.05</v>
      </c>
      <c r="J425" s="6">
        <v>29569.05</v>
      </c>
      <c r="K425" s="5">
        <v>43553.958333333336</v>
      </c>
      <c r="L425" s="4" t="s">
        <v>782</v>
      </c>
      <c r="M425" t="s">
        <v>26</v>
      </c>
      <c r="N425" s="6">
        <v>28161</v>
      </c>
      <c r="O425">
        <v>4.7619047620000003</v>
      </c>
      <c r="P425" s="6">
        <v>1408.05</v>
      </c>
      <c r="Q425">
        <v>9.6</v>
      </c>
      <c r="R425" s="6">
        <f>RawSales[[#This Row],[Unit price]]*RawSales[[#This Row],[Quantity]]</f>
        <v>28161</v>
      </c>
      <c r="S425" s="6">
        <f>RawSales[[#This Row],[Subtotal]]*$B$1</f>
        <v>1408.0500000000002</v>
      </c>
      <c r="T425" s="6" t="b">
        <f>ROUND(RawSales[[#This Row],[Subtotal]],2)=ROUND(RawSales[[#This Row],[cogs]],2)</f>
        <v>1</v>
      </c>
      <c r="U425" s="6" t="b">
        <f>ROUND(RawSales[[#This Row],[cogs]]*0.05,2)=ROUND(RawSales[[#This Row],[Tax 5%]],2)</f>
        <v>1</v>
      </c>
      <c r="V425" s="6" t="b">
        <f>ROUND(RawSales[[#This Row],[cogs]]+RawSales[[#This Row],[Tax 5%]],2)=ROUND(RawSales[[#This Row],[Sales]],2)</f>
        <v>1</v>
      </c>
    </row>
    <row r="426" spans="1:22" x14ac:dyDescent="0.35">
      <c r="A426" s="4" t="s">
        <v>783</v>
      </c>
      <c r="B426" t="s">
        <v>20</v>
      </c>
      <c r="C426" t="s">
        <v>21</v>
      </c>
      <c r="D426" t="s">
        <v>30</v>
      </c>
      <c r="E426" t="s">
        <v>23</v>
      </c>
      <c r="F426" t="s">
        <v>32</v>
      </c>
      <c r="G426" s="6">
        <v>1203</v>
      </c>
      <c r="H426" s="7">
        <v>2</v>
      </c>
      <c r="I426" s="6">
        <v>120.3</v>
      </c>
      <c r="J426" s="6">
        <v>2526.3000000000002</v>
      </c>
      <c r="K426" s="5">
        <v>43491.958333333336</v>
      </c>
      <c r="L426" s="4" t="s">
        <v>784</v>
      </c>
      <c r="M426" t="s">
        <v>26</v>
      </c>
      <c r="N426" s="6">
        <v>2406</v>
      </c>
      <c r="O426">
        <v>4.7619047620000003</v>
      </c>
      <c r="P426" s="6">
        <v>120.3</v>
      </c>
      <c r="Q426">
        <v>5.0999999999999996</v>
      </c>
      <c r="R426" s="6">
        <f>RawSales[[#This Row],[Unit price]]*RawSales[[#This Row],[Quantity]]</f>
        <v>2406</v>
      </c>
      <c r="S426" s="6">
        <f>RawSales[[#This Row],[Subtotal]]*$B$1</f>
        <v>120.30000000000001</v>
      </c>
      <c r="T426" s="6" t="b">
        <f>ROUND(RawSales[[#This Row],[Subtotal]],2)=ROUND(RawSales[[#This Row],[cogs]],2)</f>
        <v>1</v>
      </c>
      <c r="U426" s="6" t="b">
        <f>ROUND(RawSales[[#This Row],[cogs]]*0.05,2)=ROUND(RawSales[[#This Row],[Tax 5%]],2)</f>
        <v>1</v>
      </c>
      <c r="V426" s="6" t="b">
        <f>ROUND(RawSales[[#This Row],[cogs]]+RawSales[[#This Row],[Tax 5%]],2)=ROUND(RawSales[[#This Row],[Sales]],2)</f>
        <v>1</v>
      </c>
    </row>
    <row r="427" spans="1:22" x14ac:dyDescent="0.35">
      <c r="A427" s="4" t="s">
        <v>785</v>
      </c>
      <c r="B427" t="s">
        <v>20</v>
      </c>
      <c r="C427" t="s">
        <v>21</v>
      </c>
      <c r="D427" t="s">
        <v>22</v>
      </c>
      <c r="E427" t="s">
        <v>31</v>
      </c>
      <c r="F427" t="s">
        <v>40</v>
      </c>
      <c r="G427" s="6">
        <v>9378</v>
      </c>
      <c r="H427" s="7">
        <v>3</v>
      </c>
      <c r="I427" s="6">
        <v>1406.7</v>
      </c>
      <c r="J427" s="6">
        <v>29540.7</v>
      </c>
      <c r="K427" s="5">
        <v>43494.958333333336</v>
      </c>
      <c r="L427" s="4" t="s">
        <v>50</v>
      </c>
      <c r="M427" t="s">
        <v>51</v>
      </c>
      <c r="N427" s="6">
        <v>28134</v>
      </c>
      <c r="O427">
        <v>4.7619047620000003</v>
      </c>
      <c r="P427" s="6">
        <v>1406.7</v>
      </c>
      <c r="Q427">
        <v>5.9</v>
      </c>
      <c r="R427" s="6">
        <f>RawSales[[#This Row],[Unit price]]*RawSales[[#This Row],[Quantity]]</f>
        <v>28134</v>
      </c>
      <c r="S427" s="6">
        <f>RawSales[[#This Row],[Subtotal]]*$B$1</f>
        <v>1406.7</v>
      </c>
      <c r="T427" s="6" t="b">
        <f>ROUND(RawSales[[#This Row],[Subtotal]],2)=ROUND(RawSales[[#This Row],[cogs]],2)</f>
        <v>1</v>
      </c>
      <c r="U427" s="6" t="b">
        <f>ROUND(RawSales[[#This Row],[cogs]]*0.05,2)=ROUND(RawSales[[#This Row],[Tax 5%]],2)</f>
        <v>1</v>
      </c>
      <c r="V427" s="6" t="b">
        <f>ROUND(RawSales[[#This Row],[cogs]]+RawSales[[#This Row],[Tax 5%]],2)=ROUND(RawSales[[#This Row],[Sales]],2)</f>
        <v>1</v>
      </c>
    </row>
    <row r="428" spans="1:22" x14ac:dyDescent="0.35">
      <c r="A428" s="4" t="s">
        <v>786</v>
      </c>
      <c r="B428" t="s">
        <v>28</v>
      </c>
      <c r="C428" t="s">
        <v>29</v>
      </c>
      <c r="D428" t="s">
        <v>22</v>
      </c>
      <c r="E428" t="s">
        <v>23</v>
      </c>
      <c r="F428" t="s">
        <v>62</v>
      </c>
      <c r="G428" s="6">
        <v>5507</v>
      </c>
      <c r="H428" s="7">
        <v>9</v>
      </c>
      <c r="I428" s="6">
        <v>2478.15</v>
      </c>
      <c r="J428" s="6">
        <v>52041.15</v>
      </c>
      <c r="K428" s="5">
        <v>43498.958333333336</v>
      </c>
      <c r="L428" s="4" t="s">
        <v>314</v>
      </c>
      <c r="M428" t="s">
        <v>34</v>
      </c>
      <c r="N428" s="6">
        <v>49563</v>
      </c>
      <c r="O428">
        <v>4.7619047620000003</v>
      </c>
      <c r="P428" s="6">
        <v>2478.15</v>
      </c>
      <c r="Q428">
        <v>10</v>
      </c>
      <c r="R428" s="6">
        <f>RawSales[[#This Row],[Unit price]]*RawSales[[#This Row],[Quantity]]</f>
        <v>49563</v>
      </c>
      <c r="S428" s="6">
        <f>RawSales[[#This Row],[Subtotal]]*$B$1</f>
        <v>2478.15</v>
      </c>
      <c r="T428" s="6" t="b">
        <f>ROUND(RawSales[[#This Row],[Subtotal]],2)=ROUND(RawSales[[#This Row],[cogs]],2)</f>
        <v>1</v>
      </c>
      <c r="U428" s="6" t="b">
        <f>ROUND(RawSales[[#This Row],[cogs]]*0.05,2)=ROUND(RawSales[[#This Row],[Tax 5%]],2)</f>
        <v>1</v>
      </c>
      <c r="V428" s="6" t="b">
        <f>ROUND(RawSales[[#This Row],[cogs]]+RawSales[[#This Row],[Tax 5%]],2)=ROUND(RawSales[[#This Row],[Sales]],2)</f>
        <v>1</v>
      </c>
    </row>
    <row r="429" spans="1:22" x14ac:dyDescent="0.35">
      <c r="A429" s="4" t="s">
        <v>787</v>
      </c>
      <c r="B429" t="s">
        <v>20</v>
      </c>
      <c r="C429" t="s">
        <v>21</v>
      </c>
      <c r="D429" t="s">
        <v>22</v>
      </c>
      <c r="E429" t="s">
        <v>23</v>
      </c>
      <c r="F429" t="s">
        <v>24</v>
      </c>
      <c r="G429" s="6">
        <v>9866</v>
      </c>
      <c r="H429" s="7">
        <v>9</v>
      </c>
      <c r="I429" s="6">
        <v>4439.7</v>
      </c>
      <c r="J429" s="6">
        <v>93233.7</v>
      </c>
      <c r="K429" s="5">
        <v>43514.958333333336</v>
      </c>
      <c r="L429" s="4" t="s">
        <v>58</v>
      </c>
      <c r="M429" t="s">
        <v>26</v>
      </c>
      <c r="N429" s="6">
        <v>88794</v>
      </c>
      <c r="O429">
        <v>4.7619047620000003</v>
      </c>
      <c r="P429" s="6">
        <v>4439.7</v>
      </c>
      <c r="Q429">
        <v>8.4</v>
      </c>
      <c r="R429" s="6">
        <f>RawSales[[#This Row],[Unit price]]*RawSales[[#This Row],[Quantity]]</f>
        <v>88794</v>
      </c>
      <c r="S429" s="6">
        <f>RawSales[[#This Row],[Subtotal]]*$B$1</f>
        <v>4439.7</v>
      </c>
      <c r="T429" s="6" t="b">
        <f>ROUND(RawSales[[#This Row],[Subtotal]],2)=ROUND(RawSales[[#This Row],[cogs]],2)</f>
        <v>1</v>
      </c>
      <c r="U429" s="6" t="b">
        <f>ROUND(RawSales[[#This Row],[cogs]]*0.05,2)=ROUND(RawSales[[#This Row],[Tax 5%]],2)</f>
        <v>1</v>
      </c>
      <c r="V429" s="6" t="b">
        <f>ROUND(RawSales[[#This Row],[cogs]]+RawSales[[#This Row],[Tax 5%]],2)=ROUND(RawSales[[#This Row],[Sales]],2)</f>
        <v>1</v>
      </c>
    </row>
    <row r="430" spans="1:22" x14ac:dyDescent="0.35">
      <c r="A430" s="4" t="s">
        <v>788</v>
      </c>
      <c r="B430" t="s">
        <v>28</v>
      </c>
      <c r="C430" t="s">
        <v>29</v>
      </c>
      <c r="D430" t="s">
        <v>30</v>
      </c>
      <c r="E430" t="s">
        <v>31</v>
      </c>
      <c r="F430" t="s">
        <v>40</v>
      </c>
      <c r="G430" s="6">
        <v>7566</v>
      </c>
      <c r="H430" s="7">
        <v>5</v>
      </c>
      <c r="I430" s="6">
        <v>1891.5</v>
      </c>
      <c r="J430" s="6">
        <v>39721.5</v>
      </c>
      <c r="K430" s="5">
        <v>43479.958333333336</v>
      </c>
      <c r="L430" s="4" t="s">
        <v>674</v>
      </c>
      <c r="M430" t="s">
        <v>34</v>
      </c>
      <c r="N430" s="6">
        <v>37830</v>
      </c>
      <c r="O430">
        <v>4.7619047620000003</v>
      </c>
      <c r="P430" s="6">
        <v>1891.5</v>
      </c>
      <c r="Q430">
        <v>7.8</v>
      </c>
      <c r="R430" s="6">
        <f>RawSales[[#This Row],[Unit price]]*RawSales[[#This Row],[Quantity]]</f>
        <v>37830</v>
      </c>
      <c r="S430" s="6">
        <f>RawSales[[#This Row],[Subtotal]]*$B$1</f>
        <v>1891.5</v>
      </c>
      <c r="T430" s="6" t="b">
        <f>ROUND(RawSales[[#This Row],[Subtotal]],2)=ROUND(RawSales[[#This Row],[cogs]],2)</f>
        <v>1</v>
      </c>
      <c r="U430" s="6" t="b">
        <f>ROUND(RawSales[[#This Row],[cogs]]*0.05,2)=ROUND(RawSales[[#This Row],[Tax 5%]],2)</f>
        <v>1</v>
      </c>
      <c r="V430" s="6" t="b">
        <f>ROUND(RawSales[[#This Row],[cogs]]+RawSales[[#This Row],[Tax 5%]],2)=ROUND(RawSales[[#This Row],[Sales]],2)</f>
        <v>1</v>
      </c>
    </row>
    <row r="431" spans="1:22" x14ac:dyDescent="0.35">
      <c r="A431" s="4" t="s">
        <v>789</v>
      </c>
      <c r="B431" t="s">
        <v>20</v>
      </c>
      <c r="C431" t="s">
        <v>21</v>
      </c>
      <c r="D431" t="s">
        <v>30</v>
      </c>
      <c r="E431" t="s">
        <v>31</v>
      </c>
      <c r="F431" t="s">
        <v>43</v>
      </c>
      <c r="G431" s="6">
        <v>5600</v>
      </c>
      <c r="H431" s="7">
        <v>3</v>
      </c>
      <c r="I431" s="6">
        <v>840</v>
      </c>
      <c r="J431" s="6">
        <v>17640</v>
      </c>
      <c r="K431" s="5">
        <v>43523.958333333336</v>
      </c>
      <c r="L431" s="4" t="s">
        <v>514</v>
      </c>
      <c r="M431" t="s">
        <v>34</v>
      </c>
      <c r="N431" s="6">
        <v>16800</v>
      </c>
      <c r="O431">
        <v>4.7619047620000003</v>
      </c>
      <c r="P431" s="6">
        <v>840</v>
      </c>
      <c r="Q431">
        <v>4.8</v>
      </c>
      <c r="R431" s="6">
        <f>RawSales[[#This Row],[Unit price]]*RawSales[[#This Row],[Quantity]]</f>
        <v>16800</v>
      </c>
      <c r="S431" s="6">
        <f>RawSales[[#This Row],[Subtotal]]*$B$1</f>
        <v>840</v>
      </c>
      <c r="T431" s="6" t="b">
        <f>ROUND(RawSales[[#This Row],[Subtotal]],2)=ROUND(RawSales[[#This Row],[cogs]],2)</f>
        <v>1</v>
      </c>
      <c r="U431" s="6" t="b">
        <f>ROUND(RawSales[[#This Row],[cogs]]*0.05,2)=ROUND(RawSales[[#This Row],[Tax 5%]],2)</f>
        <v>1</v>
      </c>
      <c r="V431" s="6" t="b">
        <f>ROUND(RawSales[[#This Row],[cogs]]+RawSales[[#This Row],[Tax 5%]],2)=ROUND(RawSales[[#This Row],[Sales]],2)</f>
        <v>1</v>
      </c>
    </row>
    <row r="432" spans="1:22" x14ac:dyDescent="0.35">
      <c r="A432" s="4" t="s">
        <v>790</v>
      </c>
      <c r="B432" t="s">
        <v>28</v>
      </c>
      <c r="C432" t="s">
        <v>29</v>
      </c>
      <c r="D432" t="s">
        <v>22</v>
      </c>
      <c r="E432" t="s">
        <v>31</v>
      </c>
      <c r="F432" t="s">
        <v>49</v>
      </c>
      <c r="G432" s="6">
        <v>6523</v>
      </c>
      <c r="H432" s="7">
        <v>10</v>
      </c>
      <c r="I432" s="6">
        <v>3261.5</v>
      </c>
      <c r="J432" s="6">
        <v>68491.5</v>
      </c>
      <c r="K432" s="5">
        <v>43472.958333333336</v>
      </c>
      <c r="L432" s="4" t="s">
        <v>232</v>
      </c>
      <c r="M432" t="s">
        <v>51</v>
      </c>
      <c r="N432" s="6">
        <v>65230</v>
      </c>
      <c r="O432">
        <v>4.7619047620000003</v>
      </c>
      <c r="P432" s="6">
        <v>3261.5</v>
      </c>
      <c r="Q432">
        <v>5.2</v>
      </c>
      <c r="R432" s="6">
        <f>RawSales[[#This Row],[Unit price]]*RawSales[[#This Row],[Quantity]]</f>
        <v>65230</v>
      </c>
      <c r="S432" s="6">
        <f>RawSales[[#This Row],[Subtotal]]*$B$1</f>
        <v>3261.5</v>
      </c>
      <c r="T432" s="6" t="b">
        <f>ROUND(RawSales[[#This Row],[Subtotal]],2)=ROUND(RawSales[[#This Row],[cogs]],2)</f>
        <v>1</v>
      </c>
      <c r="U432" s="6" t="b">
        <f>ROUND(RawSales[[#This Row],[cogs]]*0.05,2)=ROUND(RawSales[[#This Row],[Tax 5%]],2)</f>
        <v>1</v>
      </c>
      <c r="V432" s="6" t="b">
        <f>ROUND(RawSales[[#This Row],[cogs]]+RawSales[[#This Row],[Tax 5%]],2)=ROUND(RawSales[[#This Row],[Sales]],2)</f>
        <v>1</v>
      </c>
    </row>
    <row r="433" spans="1:22" x14ac:dyDescent="0.35">
      <c r="A433" s="4" t="s">
        <v>791</v>
      </c>
      <c r="B433" t="s">
        <v>28</v>
      </c>
      <c r="C433" t="s">
        <v>29</v>
      </c>
      <c r="D433" t="s">
        <v>30</v>
      </c>
      <c r="E433" t="s">
        <v>31</v>
      </c>
      <c r="F433" t="s">
        <v>62</v>
      </c>
      <c r="G433" s="6">
        <v>3702</v>
      </c>
      <c r="H433" s="7">
        <v>6</v>
      </c>
      <c r="I433" s="6">
        <v>1110.5999999999999</v>
      </c>
      <c r="J433" s="6">
        <v>23322.6</v>
      </c>
      <c r="K433" s="5">
        <v>43545.958333333336</v>
      </c>
      <c r="L433" s="4" t="s">
        <v>792</v>
      </c>
      <c r="M433" t="s">
        <v>26</v>
      </c>
      <c r="N433" s="6">
        <v>22212</v>
      </c>
      <c r="O433">
        <v>4.7619047620000003</v>
      </c>
      <c r="P433" s="6">
        <v>1110.5999999999999</v>
      </c>
      <c r="Q433">
        <v>4.5</v>
      </c>
      <c r="R433" s="6">
        <f>RawSales[[#This Row],[Unit price]]*RawSales[[#This Row],[Quantity]]</f>
        <v>22212</v>
      </c>
      <c r="S433" s="6">
        <f>RawSales[[#This Row],[Subtotal]]*$B$1</f>
        <v>1110.6000000000001</v>
      </c>
      <c r="T433" s="6" t="b">
        <f>ROUND(RawSales[[#This Row],[Subtotal]],2)=ROUND(RawSales[[#This Row],[cogs]],2)</f>
        <v>1</v>
      </c>
      <c r="U433" s="6" t="b">
        <f>ROUND(RawSales[[#This Row],[cogs]]*0.05,2)=ROUND(RawSales[[#This Row],[Tax 5%]],2)</f>
        <v>1</v>
      </c>
      <c r="V433" s="6" t="b">
        <f>ROUND(RawSales[[#This Row],[cogs]]+RawSales[[#This Row],[Tax 5%]],2)=ROUND(RawSales[[#This Row],[Sales]],2)</f>
        <v>1</v>
      </c>
    </row>
    <row r="434" spans="1:22" x14ac:dyDescent="0.35">
      <c r="A434" s="4" t="s">
        <v>793</v>
      </c>
      <c r="B434" t="s">
        <v>28</v>
      </c>
      <c r="C434" t="s">
        <v>29</v>
      </c>
      <c r="D434" t="s">
        <v>30</v>
      </c>
      <c r="E434" t="s">
        <v>23</v>
      </c>
      <c r="F434" t="s">
        <v>55</v>
      </c>
      <c r="G434" s="6">
        <v>9546</v>
      </c>
      <c r="H434" s="7">
        <v>8</v>
      </c>
      <c r="I434" s="6">
        <v>3818.4</v>
      </c>
      <c r="J434" s="6">
        <v>80186.399999999994</v>
      </c>
      <c r="K434" s="4" t="s">
        <v>225</v>
      </c>
      <c r="L434" s="4" t="s">
        <v>174</v>
      </c>
      <c r="M434" t="s">
        <v>34</v>
      </c>
      <c r="N434" s="6">
        <v>76368</v>
      </c>
      <c r="O434">
        <v>4.7619047620000003</v>
      </c>
      <c r="P434" s="6">
        <v>3818.4</v>
      </c>
      <c r="Q434">
        <v>4.7</v>
      </c>
      <c r="R434" s="6">
        <f>RawSales[[#This Row],[Unit price]]*RawSales[[#This Row],[Quantity]]</f>
        <v>76368</v>
      </c>
      <c r="S434" s="6">
        <f>RawSales[[#This Row],[Subtotal]]*$B$1</f>
        <v>3818.4</v>
      </c>
      <c r="T434" s="6" t="b">
        <f>ROUND(RawSales[[#This Row],[Subtotal]],2)=ROUND(RawSales[[#This Row],[cogs]],2)</f>
        <v>1</v>
      </c>
      <c r="U434" s="6" t="b">
        <f>ROUND(RawSales[[#This Row],[cogs]]*0.05,2)=ROUND(RawSales[[#This Row],[Tax 5%]],2)</f>
        <v>1</v>
      </c>
      <c r="V434" s="6" t="b">
        <f>ROUND(RawSales[[#This Row],[cogs]]+RawSales[[#This Row],[Tax 5%]],2)=ROUND(RawSales[[#This Row],[Sales]],2)</f>
        <v>1</v>
      </c>
    </row>
    <row r="435" spans="1:22" x14ac:dyDescent="0.35">
      <c r="A435" s="4" t="s">
        <v>794</v>
      </c>
      <c r="B435" t="s">
        <v>38</v>
      </c>
      <c r="C435" t="s">
        <v>39</v>
      </c>
      <c r="D435" t="s">
        <v>22</v>
      </c>
      <c r="E435" t="s">
        <v>23</v>
      </c>
      <c r="F435" t="s">
        <v>324</v>
      </c>
      <c r="G435" s="6">
        <v>2262</v>
      </c>
      <c r="H435" s="7">
        <v>1</v>
      </c>
      <c r="I435" s="6">
        <v>113.1</v>
      </c>
      <c r="J435" s="6">
        <v>2375.1</v>
      </c>
      <c r="K435" s="5">
        <v>43540.958333333336</v>
      </c>
      <c r="L435" s="4" t="s">
        <v>101</v>
      </c>
      <c r="M435" t="s">
        <v>26</v>
      </c>
      <c r="N435" s="6">
        <v>2262</v>
      </c>
      <c r="O435">
        <v>4.7619047620000003</v>
      </c>
      <c r="P435" s="6">
        <v>113.1</v>
      </c>
      <c r="Q435">
        <v>6.4</v>
      </c>
      <c r="R435" s="6">
        <f>RawSales[[#This Row],[Unit price]]*RawSales[[#This Row],[Quantity]]</f>
        <v>2262</v>
      </c>
      <c r="S435" s="6">
        <f>RawSales[[#This Row],[Subtotal]]*$B$1</f>
        <v>113.10000000000001</v>
      </c>
      <c r="T435" s="6" t="b">
        <f>ROUND(RawSales[[#This Row],[Subtotal]],2)=ROUND(RawSales[[#This Row],[cogs]],2)</f>
        <v>1</v>
      </c>
      <c r="U435" s="6" t="b">
        <f>ROUND(RawSales[[#This Row],[cogs]]*0.05,2)=ROUND(RawSales[[#This Row],[Tax 5%]],2)</f>
        <v>1</v>
      </c>
      <c r="V435" s="6" t="b">
        <f>ROUND(RawSales[[#This Row],[cogs]]+RawSales[[#This Row],[Tax 5%]],2)=ROUND(RawSales[[#This Row],[Sales]],2)</f>
        <v>1</v>
      </c>
    </row>
    <row r="436" spans="1:22" x14ac:dyDescent="0.35">
      <c r="A436" s="4" t="s">
        <v>795</v>
      </c>
      <c r="B436" t="s">
        <v>28</v>
      </c>
      <c r="C436" t="s">
        <v>29</v>
      </c>
      <c r="D436" t="s">
        <v>22</v>
      </c>
      <c r="E436" t="s">
        <v>31</v>
      </c>
      <c r="F436" t="s">
        <v>24</v>
      </c>
      <c r="G436" s="6">
        <v>2334</v>
      </c>
      <c r="H436" s="7">
        <v>4</v>
      </c>
      <c r="I436" s="6">
        <v>466.8</v>
      </c>
      <c r="J436" s="6">
        <v>9802.7999999999993</v>
      </c>
      <c r="K436" s="5">
        <v>43499.958333333336</v>
      </c>
      <c r="L436" s="4" t="s">
        <v>796</v>
      </c>
      <c r="M436" t="s">
        <v>34</v>
      </c>
      <c r="N436" s="6">
        <v>9336</v>
      </c>
      <c r="O436">
        <v>4.7619047620000003</v>
      </c>
      <c r="P436" s="6">
        <v>466.8</v>
      </c>
      <c r="Q436">
        <v>7.4</v>
      </c>
      <c r="R436" s="6">
        <f>RawSales[[#This Row],[Unit price]]*RawSales[[#This Row],[Quantity]]</f>
        <v>9336</v>
      </c>
      <c r="S436" s="6">
        <f>RawSales[[#This Row],[Subtotal]]*$B$1</f>
        <v>466.8</v>
      </c>
      <c r="T436" s="6" t="b">
        <f>ROUND(RawSales[[#This Row],[Subtotal]],2)=ROUND(RawSales[[#This Row],[cogs]],2)</f>
        <v>1</v>
      </c>
      <c r="U436" s="6" t="b">
        <f>ROUND(RawSales[[#This Row],[cogs]]*0.05,2)=ROUND(RawSales[[#This Row],[Tax 5%]],2)</f>
        <v>1</v>
      </c>
      <c r="V436" s="6" t="b">
        <f>ROUND(RawSales[[#This Row],[cogs]]+RawSales[[#This Row],[Tax 5%]],2)=ROUND(RawSales[[#This Row],[Sales]],2)</f>
        <v>1</v>
      </c>
    </row>
    <row r="437" spans="1:22" x14ac:dyDescent="0.35">
      <c r="A437" s="4" t="s">
        <v>797</v>
      </c>
      <c r="B437" t="s">
        <v>38</v>
      </c>
      <c r="C437" t="s">
        <v>39</v>
      </c>
      <c r="D437" t="s">
        <v>22</v>
      </c>
      <c r="E437" t="s">
        <v>23</v>
      </c>
      <c r="F437" t="s">
        <v>43</v>
      </c>
      <c r="G437" s="6">
        <v>9821</v>
      </c>
      <c r="H437" s="7">
        <v>3</v>
      </c>
      <c r="I437" s="6">
        <v>1473.15</v>
      </c>
      <c r="J437" s="6">
        <v>30936.15</v>
      </c>
      <c r="K437" s="5">
        <v>43500.958333333336</v>
      </c>
      <c r="L437" s="4" t="s">
        <v>798</v>
      </c>
      <c r="M437" t="s">
        <v>51</v>
      </c>
      <c r="N437" s="6">
        <v>29463</v>
      </c>
      <c r="O437">
        <v>4.7619047620000003</v>
      </c>
      <c r="P437" s="6">
        <v>1473.15</v>
      </c>
      <c r="Q437">
        <v>7.8</v>
      </c>
      <c r="R437" s="6">
        <f>RawSales[[#This Row],[Unit price]]*RawSales[[#This Row],[Quantity]]</f>
        <v>29463</v>
      </c>
      <c r="S437" s="6">
        <f>RawSales[[#This Row],[Subtotal]]*$B$1</f>
        <v>1473.15</v>
      </c>
      <c r="T437" s="6" t="b">
        <f>ROUND(RawSales[[#This Row],[Subtotal]],2)=ROUND(RawSales[[#This Row],[cogs]],2)</f>
        <v>1</v>
      </c>
      <c r="U437" s="6" t="b">
        <f>ROUND(RawSales[[#This Row],[cogs]]*0.05,2)=ROUND(RawSales[[#This Row],[Tax 5%]],2)</f>
        <v>1</v>
      </c>
      <c r="V437" s="6" t="b">
        <f>ROUND(RawSales[[#This Row],[cogs]]+RawSales[[#This Row],[Tax 5%]],2)=ROUND(RawSales[[#This Row],[Sales]],2)</f>
        <v>1</v>
      </c>
    </row>
    <row r="438" spans="1:22" x14ac:dyDescent="0.35">
      <c r="A438" s="4" t="s">
        <v>799</v>
      </c>
      <c r="B438" t="s">
        <v>20</v>
      </c>
      <c r="C438" t="s">
        <v>21</v>
      </c>
      <c r="D438" t="s">
        <v>22</v>
      </c>
      <c r="E438" t="s">
        <v>31</v>
      </c>
      <c r="F438" t="s">
        <v>140</v>
      </c>
      <c r="G438" s="6">
        <v>1194</v>
      </c>
      <c r="H438" s="7">
        <v>3</v>
      </c>
      <c r="I438" s="6">
        <v>179.1</v>
      </c>
      <c r="J438" s="6">
        <v>3761.1</v>
      </c>
      <c r="K438" s="5">
        <v>43483.958333333336</v>
      </c>
      <c r="L438" s="4" t="s">
        <v>230</v>
      </c>
      <c r="M438" t="s">
        <v>51</v>
      </c>
      <c r="N438" s="6">
        <v>3582</v>
      </c>
      <c r="O438">
        <v>4.7619047620000003</v>
      </c>
      <c r="P438" s="6">
        <v>179.1</v>
      </c>
      <c r="Q438">
        <v>8.1</v>
      </c>
      <c r="R438" s="6">
        <f>RawSales[[#This Row],[Unit price]]*RawSales[[#This Row],[Quantity]]</f>
        <v>3582</v>
      </c>
      <c r="S438" s="6">
        <f>RawSales[[#This Row],[Subtotal]]*$B$1</f>
        <v>179.10000000000002</v>
      </c>
      <c r="T438" s="6" t="b">
        <f>ROUND(RawSales[[#This Row],[Subtotal]],2)=ROUND(RawSales[[#This Row],[cogs]],2)</f>
        <v>1</v>
      </c>
      <c r="U438" s="6" t="b">
        <f>ROUND(RawSales[[#This Row],[cogs]]*0.05,2)=ROUND(RawSales[[#This Row],[Tax 5%]],2)</f>
        <v>1</v>
      </c>
      <c r="V438" s="6" t="b">
        <f>ROUND(RawSales[[#This Row],[cogs]]+RawSales[[#This Row],[Tax 5%]],2)=ROUND(RawSales[[#This Row],[Sales]],2)</f>
        <v>1</v>
      </c>
    </row>
    <row r="439" spans="1:22" x14ac:dyDescent="0.35">
      <c r="A439" s="4" t="s">
        <v>800</v>
      </c>
      <c r="B439" t="s">
        <v>38</v>
      </c>
      <c r="C439" t="s">
        <v>39</v>
      </c>
      <c r="D439" t="s">
        <v>22</v>
      </c>
      <c r="E439" t="s">
        <v>23</v>
      </c>
      <c r="F439" t="s">
        <v>324</v>
      </c>
      <c r="G439" s="6">
        <v>7252</v>
      </c>
      <c r="H439" s="7">
        <v>8</v>
      </c>
      <c r="I439" s="6">
        <v>2900.8</v>
      </c>
      <c r="J439" s="6">
        <v>60916.800000000003</v>
      </c>
      <c r="K439" s="5">
        <v>43553.958333333336</v>
      </c>
      <c r="L439" s="4" t="s">
        <v>801</v>
      </c>
      <c r="M439" t="s">
        <v>51</v>
      </c>
      <c r="N439" s="6">
        <v>58016</v>
      </c>
      <c r="O439">
        <v>4.7619047620000003</v>
      </c>
      <c r="P439" s="6">
        <v>2900.8</v>
      </c>
      <c r="Q439">
        <v>4</v>
      </c>
      <c r="R439" s="6">
        <f>RawSales[[#This Row],[Unit price]]*RawSales[[#This Row],[Quantity]]</f>
        <v>58016</v>
      </c>
      <c r="S439" s="6">
        <f>RawSales[[#This Row],[Subtotal]]*$B$1</f>
        <v>2900.8</v>
      </c>
      <c r="T439" s="6" t="b">
        <f>ROUND(RawSales[[#This Row],[Subtotal]],2)=ROUND(RawSales[[#This Row],[cogs]],2)</f>
        <v>1</v>
      </c>
      <c r="U439" s="6" t="b">
        <f>ROUND(RawSales[[#This Row],[cogs]]*0.05,2)=ROUND(RawSales[[#This Row],[Tax 5%]],2)</f>
        <v>1</v>
      </c>
      <c r="V439" s="6" t="b">
        <f>ROUND(RawSales[[#This Row],[cogs]]+RawSales[[#This Row],[Tax 5%]],2)=ROUND(RawSales[[#This Row],[Sales]],2)</f>
        <v>1</v>
      </c>
    </row>
    <row r="440" spans="1:22" x14ac:dyDescent="0.35">
      <c r="A440" s="4" t="s">
        <v>802</v>
      </c>
      <c r="B440" t="s">
        <v>38</v>
      </c>
      <c r="C440" t="s">
        <v>39</v>
      </c>
      <c r="D440" t="s">
        <v>22</v>
      </c>
      <c r="E440" t="s">
        <v>31</v>
      </c>
      <c r="F440" t="s">
        <v>40</v>
      </c>
      <c r="G440" s="6">
        <v>8234</v>
      </c>
      <c r="H440" s="7">
        <v>10</v>
      </c>
      <c r="I440" s="6">
        <v>4117</v>
      </c>
      <c r="J440" s="6">
        <v>86457</v>
      </c>
      <c r="K440" s="5">
        <v>43552.958333333336</v>
      </c>
      <c r="L440" s="4" t="s">
        <v>803</v>
      </c>
      <c r="M440" t="s">
        <v>34</v>
      </c>
      <c r="N440" s="6">
        <v>82340</v>
      </c>
      <c r="O440">
        <v>4.7619047620000003</v>
      </c>
      <c r="P440" s="6">
        <v>4117</v>
      </c>
      <c r="Q440">
        <v>4.3</v>
      </c>
      <c r="R440" s="6">
        <f>RawSales[[#This Row],[Unit price]]*RawSales[[#This Row],[Quantity]]</f>
        <v>82340</v>
      </c>
      <c r="S440" s="6">
        <f>RawSales[[#This Row],[Subtotal]]*$B$1</f>
        <v>4117</v>
      </c>
      <c r="T440" s="6" t="b">
        <f>ROUND(RawSales[[#This Row],[Subtotal]],2)=ROUND(RawSales[[#This Row],[cogs]],2)</f>
        <v>1</v>
      </c>
      <c r="U440" s="6" t="b">
        <f>ROUND(RawSales[[#This Row],[cogs]]*0.05,2)=ROUND(RawSales[[#This Row],[Tax 5%]],2)</f>
        <v>1</v>
      </c>
      <c r="V440" s="6" t="b">
        <f>ROUND(RawSales[[#This Row],[cogs]]+RawSales[[#This Row],[Tax 5%]],2)=ROUND(RawSales[[#This Row],[Sales]],2)</f>
        <v>1</v>
      </c>
    </row>
    <row r="441" spans="1:22" x14ac:dyDescent="0.35">
      <c r="A441" s="4" t="s">
        <v>804</v>
      </c>
      <c r="B441" t="s">
        <v>20</v>
      </c>
      <c r="C441" t="s">
        <v>21</v>
      </c>
      <c r="D441" t="s">
        <v>30</v>
      </c>
      <c r="E441" t="s">
        <v>31</v>
      </c>
      <c r="F441" t="s">
        <v>100</v>
      </c>
      <c r="G441" s="6">
        <v>5079</v>
      </c>
      <c r="H441" s="7">
        <v>5</v>
      </c>
      <c r="I441" s="6">
        <v>1269.75</v>
      </c>
      <c r="J441" s="6">
        <v>26664.75</v>
      </c>
      <c r="K441" s="5">
        <v>43514.958333333336</v>
      </c>
      <c r="L441" s="4" t="s">
        <v>640</v>
      </c>
      <c r="M441" t="s">
        <v>51</v>
      </c>
      <c r="N441" s="6">
        <v>25395</v>
      </c>
      <c r="O441">
        <v>4.7619047620000003</v>
      </c>
      <c r="P441" s="6">
        <v>1269.75</v>
      </c>
      <c r="Q441">
        <v>5.3</v>
      </c>
      <c r="R441" s="6">
        <f>RawSales[[#This Row],[Unit price]]*RawSales[[#This Row],[Quantity]]</f>
        <v>25395</v>
      </c>
      <c r="S441" s="6">
        <f>RawSales[[#This Row],[Subtotal]]*$B$1</f>
        <v>1269.75</v>
      </c>
      <c r="T441" s="6" t="b">
        <f>ROUND(RawSales[[#This Row],[Subtotal]],2)=ROUND(RawSales[[#This Row],[cogs]],2)</f>
        <v>1</v>
      </c>
      <c r="U441" s="6" t="b">
        <f>ROUND(RawSales[[#This Row],[cogs]]*0.05,2)=ROUND(RawSales[[#This Row],[Tax 5%]],2)</f>
        <v>1</v>
      </c>
      <c r="V441" s="6" t="b">
        <f>ROUND(RawSales[[#This Row],[cogs]]+RawSales[[#This Row],[Tax 5%]],2)=ROUND(RawSales[[#This Row],[Sales]],2)</f>
        <v>1</v>
      </c>
    </row>
    <row r="442" spans="1:22" x14ac:dyDescent="0.35">
      <c r="A442" s="4" t="s">
        <v>805</v>
      </c>
      <c r="B442" t="s">
        <v>38</v>
      </c>
      <c r="C442" t="s">
        <v>39</v>
      </c>
      <c r="D442" t="s">
        <v>30</v>
      </c>
      <c r="E442" t="s">
        <v>31</v>
      </c>
      <c r="F442" t="s">
        <v>49</v>
      </c>
      <c r="G442" s="6">
        <v>9726</v>
      </c>
      <c r="H442" s="7">
        <v>4</v>
      </c>
      <c r="I442" s="6">
        <v>1945.2</v>
      </c>
      <c r="J442" s="6">
        <v>40849.199999999997</v>
      </c>
      <c r="K442" s="5">
        <v>43539.958333333336</v>
      </c>
      <c r="L442" s="4" t="s">
        <v>806</v>
      </c>
      <c r="M442" t="s">
        <v>34</v>
      </c>
      <c r="N442" s="6">
        <v>38904</v>
      </c>
      <c r="O442">
        <v>4.7619047620000003</v>
      </c>
      <c r="P442" s="6">
        <v>1945.2</v>
      </c>
      <c r="Q442">
        <v>6.8</v>
      </c>
      <c r="R442" s="6">
        <f>RawSales[[#This Row],[Unit price]]*RawSales[[#This Row],[Quantity]]</f>
        <v>38904</v>
      </c>
      <c r="S442" s="6">
        <f>RawSales[[#This Row],[Subtotal]]*$B$1</f>
        <v>1945.2</v>
      </c>
      <c r="T442" s="6" t="b">
        <f>ROUND(RawSales[[#This Row],[Subtotal]],2)=ROUND(RawSales[[#This Row],[cogs]],2)</f>
        <v>1</v>
      </c>
      <c r="U442" s="6" t="b">
        <f>ROUND(RawSales[[#This Row],[cogs]]*0.05,2)=ROUND(RawSales[[#This Row],[Tax 5%]],2)</f>
        <v>1</v>
      </c>
      <c r="V442" s="6" t="b">
        <f>ROUND(RawSales[[#This Row],[cogs]]+RawSales[[#This Row],[Tax 5%]],2)=ROUND(RawSales[[#This Row],[Sales]],2)</f>
        <v>1</v>
      </c>
    </row>
    <row r="443" spans="1:22" x14ac:dyDescent="0.35">
      <c r="A443" s="4" t="s">
        <v>807</v>
      </c>
      <c r="B443" t="s">
        <v>38</v>
      </c>
      <c r="C443" t="s">
        <v>39</v>
      </c>
      <c r="D443" t="s">
        <v>22</v>
      </c>
      <c r="E443" t="s">
        <v>23</v>
      </c>
      <c r="F443" t="s">
        <v>32</v>
      </c>
      <c r="G443" s="6">
        <v>1053</v>
      </c>
      <c r="H443" s="7">
        <v>5</v>
      </c>
      <c r="I443" s="6">
        <v>263.25</v>
      </c>
      <c r="J443" s="6">
        <v>5528.25</v>
      </c>
      <c r="K443" s="4" t="s">
        <v>808</v>
      </c>
      <c r="L443" s="4" t="s">
        <v>809</v>
      </c>
      <c r="M443" t="s">
        <v>51</v>
      </c>
      <c r="N443" s="6">
        <v>5265</v>
      </c>
      <c r="O443">
        <v>4.7619047620000003</v>
      </c>
      <c r="P443" s="6">
        <v>263.25</v>
      </c>
      <c r="Q443">
        <v>5.8</v>
      </c>
      <c r="R443" s="6">
        <f>RawSales[[#This Row],[Unit price]]*RawSales[[#This Row],[Quantity]]</f>
        <v>5265</v>
      </c>
      <c r="S443" s="6">
        <f>RawSales[[#This Row],[Subtotal]]*$B$1</f>
        <v>263.25</v>
      </c>
      <c r="T443" s="6" t="b">
        <f>ROUND(RawSales[[#This Row],[Subtotal]],2)=ROUND(RawSales[[#This Row],[cogs]],2)</f>
        <v>1</v>
      </c>
      <c r="U443" s="6" t="b">
        <f>ROUND(RawSales[[#This Row],[cogs]]*0.05,2)=ROUND(RawSales[[#This Row],[Tax 5%]],2)</f>
        <v>1</v>
      </c>
      <c r="V443" s="6" t="b">
        <f>ROUND(RawSales[[#This Row],[cogs]]+RawSales[[#This Row],[Tax 5%]],2)=ROUND(RawSales[[#This Row],[Sales]],2)</f>
        <v>1</v>
      </c>
    </row>
    <row r="444" spans="1:22" x14ac:dyDescent="0.35">
      <c r="A444" s="4" t="s">
        <v>810</v>
      </c>
      <c r="B444" t="s">
        <v>20</v>
      </c>
      <c r="C444" t="s">
        <v>21</v>
      </c>
      <c r="D444" t="s">
        <v>30</v>
      </c>
      <c r="E444" t="s">
        <v>31</v>
      </c>
      <c r="F444" t="s">
        <v>100</v>
      </c>
      <c r="G444" s="6">
        <v>2543</v>
      </c>
      <c r="H444" s="7">
        <v>6</v>
      </c>
      <c r="I444" s="6">
        <v>762.9</v>
      </c>
      <c r="J444" s="6">
        <v>16020.9</v>
      </c>
      <c r="K444" s="5">
        <v>43507.958333333336</v>
      </c>
      <c r="L444" s="4" t="s">
        <v>811</v>
      </c>
      <c r="M444" t="s">
        <v>34</v>
      </c>
      <c r="N444" s="6">
        <v>15258</v>
      </c>
      <c r="O444">
        <v>4.7619047620000003</v>
      </c>
      <c r="P444" s="6">
        <v>762.9</v>
      </c>
      <c r="Q444">
        <v>7</v>
      </c>
      <c r="R444" s="6">
        <f>RawSales[[#This Row],[Unit price]]*RawSales[[#This Row],[Quantity]]</f>
        <v>15258</v>
      </c>
      <c r="S444" s="6">
        <f>RawSales[[#This Row],[Subtotal]]*$B$1</f>
        <v>762.90000000000009</v>
      </c>
      <c r="T444" s="6" t="b">
        <f>ROUND(RawSales[[#This Row],[Subtotal]],2)=ROUND(RawSales[[#This Row],[cogs]],2)</f>
        <v>1</v>
      </c>
      <c r="U444" s="6" t="b">
        <f>ROUND(RawSales[[#This Row],[cogs]]*0.05,2)=ROUND(RawSales[[#This Row],[Tax 5%]],2)</f>
        <v>1</v>
      </c>
      <c r="V444" s="6" t="b">
        <f>ROUND(RawSales[[#This Row],[cogs]]+RawSales[[#This Row],[Tax 5%]],2)=ROUND(RawSales[[#This Row],[Sales]],2)</f>
        <v>1</v>
      </c>
    </row>
    <row r="445" spans="1:22" x14ac:dyDescent="0.35">
      <c r="A445" s="4" t="s">
        <v>812</v>
      </c>
      <c r="B445" t="s">
        <v>20</v>
      </c>
      <c r="C445" t="s">
        <v>21</v>
      </c>
      <c r="D445" t="s">
        <v>30</v>
      </c>
      <c r="E445" t="s">
        <v>23</v>
      </c>
      <c r="F445" t="s">
        <v>40</v>
      </c>
      <c r="G445" s="6">
        <v>5023</v>
      </c>
      <c r="H445" s="7">
        <v>4</v>
      </c>
      <c r="I445" s="6">
        <v>1004.6</v>
      </c>
      <c r="J445" s="6">
        <v>21096.6</v>
      </c>
      <c r="K445" s="5">
        <v>43472.958333333336</v>
      </c>
      <c r="L445" s="4" t="s">
        <v>813</v>
      </c>
      <c r="M445" t="s">
        <v>26</v>
      </c>
      <c r="N445" s="6">
        <v>20092</v>
      </c>
      <c r="O445">
        <v>4.7619047620000003</v>
      </c>
      <c r="P445" s="6">
        <v>1004.6</v>
      </c>
      <c r="Q445">
        <v>9</v>
      </c>
      <c r="R445" s="6">
        <f>RawSales[[#This Row],[Unit price]]*RawSales[[#This Row],[Quantity]]</f>
        <v>20092</v>
      </c>
      <c r="S445" s="6">
        <f>RawSales[[#This Row],[Subtotal]]*$B$1</f>
        <v>1004.6</v>
      </c>
      <c r="T445" s="6" t="b">
        <f>ROUND(RawSales[[#This Row],[Subtotal]],2)=ROUND(RawSales[[#This Row],[cogs]],2)</f>
        <v>1</v>
      </c>
      <c r="U445" s="6" t="b">
        <f>ROUND(RawSales[[#This Row],[cogs]]*0.05,2)=ROUND(RawSales[[#This Row],[Tax 5%]],2)</f>
        <v>1</v>
      </c>
      <c r="V445" s="6" t="b">
        <f>ROUND(RawSales[[#This Row],[cogs]]+RawSales[[#This Row],[Tax 5%]],2)=ROUND(RawSales[[#This Row],[Sales]],2)</f>
        <v>1</v>
      </c>
    </row>
    <row r="446" spans="1:22" x14ac:dyDescent="0.35">
      <c r="A446" s="4" t="s">
        <v>814</v>
      </c>
      <c r="B446" t="s">
        <v>28</v>
      </c>
      <c r="C446" t="s">
        <v>29</v>
      </c>
      <c r="D446" t="s">
        <v>22</v>
      </c>
      <c r="E446" t="s">
        <v>23</v>
      </c>
      <c r="F446" t="s">
        <v>62</v>
      </c>
      <c r="G446" s="6">
        <v>6483</v>
      </c>
      <c r="H446" s="7">
        <v>2</v>
      </c>
      <c r="I446" s="6">
        <v>648.29999999999995</v>
      </c>
      <c r="J446" s="6">
        <v>13614.3</v>
      </c>
      <c r="K446" s="5">
        <v>43472.958333333336</v>
      </c>
      <c r="L446" s="4" t="s">
        <v>815</v>
      </c>
      <c r="M446" t="s">
        <v>51</v>
      </c>
      <c r="N446" s="6">
        <v>12966</v>
      </c>
      <c r="O446">
        <v>4.7619047620000003</v>
      </c>
      <c r="P446" s="6">
        <v>648.29999999999995</v>
      </c>
      <c r="Q446">
        <v>8</v>
      </c>
      <c r="R446" s="6">
        <f>RawSales[[#This Row],[Unit price]]*RawSales[[#This Row],[Quantity]]</f>
        <v>12966</v>
      </c>
      <c r="S446" s="6">
        <f>RawSales[[#This Row],[Subtotal]]*$B$1</f>
        <v>648.30000000000007</v>
      </c>
      <c r="T446" s="6" t="b">
        <f>ROUND(RawSales[[#This Row],[Subtotal]],2)=ROUND(RawSales[[#This Row],[cogs]],2)</f>
        <v>1</v>
      </c>
      <c r="U446" s="6" t="b">
        <f>ROUND(RawSales[[#This Row],[cogs]]*0.05,2)=ROUND(RawSales[[#This Row],[Tax 5%]],2)</f>
        <v>1</v>
      </c>
      <c r="V446" s="6" t="b">
        <f>ROUND(RawSales[[#This Row],[cogs]]+RawSales[[#This Row],[Tax 5%]],2)=ROUND(RawSales[[#This Row],[Sales]],2)</f>
        <v>1</v>
      </c>
    </row>
    <row r="447" spans="1:22" x14ac:dyDescent="0.35">
      <c r="A447" s="4" t="s">
        <v>816</v>
      </c>
      <c r="B447" t="s">
        <v>38</v>
      </c>
      <c r="C447" t="s">
        <v>39</v>
      </c>
      <c r="D447" t="s">
        <v>30</v>
      </c>
      <c r="E447" t="s">
        <v>31</v>
      </c>
      <c r="F447" t="s">
        <v>49</v>
      </c>
      <c r="G447" s="6">
        <v>4574</v>
      </c>
      <c r="H447" s="7">
        <v>3</v>
      </c>
      <c r="I447" s="6">
        <v>686.1</v>
      </c>
      <c r="J447" s="6">
        <v>14408.1</v>
      </c>
      <c r="K447" s="5">
        <v>43533.958333333336</v>
      </c>
      <c r="L447" s="4" t="s">
        <v>138</v>
      </c>
      <c r="M447" t="s">
        <v>51</v>
      </c>
      <c r="N447" s="6">
        <v>13722</v>
      </c>
      <c r="O447">
        <v>4.7619047620000003</v>
      </c>
      <c r="P447" s="6">
        <v>686.1</v>
      </c>
      <c r="Q447">
        <v>6.5</v>
      </c>
      <c r="R447" s="6">
        <f>RawSales[[#This Row],[Unit price]]*RawSales[[#This Row],[Quantity]]</f>
        <v>13722</v>
      </c>
      <c r="S447" s="6">
        <f>RawSales[[#This Row],[Subtotal]]*$B$1</f>
        <v>686.1</v>
      </c>
      <c r="T447" s="6" t="b">
        <f>ROUND(RawSales[[#This Row],[Subtotal]],2)=ROUND(RawSales[[#This Row],[cogs]],2)</f>
        <v>1</v>
      </c>
      <c r="U447" s="6" t="b">
        <f>ROUND(RawSales[[#This Row],[cogs]]*0.05,2)=ROUND(RawSales[[#This Row],[Tax 5%]],2)</f>
        <v>1</v>
      </c>
      <c r="V447" s="6" t="b">
        <f>ROUND(RawSales[[#This Row],[cogs]]+RawSales[[#This Row],[Tax 5%]],2)=ROUND(RawSales[[#This Row],[Sales]],2)</f>
        <v>1</v>
      </c>
    </row>
    <row r="448" spans="1:22" x14ac:dyDescent="0.35">
      <c r="A448" s="4" t="s">
        <v>817</v>
      </c>
      <c r="B448" t="s">
        <v>38</v>
      </c>
      <c r="C448" t="s">
        <v>39</v>
      </c>
      <c r="D448" t="s">
        <v>22</v>
      </c>
      <c r="E448" t="s">
        <v>31</v>
      </c>
      <c r="F448" t="s">
        <v>24</v>
      </c>
      <c r="G448" s="6">
        <v>6898</v>
      </c>
      <c r="H448" s="7">
        <v>1</v>
      </c>
      <c r="I448" s="6">
        <v>344.9</v>
      </c>
      <c r="J448" s="6">
        <v>7242.9</v>
      </c>
      <c r="K448" s="5">
        <v>43485.958333333336</v>
      </c>
      <c r="L448" s="4" t="s">
        <v>192</v>
      </c>
      <c r="M448" t="s">
        <v>26</v>
      </c>
      <c r="N448" s="6">
        <v>6898</v>
      </c>
      <c r="O448">
        <v>4.7619047620000003</v>
      </c>
      <c r="P448" s="6">
        <v>344.9</v>
      </c>
      <c r="Q448">
        <v>4.8</v>
      </c>
      <c r="R448" s="6">
        <f>RawSales[[#This Row],[Unit price]]*RawSales[[#This Row],[Quantity]]</f>
        <v>6898</v>
      </c>
      <c r="S448" s="6">
        <f>RawSales[[#This Row],[Subtotal]]*$B$1</f>
        <v>344.90000000000003</v>
      </c>
      <c r="T448" s="6" t="b">
        <f>ROUND(RawSales[[#This Row],[Subtotal]],2)=ROUND(RawSales[[#This Row],[cogs]],2)</f>
        <v>1</v>
      </c>
      <c r="U448" s="6" t="b">
        <f>ROUND(RawSales[[#This Row],[cogs]]*0.05,2)=ROUND(RawSales[[#This Row],[Tax 5%]],2)</f>
        <v>1</v>
      </c>
      <c r="V448" s="6" t="b">
        <f>ROUND(RawSales[[#This Row],[cogs]]+RawSales[[#This Row],[Tax 5%]],2)=ROUND(RawSales[[#This Row],[Sales]],2)</f>
        <v>1</v>
      </c>
    </row>
    <row r="449" spans="1:22" x14ac:dyDescent="0.35">
      <c r="A449" s="4" t="s">
        <v>818</v>
      </c>
      <c r="B449" t="s">
        <v>28</v>
      </c>
      <c r="C449" t="s">
        <v>29</v>
      </c>
      <c r="D449" t="s">
        <v>30</v>
      </c>
      <c r="E449" t="s">
        <v>31</v>
      </c>
      <c r="F449" t="s">
        <v>62</v>
      </c>
      <c r="G449" s="6">
        <v>9774</v>
      </c>
      <c r="H449" s="7">
        <v>4</v>
      </c>
      <c r="I449" s="6">
        <v>1954.8</v>
      </c>
      <c r="J449" s="6">
        <v>41050.800000000003</v>
      </c>
      <c r="K449" s="5">
        <v>43535.958333333336</v>
      </c>
      <c r="L449" s="4" t="s">
        <v>819</v>
      </c>
      <c r="M449" t="s">
        <v>34</v>
      </c>
      <c r="N449" s="6">
        <v>39096</v>
      </c>
      <c r="O449">
        <v>4.7619047620000003</v>
      </c>
      <c r="P449" s="6">
        <v>1954.8</v>
      </c>
      <c r="Q449">
        <v>6.4</v>
      </c>
      <c r="R449" s="6">
        <f>RawSales[[#This Row],[Unit price]]*RawSales[[#This Row],[Quantity]]</f>
        <v>39096</v>
      </c>
      <c r="S449" s="6">
        <f>RawSales[[#This Row],[Subtotal]]*$B$1</f>
        <v>1954.8000000000002</v>
      </c>
      <c r="T449" s="6" t="b">
        <f>ROUND(RawSales[[#This Row],[Subtotal]],2)=ROUND(RawSales[[#This Row],[cogs]],2)</f>
        <v>1</v>
      </c>
      <c r="U449" s="6" t="b">
        <f>ROUND(RawSales[[#This Row],[cogs]]*0.05,2)=ROUND(RawSales[[#This Row],[Tax 5%]],2)</f>
        <v>1</v>
      </c>
      <c r="V449" s="6" t="b">
        <f>ROUND(RawSales[[#This Row],[cogs]]+RawSales[[#This Row],[Tax 5%]],2)=ROUND(RawSales[[#This Row],[Sales]],2)</f>
        <v>1</v>
      </c>
    </row>
    <row r="450" spans="1:22" x14ac:dyDescent="0.35">
      <c r="A450" s="4" t="s">
        <v>820</v>
      </c>
      <c r="B450" t="s">
        <v>20</v>
      </c>
      <c r="C450" t="s">
        <v>21</v>
      </c>
      <c r="D450" t="s">
        <v>30</v>
      </c>
      <c r="E450" t="s">
        <v>23</v>
      </c>
      <c r="F450" t="s">
        <v>55</v>
      </c>
      <c r="G450" s="6">
        <v>2529</v>
      </c>
      <c r="H450" s="7">
        <v>1</v>
      </c>
      <c r="I450" s="6">
        <v>126.45</v>
      </c>
      <c r="J450" s="6">
        <v>2655.45</v>
      </c>
      <c r="K450" s="5">
        <v>43546.958333333336</v>
      </c>
      <c r="L450" s="4" t="s">
        <v>56</v>
      </c>
      <c r="M450" t="s">
        <v>34</v>
      </c>
      <c r="N450" s="6">
        <v>2529</v>
      </c>
      <c r="O450">
        <v>4.7619047620000003</v>
      </c>
      <c r="P450" s="6">
        <v>126.45</v>
      </c>
      <c r="Q450">
        <v>6.1</v>
      </c>
      <c r="R450" s="6">
        <f>RawSales[[#This Row],[Unit price]]*RawSales[[#This Row],[Quantity]]</f>
        <v>2529</v>
      </c>
      <c r="S450" s="6">
        <f>RawSales[[#This Row],[Subtotal]]*$B$1</f>
        <v>126.45</v>
      </c>
      <c r="T450" s="6" t="b">
        <f>ROUND(RawSales[[#This Row],[Subtotal]],2)=ROUND(RawSales[[#This Row],[cogs]],2)</f>
        <v>1</v>
      </c>
      <c r="U450" s="6" t="b">
        <f>ROUND(RawSales[[#This Row],[cogs]]*0.05,2)=ROUND(RawSales[[#This Row],[Tax 5%]],2)</f>
        <v>1</v>
      </c>
      <c r="V450" s="6" t="b">
        <f>ROUND(RawSales[[#This Row],[cogs]]+RawSales[[#This Row],[Tax 5%]],2)=ROUND(RawSales[[#This Row],[Sales]],2)</f>
        <v>1</v>
      </c>
    </row>
    <row r="451" spans="1:22" x14ac:dyDescent="0.35">
      <c r="A451" s="4" t="s">
        <v>821</v>
      </c>
      <c r="B451" t="s">
        <v>20</v>
      </c>
      <c r="C451" t="s">
        <v>21</v>
      </c>
      <c r="D451" t="s">
        <v>22</v>
      </c>
      <c r="E451" t="s">
        <v>31</v>
      </c>
      <c r="F451" t="s">
        <v>40</v>
      </c>
      <c r="G451" s="6">
        <v>6958</v>
      </c>
      <c r="H451" s="7">
        <v>9</v>
      </c>
      <c r="I451" s="6">
        <v>3131.1</v>
      </c>
      <c r="J451" s="6">
        <v>65753.100000000006</v>
      </c>
      <c r="K451" s="5">
        <v>43514.958333333336</v>
      </c>
      <c r="L451" s="4" t="s">
        <v>216</v>
      </c>
      <c r="M451" t="s">
        <v>51</v>
      </c>
      <c r="N451" s="6">
        <v>62622</v>
      </c>
      <c r="O451">
        <v>4.7619047620000003</v>
      </c>
      <c r="P451" s="6">
        <v>3131.1</v>
      </c>
      <c r="Q451">
        <v>7.8</v>
      </c>
      <c r="R451" s="6">
        <f>RawSales[[#This Row],[Unit price]]*RawSales[[#This Row],[Quantity]]</f>
        <v>62622</v>
      </c>
      <c r="S451" s="6">
        <f>RawSales[[#This Row],[Subtotal]]*$B$1</f>
        <v>3131.1000000000004</v>
      </c>
      <c r="T451" s="6" t="b">
        <f>ROUND(RawSales[[#This Row],[Subtotal]],2)=ROUND(RawSales[[#This Row],[cogs]],2)</f>
        <v>1</v>
      </c>
      <c r="U451" s="6" t="b">
        <f>ROUND(RawSales[[#This Row],[cogs]]*0.05,2)=ROUND(RawSales[[#This Row],[Tax 5%]],2)</f>
        <v>1</v>
      </c>
      <c r="V451" s="6" t="b">
        <f>ROUND(RawSales[[#This Row],[cogs]]+RawSales[[#This Row],[Tax 5%]],2)=ROUND(RawSales[[#This Row],[Sales]],2)</f>
        <v>1</v>
      </c>
    </row>
    <row r="452" spans="1:22" x14ac:dyDescent="0.35">
      <c r="A452" s="4" t="s">
        <v>822</v>
      </c>
      <c r="B452" t="s">
        <v>20</v>
      </c>
      <c r="C452" t="s">
        <v>21</v>
      </c>
      <c r="D452" t="s">
        <v>22</v>
      </c>
      <c r="E452" t="s">
        <v>23</v>
      </c>
      <c r="F452" t="s">
        <v>46</v>
      </c>
      <c r="G452" s="6">
        <v>7877</v>
      </c>
      <c r="H452" s="7">
        <v>10</v>
      </c>
      <c r="I452" s="6">
        <v>3938.5</v>
      </c>
      <c r="J452" s="6">
        <v>82708.5</v>
      </c>
      <c r="K452" s="5">
        <v>43488.958333333336</v>
      </c>
      <c r="L452" s="4" t="s">
        <v>823</v>
      </c>
      <c r="M452" t="s">
        <v>26</v>
      </c>
      <c r="N452" s="6">
        <v>78770</v>
      </c>
      <c r="O452">
        <v>4.7619047620000003</v>
      </c>
      <c r="P452" s="6">
        <v>3938.5</v>
      </c>
      <c r="Q452">
        <v>6.4</v>
      </c>
      <c r="R452" s="6">
        <f>RawSales[[#This Row],[Unit price]]*RawSales[[#This Row],[Quantity]]</f>
        <v>78770</v>
      </c>
      <c r="S452" s="6">
        <f>RawSales[[#This Row],[Subtotal]]*$B$1</f>
        <v>3938.5</v>
      </c>
      <c r="T452" s="6" t="b">
        <f>ROUND(RawSales[[#This Row],[Subtotal]],2)=ROUND(RawSales[[#This Row],[cogs]],2)</f>
        <v>1</v>
      </c>
      <c r="U452" s="6" t="b">
        <f>ROUND(RawSales[[#This Row],[cogs]]*0.05,2)=ROUND(RawSales[[#This Row],[Tax 5%]],2)</f>
        <v>1</v>
      </c>
      <c r="V452" s="6" t="b">
        <f>ROUND(RawSales[[#This Row],[cogs]]+RawSales[[#This Row],[Tax 5%]],2)=ROUND(RawSales[[#This Row],[Sales]],2)</f>
        <v>1</v>
      </c>
    </row>
    <row r="453" spans="1:22" x14ac:dyDescent="0.35">
      <c r="A453" s="4" t="s">
        <v>824</v>
      </c>
      <c r="B453" t="s">
        <v>20</v>
      </c>
      <c r="C453" t="s">
        <v>21</v>
      </c>
      <c r="D453" t="s">
        <v>22</v>
      </c>
      <c r="E453" t="s">
        <v>31</v>
      </c>
      <c r="F453" t="s">
        <v>49</v>
      </c>
      <c r="G453" s="6">
        <v>4313</v>
      </c>
      <c r="H453" s="7">
        <v>10</v>
      </c>
      <c r="I453" s="6">
        <v>2156.5</v>
      </c>
      <c r="J453" s="6">
        <v>45286.5</v>
      </c>
      <c r="K453" s="5">
        <v>43497.958333333336</v>
      </c>
      <c r="L453" s="4" t="s">
        <v>825</v>
      </c>
      <c r="M453" t="s">
        <v>51</v>
      </c>
      <c r="N453" s="6">
        <v>43130</v>
      </c>
      <c r="O453">
        <v>4.7619047620000003</v>
      </c>
      <c r="P453" s="6">
        <v>2156.5</v>
      </c>
      <c r="Q453">
        <v>5.5</v>
      </c>
      <c r="R453" s="6">
        <f>RawSales[[#This Row],[Unit price]]*RawSales[[#This Row],[Quantity]]</f>
        <v>43130</v>
      </c>
      <c r="S453" s="6">
        <f>RawSales[[#This Row],[Subtotal]]*$B$1</f>
        <v>2156.5</v>
      </c>
      <c r="T453" s="6" t="b">
        <f>ROUND(RawSales[[#This Row],[Subtotal]],2)=ROUND(RawSales[[#This Row],[cogs]],2)</f>
        <v>1</v>
      </c>
      <c r="U453" s="6" t="b">
        <f>ROUND(RawSales[[#This Row],[cogs]]*0.05,2)=ROUND(RawSales[[#This Row],[Tax 5%]],2)</f>
        <v>1</v>
      </c>
      <c r="V453" s="6" t="b">
        <f>ROUND(RawSales[[#This Row],[cogs]]+RawSales[[#This Row],[Tax 5%]],2)=ROUND(RawSales[[#This Row],[Sales]],2)</f>
        <v>1</v>
      </c>
    </row>
    <row r="454" spans="1:22" x14ac:dyDescent="0.35">
      <c r="A454" s="4" t="s">
        <v>826</v>
      </c>
      <c r="B454" t="s">
        <v>20</v>
      </c>
      <c r="C454" t="s">
        <v>21</v>
      </c>
      <c r="D454" t="s">
        <v>30</v>
      </c>
      <c r="E454" t="s">
        <v>23</v>
      </c>
      <c r="F454" t="s">
        <v>49</v>
      </c>
      <c r="G454" s="6">
        <v>5428</v>
      </c>
      <c r="H454" s="7">
        <v>7</v>
      </c>
      <c r="I454" s="6">
        <v>1899.8</v>
      </c>
      <c r="J454" s="6">
        <v>39895.800000000003</v>
      </c>
      <c r="K454" s="5">
        <v>43491.958333333336</v>
      </c>
      <c r="L454" s="4" t="s">
        <v>827</v>
      </c>
      <c r="M454" t="s">
        <v>34</v>
      </c>
      <c r="N454" s="6">
        <v>37996</v>
      </c>
      <c r="O454">
        <v>4.7619047620000003</v>
      </c>
      <c r="P454" s="6">
        <v>1899.8</v>
      </c>
      <c r="Q454">
        <v>9.3000000000000007</v>
      </c>
      <c r="R454" s="6">
        <f>RawSales[[#This Row],[Unit price]]*RawSales[[#This Row],[Quantity]]</f>
        <v>37996</v>
      </c>
      <c r="S454" s="6">
        <f>RawSales[[#This Row],[Subtotal]]*$B$1</f>
        <v>1899.8000000000002</v>
      </c>
      <c r="T454" s="6" t="b">
        <f>ROUND(RawSales[[#This Row],[Subtotal]],2)=ROUND(RawSales[[#This Row],[cogs]],2)</f>
        <v>1</v>
      </c>
      <c r="U454" s="6" t="b">
        <f>ROUND(RawSales[[#This Row],[cogs]]*0.05,2)=ROUND(RawSales[[#This Row],[Tax 5%]],2)</f>
        <v>1</v>
      </c>
      <c r="V454" s="6" t="b">
        <f>ROUND(RawSales[[#This Row],[cogs]]+RawSales[[#This Row],[Tax 5%]],2)=ROUND(RawSales[[#This Row],[Sales]],2)</f>
        <v>1</v>
      </c>
    </row>
    <row r="455" spans="1:22" x14ac:dyDescent="0.35">
      <c r="A455" s="4" t="s">
        <v>828</v>
      </c>
      <c r="B455" t="s">
        <v>38</v>
      </c>
      <c r="C455" t="s">
        <v>39</v>
      </c>
      <c r="D455" t="s">
        <v>22</v>
      </c>
      <c r="E455" t="s">
        <v>23</v>
      </c>
      <c r="F455" t="s">
        <v>24</v>
      </c>
      <c r="G455" s="6">
        <v>8710</v>
      </c>
      <c r="H455" s="7">
        <v>10</v>
      </c>
      <c r="I455" s="6">
        <v>4355</v>
      </c>
      <c r="J455" s="6">
        <v>91455</v>
      </c>
      <c r="K455" s="5">
        <v>43507.958333333336</v>
      </c>
      <c r="L455" s="4" t="s">
        <v>829</v>
      </c>
      <c r="M455" t="s">
        <v>51</v>
      </c>
      <c r="N455" s="6">
        <v>87100</v>
      </c>
      <c r="O455">
        <v>4.7619047620000003</v>
      </c>
      <c r="P455" s="6">
        <v>4355</v>
      </c>
      <c r="Q455">
        <v>9.9</v>
      </c>
      <c r="R455" s="6">
        <f>RawSales[[#This Row],[Unit price]]*RawSales[[#This Row],[Quantity]]</f>
        <v>87100</v>
      </c>
      <c r="S455" s="6">
        <f>RawSales[[#This Row],[Subtotal]]*$B$1</f>
        <v>4355</v>
      </c>
      <c r="T455" s="6" t="b">
        <f>ROUND(RawSales[[#This Row],[Subtotal]],2)=ROUND(RawSales[[#This Row],[cogs]],2)</f>
        <v>1</v>
      </c>
      <c r="U455" s="6" t="b">
        <f>ROUND(RawSales[[#This Row],[cogs]]*0.05,2)=ROUND(RawSales[[#This Row],[Tax 5%]],2)</f>
        <v>1</v>
      </c>
      <c r="V455" s="6" t="b">
        <f>ROUND(RawSales[[#This Row],[cogs]]+RawSales[[#This Row],[Tax 5%]],2)=ROUND(RawSales[[#This Row],[Sales]],2)</f>
        <v>1</v>
      </c>
    </row>
    <row r="456" spans="1:22" x14ac:dyDescent="0.35">
      <c r="A456" s="4" t="s">
        <v>830</v>
      </c>
      <c r="B456" t="s">
        <v>28</v>
      </c>
      <c r="C456" t="s">
        <v>29</v>
      </c>
      <c r="D456" t="s">
        <v>22</v>
      </c>
      <c r="E456" t="s">
        <v>23</v>
      </c>
      <c r="F456" t="s">
        <v>24</v>
      </c>
      <c r="G456" s="6">
        <v>7720</v>
      </c>
      <c r="H456" s="7">
        <v>10</v>
      </c>
      <c r="I456" s="6">
        <v>3860</v>
      </c>
      <c r="J456" s="6">
        <v>81060</v>
      </c>
      <c r="K456" s="5">
        <v>43506.958333333336</v>
      </c>
      <c r="L456" s="4" t="s">
        <v>182</v>
      </c>
      <c r="M456" t="s">
        <v>51</v>
      </c>
      <c r="N456" s="6">
        <v>77200</v>
      </c>
      <c r="O456">
        <v>4.7619047620000003</v>
      </c>
      <c r="P456" s="6">
        <v>3860</v>
      </c>
      <c r="Q456">
        <v>5.6</v>
      </c>
      <c r="R456" s="6">
        <f>RawSales[[#This Row],[Unit price]]*RawSales[[#This Row],[Quantity]]</f>
        <v>77200</v>
      </c>
      <c r="S456" s="6">
        <f>RawSales[[#This Row],[Subtotal]]*$B$1</f>
        <v>3860</v>
      </c>
      <c r="T456" s="6" t="b">
        <f>ROUND(RawSales[[#This Row],[Subtotal]],2)=ROUND(RawSales[[#This Row],[cogs]],2)</f>
        <v>1</v>
      </c>
      <c r="U456" s="6" t="b">
        <f>ROUND(RawSales[[#This Row],[cogs]]*0.05,2)=ROUND(RawSales[[#This Row],[Tax 5%]],2)</f>
        <v>1</v>
      </c>
      <c r="V456" s="6" t="b">
        <f>ROUND(RawSales[[#This Row],[cogs]]+RawSales[[#This Row],[Tax 5%]],2)=ROUND(RawSales[[#This Row],[Sales]],2)</f>
        <v>1</v>
      </c>
    </row>
    <row r="457" spans="1:22" x14ac:dyDescent="0.35">
      <c r="A457" s="4" t="s">
        <v>831</v>
      </c>
      <c r="B457" t="s">
        <v>38</v>
      </c>
      <c r="C457" t="s">
        <v>39</v>
      </c>
      <c r="D457" t="s">
        <v>22</v>
      </c>
      <c r="E457" t="s">
        <v>23</v>
      </c>
      <c r="F457" t="s">
        <v>43</v>
      </c>
      <c r="G457" s="6">
        <v>8151</v>
      </c>
      <c r="H457" s="7">
        <v>1</v>
      </c>
      <c r="I457" s="6">
        <v>407.55</v>
      </c>
      <c r="J457" s="6">
        <v>8558.5499999999993</v>
      </c>
      <c r="K457" s="5">
        <v>43486.958333333336</v>
      </c>
      <c r="L457" s="4" t="s">
        <v>266</v>
      </c>
      <c r="M457" t="s">
        <v>34</v>
      </c>
      <c r="N457" s="6">
        <v>8151</v>
      </c>
      <c r="O457">
        <v>4.7619047620000003</v>
      </c>
      <c r="P457" s="6">
        <v>407.55</v>
      </c>
      <c r="Q457">
        <v>9.1999999999999993</v>
      </c>
      <c r="R457" s="6">
        <f>RawSales[[#This Row],[Unit price]]*RawSales[[#This Row],[Quantity]]</f>
        <v>8151</v>
      </c>
      <c r="S457" s="6">
        <f>RawSales[[#This Row],[Subtotal]]*$B$1</f>
        <v>407.55</v>
      </c>
      <c r="T457" s="6" t="b">
        <f>ROUND(RawSales[[#This Row],[Subtotal]],2)=ROUND(RawSales[[#This Row],[cogs]],2)</f>
        <v>1</v>
      </c>
      <c r="U457" s="6" t="b">
        <f>ROUND(RawSales[[#This Row],[cogs]]*0.05,2)=ROUND(RawSales[[#This Row],[Tax 5%]],2)</f>
        <v>1</v>
      </c>
      <c r="V457" s="6" t="b">
        <f>ROUND(RawSales[[#This Row],[cogs]]+RawSales[[#This Row],[Tax 5%]],2)=ROUND(RawSales[[#This Row],[Sales]],2)</f>
        <v>1</v>
      </c>
    </row>
    <row r="458" spans="1:22" x14ac:dyDescent="0.35">
      <c r="A458" s="4" t="s">
        <v>832</v>
      </c>
      <c r="B458" t="s">
        <v>28</v>
      </c>
      <c r="C458" t="s">
        <v>29</v>
      </c>
      <c r="D458" t="s">
        <v>30</v>
      </c>
      <c r="E458" t="s">
        <v>31</v>
      </c>
      <c r="F458" t="s">
        <v>43</v>
      </c>
      <c r="G458" s="6">
        <v>1075</v>
      </c>
      <c r="H458" s="7">
        <v>8</v>
      </c>
      <c r="I458" s="6">
        <v>430</v>
      </c>
      <c r="J458" s="6">
        <v>9030</v>
      </c>
      <c r="K458" s="5">
        <v>43538.958333333336</v>
      </c>
      <c r="L458" s="4" t="s">
        <v>147</v>
      </c>
      <c r="M458" t="s">
        <v>34</v>
      </c>
      <c r="N458" s="6">
        <v>8600</v>
      </c>
      <c r="O458">
        <v>4.7619047620000003</v>
      </c>
      <c r="P458" s="6">
        <v>430</v>
      </c>
      <c r="Q458">
        <v>6.2</v>
      </c>
      <c r="R458" s="6">
        <f>RawSales[[#This Row],[Unit price]]*RawSales[[#This Row],[Quantity]]</f>
        <v>8600</v>
      </c>
      <c r="S458" s="6">
        <f>RawSales[[#This Row],[Subtotal]]*$B$1</f>
        <v>430</v>
      </c>
      <c r="T458" s="6" t="b">
        <f>ROUND(RawSales[[#This Row],[Subtotal]],2)=ROUND(RawSales[[#This Row],[cogs]],2)</f>
        <v>1</v>
      </c>
      <c r="U458" s="6" t="b">
        <f>ROUND(RawSales[[#This Row],[cogs]]*0.05,2)=ROUND(RawSales[[#This Row],[Tax 5%]],2)</f>
        <v>1</v>
      </c>
      <c r="V458" s="6" t="b">
        <f>ROUND(RawSales[[#This Row],[cogs]]+RawSales[[#This Row],[Tax 5%]],2)=ROUND(RawSales[[#This Row],[Sales]],2)</f>
        <v>1</v>
      </c>
    </row>
    <row r="459" spans="1:22" x14ac:dyDescent="0.35">
      <c r="A459" s="4" t="s">
        <v>833</v>
      </c>
      <c r="B459" t="s">
        <v>38</v>
      </c>
      <c r="C459" t="s">
        <v>39</v>
      </c>
      <c r="D459" t="s">
        <v>30</v>
      </c>
      <c r="E459" t="s">
        <v>23</v>
      </c>
      <c r="F459" t="s">
        <v>49</v>
      </c>
      <c r="G459" s="6">
        <v>2382</v>
      </c>
      <c r="H459" s="7">
        <v>5</v>
      </c>
      <c r="I459" s="6">
        <v>595.5</v>
      </c>
      <c r="J459" s="6">
        <v>12505.5</v>
      </c>
      <c r="K459" s="5">
        <v>43492.958333333336</v>
      </c>
      <c r="L459" s="4" t="s">
        <v>834</v>
      </c>
      <c r="M459" t="s">
        <v>34</v>
      </c>
      <c r="N459" s="6">
        <v>11910</v>
      </c>
      <c r="O459">
        <v>4.7619047620000003</v>
      </c>
      <c r="P459" s="6">
        <v>595.5</v>
      </c>
      <c r="Q459">
        <v>5.4</v>
      </c>
      <c r="R459" s="6">
        <f>RawSales[[#This Row],[Unit price]]*RawSales[[#This Row],[Quantity]]</f>
        <v>11910</v>
      </c>
      <c r="S459" s="6">
        <f>RawSales[[#This Row],[Subtotal]]*$B$1</f>
        <v>595.5</v>
      </c>
      <c r="T459" s="6" t="b">
        <f>ROUND(RawSales[[#This Row],[Subtotal]],2)=ROUND(RawSales[[#This Row],[cogs]],2)</f>
        <v>1</v>
      </c>
      <c r="U459" s="6" t="b">
        <f>ROUND(RawSales[[#This Row],[cogs]]*0.05,2)=ROUND(RawSales[[#This Row],[Tax 5%]],2)</f>
        <v>1</v>
      </c>
      <c r="V459" s="6" t="b">
        <f>ROUND(RawSales[[#This Row],[cogs]]+RawSales[[#This Row],[Tax 5%]],2)=ROUND(RawSales[[#This Row],[Sales]],2)</f>
        <v>1</v>
      </c>
    </row>
    <row r="460" spans="1:22" x14ac:dyDescent="0.35">
      <c r="A460" s="4" t="s">
        <v>835</v>
      </c>
      <c r="B460" t="s">
        <v>28</v>
      </c>
      <c r="C460" t="s">
        <v>29</v>
      </c>
      <c r="D460" t="s">
        <v>22</v>
      </c>
      <c r="E460" t="s">
        <v>31</v>
      </c>
      <c r="F460" t="s">
        <v>32</v>
      </c>
      <c r="G460" s="6">
        <v>4647</v>
      </c>
      <c r="H460" s="7">
        <v>4</v>
      </c>
      <c r="I460" s="6">
        <v>929.4</v>
      </c>
      <c r="J460" s="6">
        <v>19517.400000000001</v>
      </c>
      <c r="K460" s="5">
        <v>43503.958333333336</v>
      </c>
      <c r="L460" s="4" t="s">
        <v>836</v>
      </c>
      <c r="M460" t="s">
        <v>26</v>
      </c>
      <c r="N460" s="6">
        <v>18588</v>
      </c>
      <c r="O460">
        <v>4.7619047620000003</v>
      </c>
      <c r="P460" s="6">
        <v>929.4</v>
      </c>
      <c r="Q460">
        <v>7</v>
      </c>
      <c r="R460" s="6">
        <f>RawSales[[#This Row],[Unit price]]*RawSales[[#This Row],[Quantity]]</f>
        <v>18588</v>
      </c>
      <c r="S460" s="6">
        <f>RawSales[[#This Row],[Subtotal]]*$B$1</f>
        <v>929.40000000000009</v>
      </c>
      <c r="T460" s="6" t="b">
        <f>ROUND(RawSales[[#This Row],[Subtotal]],2)=ROUND(RawSales[[#This Row],[cogs]],2)</f>
        <v>1</v>
      </c>
      <c r="U460" s="6" t="b">
        <f>ROUND(RawSales[[#This Row],[cogs]]*0.05,2)=ROUND(RawSales[[#This Row],[Tax 5%]],2)</f>
        <v>1</v>
      </c>
      <c r="V460" s="6" t="b">
        <f>ROUND(RawSales[[#This Row],[cogs]]+RawSales[[#This Row],[Tax 5%]],2)=ROUND(RawSales[[#This Row],[Sales]],2)</f>
        <v>1</v>
      </c>
    </row>
    <row r="461" spans="1:22" x14ac:dyDescent="0.35">
      <c r="A461" s="4" t="s">
        <v>837</v>
      </c>
      <c r="B461" t="s">
        <v>20</v>
      </c>
      <c r="C461" t="s">
        <v>21</v>
      </c>
      <c r="D461" t="s">
        <v>30</v>
      </c>
      <c r="E461" t="s">
        <v>23</v>
      </c>
      <c r="F461" t="s">
        <v>24</v>
      </c>
      <c r="G461" s="6">
        <v>5427</v>
      </c>
      <c r="H461" s="7">
        <v>5</v>
      </c>
      <c r="I461" s="6">
        <v>1356.75</v>
      </c>
      <c r="J461" s="6">
        <v>28491.75</v>
      </c>
      <c r="K461" s="5">
        <v>43536.958333333336</v>
      </c>
      <c r="L461" s="4" t="s">
        <v>36</v>
      </c>
      <c r="M461" t="s">
        <v>34</v>
      </c>
      <c r="N461" s="6">
        <v>27135</v>
      </c>
      <c r="O461">
        <v>4.7619047620000003</v>
      </c>
      <c r="P461" s="6">
        <v>1356.75</v>
      </c>
      <c r="Q461">
        <v>4.5999999999999996</v>
      </c>
      <c r="R461" s="6">
        <f>RawSales[[#This Row],[Unit price]]*RawSales[[#This Row],[Quantity]]</f>
        <v>27135</v>
      </c>
      <c r="S461" s="6">
        <f>RawSales[[#This Row],[Subtotal]]*$B$1</f>
        <v>1356.75</v>
      </c>
      <c r="T461" s="6" t="b">
        <f>ROUND(RawSales[[#This Row],[Subtotal]],2)=ROUND(RawSales[[#This Row],[cogs]],2)</f>
        <v>1</v>
      </c>
      <c r="U461" s="6" t="b">
        <f>ROUND(RawSales[[#This Row],[cogs]]*0.05,2)=ROUND(RawSales[[#This Row],[Tax 5%]],2)</f>
        <v>1</v>
      </c>
      <c r="V461" s="6" t="b">
        <f>ROUND(RawSales[[#This Row],[cogs]]+RawSales[[#This Row],[Tax 5%]],2)=ROUND(RawSales[[#This Row],[Sales]],2)</f>
        <v>1</v>
      </c>
    </row>
    <row r="462" spans="1:22" x14ac:dyDescent="0.35">
      <c r="A462" s="4" t="s">
        <v>838</v>
      </c>
      <c r="B462" t="s">
        <v>28</v>
      </c>
      <c r="C462" t="s">
        <v>29</v>
      </c>
      <c r="D462" t="s">
        <v>30</v>
      </c>
      <c r="E462" t="s">
        <v>31</v>
      </c>
      <c r="F462" t="s">
        <v>62</v>
      </c>
      <c r="G462" s="6">
        <v>8845</v>
      </c>
      <c r="H462" s="7">
        <v>1</v>
      </c>
      <c r="I462" s="6">
        <v>442.25</v>
      </c>
      <c r="J462" s="6">
        <v>9287.25</v>
      </c>
      <c r="K462" s="5">
        <v>43520.958333333336</v>
      </c>
      <c r="L462" s="4" t="s">
        <v>261</v>
      </c>
      <c r="M462" t="s">
        <v>51</v>
      </c>
      <c r="N462" s="6">
        <v>8845</v>
      </c>
      <c r="O462">
        <v>4.7619047620000003</v>
      </c>
      <c r="P462" s="6">
        <v>442.25</v>
      </c>
      <c r="Q462">
        <v>9.5</v>
      </c>
      <c r="R462" s="6">
        <f>RawSales[[#This Row],[Unit price]]*RawSales[[#This Row],[Quantity]]</f>
        <v>8845</v>
      </c>
      <c r="S462" s="6">
        <f>RawSales[[#This Row],[Subtotal]]*$B$1</f>
        <v>442.25</v>
      </c>
      <c r="T462" s="6" t="b">
        <f>ROUND(RawSales[[#This Row],[Subtotal]],2)=ROUND(RawSales[[#This Row],[cogs]],2)</f>
        <v>1</v>
      </c>
      <c r="U462" s="6" t="b">
        <f>ROUND(RawSales[[#This Row],[cogs]]*0.05,2)=ROUND(RawSales[[#This Row],[Tax 5%]],2)</f>
        <v>1</v>
      </c>
      <c r="V462" s="6" t="b">
        <f>ROUND(RawSales[[#This Row],[cogs]]+RawSales[[#This Row],[Tax 5%]],2)=ROUND(RawSales[[#This Row],[Sales]],2)</f>
        <v>1</v>
      </c>
    </row>
    <row r="463" spans="1:22" x14ac:dyDescent="0.35">
      <c r="A463" s="4" t="s">
        <v>839</v>
      </c>
      <c r="B463" t="s">
        <v>28</v>
      </c>
      <c r="C463" t="s">
        <v>29</v>
      </c>
      <c r="D463" t="s">
        <v>30</v>
      </c>
      <c r="E463" t="s">
        <v>23</v>
      </c>
      <c r="F463" t="s">
        <v>32</v>
      </c>
      <c r="G463" s="6">
        <v>4901</v>
      </c>
      <c r="H463" s="7">
        <v>10</v>
      </c>
      <c r="I463" s="6">
        <v>2450.5</v>
      </c>
      <c r="J463" s="6">
        <v>51460.5</v>
      </c>
      <c r="K463" s="5">
        <v>43491.958333333336</v>
      </c>
      <c r="L463" s="4" t="s">
        <v>840</v>
      </c>
      <c r="M463" t="s">
        <v>51</v>
      </c>
      <c r="N463" s="6">
        <v>49010</v>
      </c>
      <c r="O463">
        <v>4.7619047620000003</v>
      </c>
      <c r="P463" s="6">
        <v>2450.5</v>
      </c>
      <c r="Q463">
        <v>4.2</v>
      </c>
      <c r="R463" s="6">
        <f>RawSales[[#This Row],[Unit price]]*RawSales[[#This Row],[Quantity]]</f>
        <v>49010</v>
      </c>
      <c r="S463" s="6">
        <f>RawSales[[#This Row],[Subtotal]]*$B$1</f>
        <v>2450.5</v>
      </c>
      <c r="T463" s="6" t="b">
        <f>ROUND(RawSales[[#This Row],[Subtotal]],2)=ROUND(RawSales[[#This Row],[cogs]],2)</f>
        <v>1</v>
      </c>
      <c r="U463" s="6" t="b">
        <f>ROUND(RawSales[[#This Row],[cogs]]*0.05,2)=ROUND(RawSales[[#This Row],[Tax 5%]],2)</f>
        <v>1</v>
      </c>
      <c r="V463" s="6" t="b">
        <f>ROUND(RawSales[[#This Row],[cogs]]+RawSales[[#This Row],[Tax 5%]],2)=ROUND(RawSales[[#This Row],[Sales]],2)</f>
        <v>1</v>
      </c>
    </row>
    <row r="464" spans="1:22" x14ac:dyDescent="0.35">
      <c r="A464" s="4" t="s">
        <v>841</v>
      </c>
      <c r="B464" t="s">
        <v>38</v>
      </c>
      <c r="C464" t="s">
        <v>39</v>
      </c>
      <c r="D464" t="s">
        <v>30</v>
      </c>
      <c r="E464" t="s">
        <v>23</v>
      </c>
      <c r="F464" t="s">
        <v>40</v>
      </c>
      <c r="G464" s="6">
        <v>8405</v>
      </c>
      <c r="H464" s="7">
        <v>3</v>
      </c>
      <c r="I464" s="6">
        <v>1260.75</v>
      </c>
      <c r="J464" s="6">
        <v>26475.75</v>
      </c>
      <c r="K464" s="5">
        <v>43487.958333333336</v>
      </c>
      <c r="L464" s="4" t="s">
        <v>135</v>
      </c>
      <c r="M464" t="s">
        <v>26</v>
      </c>
      <c r="N464" s="6">
        <v>25215</v>
      </c>
      <c r="O464">
        <v>4.7619047620000003</v>
      </c>
      <c r="P464" s="6">
        <v>1260.75</v>
      </c>
      <c r="Q464">
        <v>9.8000000000000007</v>
      </c>
      <c r="R464" s="6">
        <f>RawSales[[#This Row],[Unit price]]*RawSales[[#This Row],[Quantity]]</f>
        <v>25215</v>
      </c>
      <c r="S464" s="6">
        <f>RawSales[[#This Row],[Subtotal]]*$B$1</f>
        <v>1260.75</v>
      </c>
      <c r="T464" s="6" t="b">
        <f>ROUND(RawSales[[#This Row],[Subtotal]],2)=ROUND(RawSales[[#This Row],[cogs]],2)</f>
        <v>1</v>
      </c>
      <c r="U464" s="6" t="b">
        <f>ROUND(RawSales[[#This Row],[cogs]]*0.05,2)=ROUND(RawSales[[#This Row],[Tax 5%]],2)</f>
        <v>1</v>
      </c>
      <c r="V464" s="6" t="b">
        <f>ROUND(RawSales[[#This Row],[cogs]]+RawSales[[#This Row],[Tax 5%]],2)=ROUND(RawSales[[#This Row],[Sales]],2)</f>
        <v>1</v>
      </c>
    </row>
    <row r="465" spans="1:22" x14ac:dyDescent="0.35">
      <c r="A465" s="4" t="s">
        <v>842</v>
      </c>
      <c r="B465" t="s">
        <v>28</v>
      </c>
      <c r="C465" t="s">
        <v>29</v>
      </c>
      <c r="D465" t="s">
        <v>30</v>
      </c>
      <c r="E465" t="s">
        <v>31</v>
      </c>
      <c r="F465" t="s">
        <v>55</v>
      </c>
      <c r="G465" s="6">
        <v>2202</v>
      </c>
      <c r="H465" s="7">
        <v>9</v>
      </c>
      <c r="I465" s="6">
        <v>990.9</v>
      </c>
      <c r="J465" s="6">
        <v>20808.900000000001</v>
      </c>
      <c r="K465" s="5">
        <v>43502.958333333336</v>
      </c>
      <c r="L465" s="4" t="s">
        <v>843</v>
      </c>
      <c r="M465" t="s">
        <v>26</v>
      </c>
      <c r="N465" s="6">
        <v>19818</v>
      </c>
      <c r="O465">
        <v>4.7619047620000003</v>
      </c>
      <c r="P465" s="6">
        <v>990.9</v>
      </c>
      <c r="Q465">
        <v>6.8</v>
      </c>
      <c r="R465" s="6">
        <f>RawSales[[#This Row],[Unit price]]*RawSales[[#This Row],[Quantity]]</f>
        <v>19818</v>
      </c>
      <c r="S465" s="6">
        <f>RawSales[[#This Row],[Subtotal]]*$B$1</f>
        <v>990.90000000000009</v>
      </c>
      <c r="T465" s="6" t="b">
        <f>ROUND(RawSales[[#This Row],[Subtotal]],2)=ROUND(RawSales[[#This Row],[cogs]],2)</f>
        <v>1</v>
      </c>
      <c r="U465" s="6" t="b">
        <f>ROUND(RawSales[[#This Row],[cogs]]*0.05,2)=ROUND(RawSales[[#This Row],[Tax 5%]],2)</f>
        <v>1</v>
      </c>
      <c r="V465" s="6" t="b">
        <f>ROUND(RawSales[[#This Row],[cogs]]+RawSales[[#This Row],[Tax 5%]],2)=ROUND(RawSales[[#This Row],[Sales]],2)</f>
        <v>1</v>
      </c>
    </row>
    <row r="466" spans="1:22" x14ac:dyDescent="0.35">
      <c r="A466" s="4" t="s">
        <v>844</v>
      </c>
      <c r="B466" t="s">
        <v>28</v>
      </c>
      <c r="C466" t="s">
        <v>29</v>
      </c>
      <c r="D466" t="s">
        <v>22</v>
      </c>
      <c r="E466" t="s">
        <v>23</v>
      </c>
      <c r="F466" t="s">
        <v>43</v>
      </c>
      <c r="G466" s="6">
        <v>7690</v>
      </c>
      <c r="H466" s="7">
        <v>7</v>
      </c>
      <c r="I466" s="6">
        <v>2691.5</v>
      </c>
      <c r="J466" s="6">
        <v>56521.5</v>
      </c>
      <c r="K466" s="5">
        <v>43510.958333333336</v>
      </c>
      <c r="L466" s="4" t="s">
        <v>708</v>
      </c>
      <c r="M466" t="s">
        <v>26</v>
      </c>
      <c r="N466" s="6">
        <v>53830</v>
      </c>
      <c r="O466">
        <v>4.7619047620000003</v>
      </c>
      <c r="P466" s="6">
        <v>2691.5</v>
      </c>
      <c r="Q466">
        <v>7.7</v>
      </c>
      <c r="R466" s="6">
        <f>RawSales[[#This Row],[Unit price]]*RawSales[[#This Row],[Quantity]]</f>
        <v>53830</v>
      </c>
      <c r="S466" s="6">
        <f>RawSales[[#This Row],[Subtotal]]*$B$1</f>
        <v>2691.5</v>
      </c>
      <c r="T466" s="6" t="b">
        <f>ROUND(RawSales[[#This Row],[Subtotal]],2)=ROUND(RawSales[[#This Row],[cogs]],2)</f>
        <v>1</v>
      </c>
      <c r="U466" s="6" t="b">
        <f>ROUND(RawSales[[#This Row],[cogs]]*0.05,2)=ROUND(RawSales[[#This Row],[Tax 5%]],2)</f>
        <v>1</v>
      </c>
      <c r="V466" s="6" t="b">
        <f>ROUND(RawSales[[#This Row],[cogs]]+RawSales[[#This Row],[Tax 5%]],2)=ROUND(RawSales[[#This Row],[Sales]],2)</f>
        <v>1</v>
      </c>
    </row>
    <row r="467" spans="1:22" x14ac:dyDescent="0.35">
      <c r="A467" s="4" t="s">
        <v>845</v>
      </c>
      <c r="B467" t="s">
        <v>38</v>
      </c>
      <c r="C467" t="s">
        <v>39</v>
      </c>
      <c r="D467" t="s">
        <v>22</v>
      </c>
      <c r="E467" t="s">
        <v>23</v>
      </c>
      <c r="F467" t="s">
        <v>49</v>
      </c>
      <c r="G467" s="6">
        <v>2702</v>
      </c>
      <c r="H467" s="7">
        <v>3</v>
      </c>
      <c r="I467" s="6">
        <v>405.3</v>
      </c>
      <c r="J467" s="6">
        <v>8511.2999999999993</v>
      </c>
      <c r="K467" s="5">
        <v>43525.958333333336</v>
      </c>
      <c r="L467" s="4" t="s">
        <v>272</v>
      </c>
      <c r="M467" t="s">
        <v>51</v>
      </c>
      <c r="N467" s="6">
        <v>8106</v>
      </c>
      <c r="O467">
        <v>4.7619047620000003</v>
      </c>
      <c r="P467" s="6">
        <v>405.3</v>
      </c>
      <c r="Q467">
        <v>7.1</v>
      </c>
      <c r="R467" s="6">
        <f>RawSales[[#This Row],[Unit price]]*RawSales[[#This Row],[Quantity]]</f>
        <v>8106</v>
      </c>
      <c r="S467" s="6">
        <f>RawSales[[#This Row],[Subtotal]]*$B$1</f>
        <v>405.3</v>
      </c>
      <c r="T467" s="6" t="b">
        <f>ROUND(RawSales[[#This Row],[Subtotal]],2)=ROUND(RawSales[[#This Row],[cogs]],2)</f>
        <v>1</v>
      </c>
      <c r="U467" s="6" t="b">
        <f>ROUND(RawSales[[#This Row],[cogs]]*0.05,2)=ROUND(RawSales[[#This Row],[Tax 5%]],2)</f>
        <v>1</v>
      </c>
      <c r="V467" s="6" t="b">
        <f>ROUND(RawSales[[#This Row],[cogs]]+RawSales[[#This Row],[Tax 5%]],2)=ROUND(RawSales[[#This Row],[Sales]],2)</f>
        <v>1</v>
      </c>
    </row>
    <row r="468" spans="1:22" x14ac:dyDescent="0.35">
      <c r="A468" s="4" t="s">
        <v>846</v>
      </c>
      <c r="B468" t="s">
        <v>20</v>
      </c>
      <c r="C468" t="s">
        <v>21</v>
      </c>
      <c r="D468" t="s">
        <v>30</v>
      </c>
      <c r="E468" t="s">
        <v>23</v>
      </c>
      <c r="F468" t="s">
        <v>49</v>
      </c>
      <c r="G468" s="6">
        <v>6574</v>
      </c>
      <c r="H468" s="7">
        <v>9</v>
      </c>
      <c r="I468" s="6">
        <v>2958.3</v>
      </c>
      <c r="J468" s="6">
        <v>62124.3</v>
      </c>
      <c r="K468" s="5">
        <v>43465.958333333336</v>
      </c>
      <c r="L468" s="4" t="s">
        <v>847</v>
      </c>
      <c r="M468" t="s">
        <v>26</v>
      </c>
      <c r="N468" s="6">
        <v>59166</v>
      </c>
      <c r="O468">
        <v>4.7619047620000003</v>
      </c>
      <c r="P468" s="6">
        <v>2958.3</v>
      </c>
      <c r="Q468">
        <v>7.7</v>
      </c>
      <c r="R468" s="6">
        <f>RawSales[[#This Row],[Unit price]]*RawSales[[#This Row],[Quantity]]</f>
        <v>59166</v>
      </c>
      <c r="S468" s="6">
        <f>RawSales[[#This Row],[Subtotal]]*$B$1</f>
        <v>2958.3</v>
      </c>
      <c r="T468" s="6" t="b">
        <f>ROUND(RawSales[[#This Row],[Subtotal]],2)=ROUND(RawSales[[#This Row],[cogs]],2)</f>
        <v>1</v>
      </c>
      <c r="U468" s="6" t="b">
        <f>ROUND(RawSales[[#This Row],[cogs]]*0.05,2)=ROUND(RawSales[[#This Row],[Tax 5%]],2)</f>
        <v>1</v>
      </c>
      <c r="V468" s="6" t="b">
        <f>ROUND(RawSales[[#This Row],[cogs]]+RawSales[[#This Row],[Tax 5%]],2)=ROUND(RawSales[[#This Row],[Sales]],2)</f>
        <v>1</v>
      </c>
    </row>
    <row r="469" spans="1:22" x14ac:dyDescent="0.35">
      <c r="A469" s="4" t="s">
        <v>848</v>
      </c>
      <c r="B469" t="s">
        <v>20</v>
      </c>
      <c r="C469" t="s">
        <v>21</v>
      </c>
      <c r="D469" t="s">
        <v>30</v>
      </c>
      <c r="E469" t="s">
        <v>31</v>
      </c>
      <c r="F469" t="s">
        <v>32</v>
      </c>
      <c r="G469" s="6">
        <v>7322</v>
      </c>
      <c r="H469" s="7">
        <v>6</v>
      </c>
      <c r="I469" s="6">
        <v>2196.6</v>
      </c>
      <c r="J469" s="6">
        <v>46128.6</v>
      </c>
      <c r="K469" s="5">
        <v>43485.958333333336</v>
      </c>
      <c r="L469" s="4" t="s">
        <v>849</v>
      </c>
      <c r="M469" t="s">
        <v>26</v>
      </c>
      <c r="N469" s="6">
        <v>43932</v>
      </c>
      <c r="O469">
        <v>4.7619047620000003</v>
      </c>
      <c r="P469" s="6">
        <v>2196.6</v>
      </c>
      <c r="Q469">
        <v>7.2</v>
      </c>
      <c r="R469" s="6">
        <f>RawSales[[#This Row],[Unit price]]*RawSales[[#This Row],[Quantity]]</f>
        <v>43932</v>
      </c>
      <c r="S469" s="6">
        <f>RawSales[[#This Row],[Subtotal]]*$B$1</f>
        <v>2196.6</v>
      </c>
      <c r="T469" s="6" t="b">
        <f>ROUND(RawSales[[#This Row],[Subtotal]],2)=ROUND(RawSales[[#This Row],[cogs]],2)</f>
        <v>1</v>
      </c>
      <c r="U469" s="6" t="b">
        <f>ROUND(RawSales[[#This Row],[cogs]]*0.05,2)=ROUND(RawSales[[#This Row],[Tax 5%]],2)</f>
        <v>1</v>
      </c>
      <c r="V469" s="6" t="b">
        <f>ROUND(RawSales[[#This Row],[cogs]]+RawSales[[#This Row],[Tax 5%]],2)=ROUND(RawSales[[#This Row],[Sales]],2)</f>
        <v>1</v>
      </c>
    </row>
    <row r="470" spans="1:22" x14ac:dyDescent="0.35">
      <c r="A470" s="4" t="s">
        <v>850</v>
      </c>
      <c r="B470" t="s">
        <v>20</v>
      </c>
      <c r="C470" t="s">
        <v>21</v>
      </c>
      <c r="D470" t="s">
        <v>22</v>
      </c>
      <c r="E470" t="s">
        <v>23</v>
      </c>
      <c r="F470" t="s">
        <v>43</v>
      </c>
      <c r="G470" s="6">
        <v>1555</v>
      </c>
      <c r="H470" s="7">
        <v>9</v>
      </c>
      <c r="I470" s="6">
        <v>699.75</v>
      </c>
      <c r="J470" s="6">
        <v>14694.75</v>
      </c>
      <c r="K470" s="5">
        <v>43530.958333333336</v>
      </c>
      <c r="L470" s="4" t="s">
        <v>67</v>
      </c>
      <c r="M470" t="s">
        <v>26</v>
      </c>
      <c r="N470" s="6">
        <v>13995</v>
      </c>
      <c r="O470">
        <v>4.7619047620000003</v>
      </c>
      <c r="P470" s="6">
        <v>699.75</v>
      </c>
      <c r="Q470">
        <v>5</v>
      </c>
      <c r="R470" s="6">
        <f>RawSales[[#This Row],[Unit price]]*RawSales[[#This Row],[Quantity]]</f>
        <v>13995</v>
      </c>
      <c r="S470" s="6">
        <f>RawSales[[#This Row],[Subtotal]]*$B$1</f>
        <v>699.75</v>
      </c>
      <c r="T470" s="6" t="b">
        <f>ROUND(RawSales[[#This Row],[Subtotal]],2)=ROUND(RawSales[[#This Row],[cogs]],2)</f>
        <v>1</v>
      </c>
      <c r="U470" s="6" t="b">
        <f>ROUND(RawSales[[#This Row],[cogs]]*0.05,2)=ROUND(RawSales[[#This Row],[Tax 5%]],2)</f>
        <v>1</v>
      </c>
      <c r="V470" s="6" t="b">
        <f>ROUND(RawSales[[#This Row],[cogs]]+RawSales[[#This Row],[Tax 5%]],2)=ROUND(RawSales[[#This Row],[Sales]],2)</f>
        <v>1</v>
      </c>
    </row>
    <row r="471" spans="1:22" x14ac:dyDescent="0.35">
      <c r="A471" s="4" t="s">
        <v>851</v>
      </c>
      <c r="B471" t="s">
        <v>38</v>
      </c>
      <c r="C471" t="s">
        <v>39</v>
      </c>
      <c r="D471" t="s">
        <v>30</v>
      </c>
      <c r="E471" t="s">
        <v>31</v>
      </c>
      <c r="F471" t="s">
        <v>324</v>
      </c>
      <c r="G471" s="6">
        <v>3177</v>
      </c>
      <c r="H471" s="7">
        <v>4</v>
      </c>
      <c r="I471" s="6">
        <v>635.4</v>
      </c>
      <c r="J471" s="6">
        <v>13343.4</v>
      </c>
      <c r="K471" s="5">
        <v>43478.958333333336</v>
      </c>
      <c r="L471" s="4" t="s">
        <v>809</v>
      </c>
      <c r="M471" t="s">
        <v>34</v>
      </c>
      <c r="N471" s="6">
        <v>12708</v>
      </c>
      <c r="O471">
        <v>4.7619047620000003</v>
      </c>
      <c r="P471" s="6">
        <v>635.4</v>
      </c>
      <c r="Q471">
        <v>6.2</v>
      </c>
      <c r="R471" s="6">
        <f>RawSales[[#This Row],[Unit price]]*RawSales[[#This Row],[Quantity]]</f>
        <v>12708</v>
      </c>
      <c r="S471" s="6">
        <f>RawSales[[#This Row],[Subtotal]]*$B$1</f>
        <v>635.40000000000009</v>
      </c>
      <c r="T471" s="6" t="b">
        <f>ROUND(RawSales[[#This Row],[Subtotal]],2)=ROUND(RawSales[[#This Row],[cogs]],2)</f>
        <v>1</v>
      </c>
      <c r="U471" s="6" t="b">
        <f>ROUND(RawSales[[#This Row],[cogs]]*0.05,2)=ROUND(RawSales[[#This Row],[Tax 5%]],2)</f>
        <v>1</v>
      </c>
      <c r="V471" s="6" t="b">
        <f>ROUND(RawSales[[#This Row],[cogs]]+RawSales[[#This Row],[Tax 5%]],2)=ROUND(RawSales[[#This Row],[Sales]],2)</f>
        <v>1</v>
      </c>
    </row>
    <row r="472" spans="1:22" x14ac:dyDescent="0.35">
      <c r="A472" s="4" t="s">
        <v>852</v>
      </c>
      <c r="B472" t="s">
        <v>20</v>
      </c>
      <c r="C472" t="s">
        <v>21</v>
      </c>
      <c r="D472" t="s">
        <v>30</v>
      </c>
      <c r="E472" t="s">
        <v>23</v>
      </c>
      <c r="F472" t="s">
        <v>24</v>
      </c>
      <c r="G472" s="6">
        <v>5539</v>
      </c>
      <c r="H472" s="7">
        <v>4</v>
      </c>
      <c r="I472" s="6">
        <v>1107.8</v>
      </c>
      <c r="J472" s="6">
        <v>23263.8</v>
      </c>
      <c r="K472" s="5">
        <v>43548.958333333336</v>
      </c>
      <c r="L472" s="4" t="s">
        <v>853</v>
      </c>
      <c r="M472" t="s">
        <v>34</v>
      </c>
      <c r="N472" s="6">
        <v>22156</v>
      </c>
      <c r="O472">
        <v>4.7619047620000003</v>
      </c>
      <c r="P472" s="6">
        <v>1107.8</v>
      </c>
      <c r="Q472">
        <v>8</v>
      </c>
      <c r="R472" s="6">
        <f>RawSales[[#This Row],[Unit price]]*RawSales[[#This Row],[Quantity]]</f>
        <v>22156</v>
      </c>
      <c r="S472" s="6">
        <f>RawSales[[#This Row],[Subtotal]]*$B$1</f>
        <v>1107.8</v>
      </c>
      <c r="T472" s="6" t="b">
        <f>ROUND(RawSales[[#This Row],[Subtotal]],2)=ROUND(RawSales[[#This Row],[cogs]],2)</f>
        <v>1</v>
      </c>
      <c r="U472" s="6" t="b">
        <f>ROUND(RawSales[[#This Row],[cogs]]*0.05,2)=ROUND(RawSales[[#This Row],[Tax 5%]],2)</f>
        <v>1</v>
      </c>
      <c r="V472" s="6" t="b">
        <f>ROUND(RawSales[[#This Row],[cogs]]+RawSales[[#This Row],[Tax 5%]],2)=ROUND(RawSales[[#This Row],[Sales]],2)</f>
        <v>1</v>
      </c>
    </row>
    <row r="473" spans="1:22" x14ac:dyDescent="0.35">
      <c r="A473" s="4" t="s">
        <v>854</v>
      </c>
      <c r="B473" t="s">
        <v>38</v>
      </c>
      <c r="C473" t="s">
        <v>39</v>
      </c>
      <c r="D473" t="s">
        <v>22</v>
      </c>
      <c r="E473" t="s">
        <v>31</v>
      </c>
      <c r="F473" t="s">
        <v>324</v>
      </c>
      <c r="G473" s="6">
        <v>1744</v>
      </c>
      <c r="H473" s="7">
        <v>5</v>
      </c>
      <c r="I473" s="6">
        <v>436</v>
      </c>
      <c r="J473" s="6">
        <v>9156</v>
      </c>
      <c r="K473" s="5">
        <v>43479.958333333336</v>
      </c>
      <c r="L473" s="4" t="s">
        <v>555</v>
      </c>
      <c r="M473" t="s">
        <v>26</v>
      </c>
      <c r="N473" s="6">
        <v>8720</v>
      </c>
      <c r="O473">
        <v>4.7619047620000003</v>
      </c>
      <c r="P473" s="6">
        <v>436</v>
      </c>
      <c r="Q473">
        <v>8.1</v>
      </c>
      <c r="R473" s="6">
        <f>RawSales[[#This Row],[Unit price]]*RawSales[[#This Row],[Quantity]]</f>
        <v>8720</v>
      </c>
      <c r="S473" s="6">
        <f>RawSales[[#This Row],[Subtotal]]*$B$1</f>
        <v>436</v>
      </c>
      <c r="T473" s="6" t="b">
        <f>ROUND(RawSales[[#This Row],[Subtotal]],2)=ROUND(RawSales[[#This Row],[cogs]],2)</f>
        <v>1</v>
      </c>
      <c r="U473" s="6" t="b">
        <f>ROUND(RawSales[[#This Row],[cogs]]*0.05,2)=ROUND(RawSales[[#This Row],[Tax 5%]],2)</f>
        <v>1</v>
      </c>
      <c r="V473" s="6" t="b">
        <f>ROUND(RawSales[[#This Row],[cogs]]+RawSales[[#This Row],[Tax 5%]],2)=ROUND(RawSales[[#This Row],[Sales]],2)</f>
        <v>1</v>
      </c>
    </row>
    <row r="474" spans="1:22" x14ac:dyDescent="0.35">
      <c r="A474" s="4" t="s">
        <v>855</v>
      </c>
      <c r="B474" t="s">
        <v>20</v>
      </c>
      <c r="C474" t="s">
        <v>21</v>
      </c>
      <c r="D474" t="s">
        <v>30</v>
      </c>
      <c r="E474" t="s">
        <v>31</v>
      </c>
      <c r="F474" t="s">
        <v>140</v>
      </c>
      <c r="G474" s="6">
        <v>3271</v>
      </c>
      <c r="H474" s="7">
        <v>5</v>
      </c>
      <c r="I474" s="6">
        <v>817.75</v>
      </c>
      <c r="J474" s="6">
        <v>17172.75</v>
      </c>
      <c r="K474" s="5">
        <v>43542.958333333336</v>
      </c>
      <c r="L474" s="4" t="s">
        <v>856</v>
      </c>
      <c r="M474" t="s">
        <v>51</v>
      </c>
      <c r="N474" s="6">
        <v>16355</v>
      </c>
      <c r="O474">
        <v>4.7619047620000003</v>
      </c>
      <c r="P474" s="6">
        <v>817.75</v>
      </c>
      <c r="Q474">
        <v>9.9</v>
      </c>
      <c r="R474" s="6">
        <f>RawSales[[#This Row],[Unit price]]*RawSales[[#This Row],[Quantity]]</f>
        <v>16355</v>
      </c>
      <c r="S474" s="6">
        <f>RawSales[[#This Row],[Subtotal]]*$B$1</f>
        <v>817.75</v>
      </c>
      <c r="T474" s="6" t="b">
        <f>ROUND(RawSales[[#This Row],[Subtotal]],2)=ROUND(RawSales[[#This Row],[cogs]],2)</f>
        <v>1</v>
      </c>
      <c r="U474" s="6" t="b">
        <f>ROUND(RawSales[[#This Row],[cogs]]*0.05,2)=ROUND(RawSales[[#This Row],[Tax 5%]],2)</f>
        <v>1</v>
      </c>
      <c r="V474" s="6" t="b">
        <f>ROUND(RawSales[[#This Row],[cogs]]+RawSales[[#This Row],[Tax 5%]],2)=ROUND(RawSales[[#This Row],[Sales]],2)</f>
        <v>1</v>
      </c>
    </row>
    <row r="475" spans="1:22" x14ac:dyDescent="0.35">
      <c r="A475" s="4" t="s">
        <v>857</v>
      </c>
      <c r="B475" t="s">
        <v>38</v>
      </c>
      <c r="C475" t="s">
        <v>39</v>
      </c>
      <c r="D475" t="s">
        <v>22</v>
      </c>
      <c r="E475" t="s">
        <v>23</v>
      </c>
      <c r="F475" t="s">
        <v>32</v>
      </c>
      <c r="G475" s="6">
        <v>3579</v>
      </c>
      <c r="H475" s="7">
        <v>9</v>
      </c>
      <c r="I475" s="6">
        <v>1610.55</v>
      </c>
      <c r="J475" s="6">
        <v>33821.550000000003</v>
      </c>
      <c r="K475" s="5">
        <v>43533.958333333336</v>
      </c>
      <c r="L475" s="4" t="s">
        <v>858</v>
      </c>
      <c r="M475" t="s">
        <v>51</v>
      </c>
      <c r="N475" s="6">
        <v>32211</v>
      </c>
      <c r="O475">
        <v>4.7619047620000003</v>
      </c>
      <c r="P475" s="6">
        <v>1610.55</v>
      </c>
      <c r="Q475">
        <v>5.0999999999999996</v>
      </c>
      <c r="R475" s="6">
        <f>RawSales[[#This Row],[Unit price]]*RawSales[[#This Row],[Quantity]]</f>
        <v>32211</v>
      </c>
      <c r="S475" s="6">
        <f>RawSales[[#This Row],[Subtotal]]*$B$1</f>
        <v>1610.5500000000002</v>
      </c>
      <c r="T475" s="6" t="b">
        <f>ROUND(RawSales[[#This Row],[Subtotal]],2)=ROUND(RawSales[[#This Row],[cogs]],2)</f>
        <v>1</v>
      </c>
      <c r="U475" s="6" t="b">
        <f>ROUND(RawSales[[#This Row],[cogs]]*0.05,2)=ROUND(RawSales[[#This Row],[Tax 5%]],2)</f>
        <v>1</v>
      </c>
      <c r="V475" s="6" t="b">
        <f>ROUND(RawSales[[#This Row],[cogs]]+RawSales[[#This Row],[Tax 5%]],2)=ROUND(RawSales[[#This Row],[Sales]],2)</f>
        <v>1</v>
      </c>
    </row>
    <row r="476" spans="1:22" x14ac:dyDescent="0.35">
      <c r="A476" s="4" t="s">
        <v>859</v>
      </c>
      <c r="B476" t="s">
        <v>20</v>
      </c>
      <c r="C476" t="s">
        <v>21</v>
      </c>
      <c r="D476" t="s">
        <v>30</v>
      </c>
      <c r="E476" t="s">
        <v>23</v>
      </c>
      <c r="F476" t="s">
        <v>32</v>
      </c>
      <c r="G476" s="6">
        <v>9312</v>
      </c>
      <c r="H476" s="7">
        <v>8</v>
      </c>
      <c r="I476" s="6">
        <v>3724.8</v>
      </c>
      <c r="J476" s="6">
        <v>78220.800000000003</v>
      </c>
      <c r="K476" s="5">
        <v>43502.958333333336</v>
      </c>
      <c r="L476" s="4" t="s">
        <v>860</v>
      </c>
      <c r="M476" t="s">
        <v>26</v>
      </c>
      <c r="N476" s="6">
        <v>74496</v>
      </c>
      <c r="O476">
        <v>4.7619047620000003</v>
      </c>
      <c r="P476" s="6">
        <v>3724.8</v>
      </c>
      <c r="Q476">
        <v>6.8</v>
      </c>
      <c r="R476" s="6">
        <f>RawSales[[#This Row],[Unit price]]*RawSales[[#This Row],[Quantity]]</f>
        <v>74496</v>
      </c>
      <c r="S476" s="6">
        <f>RawSales[[#This Row],[Subtotal]]*$B$1</f>
        <v>3724.8</v>
      </c>
      <c r="T476" s="6" t="b">
        <f>ROUND(RawSales[[#This Row],[Subtotal]],2)=ROUND(RawSales[[#This Row],[cogs]],2)</f>
        <v>1</v>
      </c>
      <c r="U476" s="6" t="b">
        <f>ROUND(RawSales[[#This Row],[cogs]]*0.05,2)=ROUND(RawSales[[#This Row],[Tax 5%]],2)</f>
        <v>1</v>
      </c>
      <c r="V476" s="6" t="b">
        <f>ROUND(RawSales[[#This Row],[cogs]]+RawSales[[#This Row],[Tax 5%]],2)=ROUND(RawSales[[#This Row],[Sales]],2)</f>
        <v>1</v>
      </c>
    </row>
    <row r="477" spans="1:22" x14ac:dyDescent="0.35">
      <c r="A477" s="4" t="s">
        <v>861</v>
      </c>
      <c r="B477" t="s">
        <v>38</v>
      </c>
      <c r="C477" t="s">
        <v>39</v>
      </c>
      <c r="D477" t="s">
        <v>30</v>
      </c>
      <c r="E477" t="s">
        <v>23</v>
      </c>
      <c r="F477" t="s">
        <v>24</v>
      </c>
      <c r="G477" s="6">
        <v>5260</v>
      </c>
      <c r="H477" s="7">
        <v>9</v>
      </c>
      <c r="I477" s="6">
        <v>2367</v>
      </c>
      <c r="J477" s="6">
        <v>49707</v>
      </c>
      <c r="K477" s="5">
        <v>43480.958333333336</v>
      </c>
      <c r="L477" s="4" t="s">
        <v>381</v>
      </c>
      <c r="M477" t="s">
        <v>26</v>
      </c>
      <c r="N477" s="6">
        <v>47340</v>
      </c>
      <c r="O477">
        <v>4.7619047620000003</v>
      </c>
      <c r="P477" s="6">
        <v>2367</v>
      </c>
      <c r="Q477">
        <v>7.6</v>
      </c>
      <c r="R477" s="6">
        <f>RawSales[[#This Row],[Unit price]]*RawSales[[#This Row],[Quantity]]</f>
        <v>47340</v>
      </c>
      <c r="S477" s="6">
        <f>RawSales[[#This Row],[Subtotal]]*$B$1</f>
        <v>2367</v>
      </c>
      <c r="T477" s="6" t="b">
        <f>ROUND(RawSales[[#This Row],[Subtotal]],2)=ROUND(RawSales[[#This Row],[cogs]],2)</f>
        <v>1</v>
      </c>
      <c r="U477" s="6" t="b">
        <f>ROUND(RawSales[[#This Row],[cogs]]*0.05,2)=ROUND(RawSales[[#This Row],[Tax 5%]],2)</f>
        <v>1</v>
      </c>
      <c r="V477" s="6" t="b">
        <f>ROUND(RawSales[[#This Row],[cogs]]+RawSales[[#This Row],[Tax 5%]],2)=ROUND(RawSales[[#This Row],[Sales]],2)</f>
        <v>1</v>
      </c>
    </row>
    <row r="478" spans="1:22" x14ac:dyDescent="0.35">
      <c r="A478" s="4" t="s">
        <v>862</v>
      </c>
      <c r="B478" t="s">
        <v>20</v>
      </c>
      <c r="C478" t="s">
        <v>21</v>
      </c>
      <c r="D478" t="s">
        <v>30</v>
      </c>
      <c r="E478" t="s">
        <v>31</v>
      </c>
      <c r="F478" t="s">
        <v>24</v>
      </c>
      <c r="G478" s="6">
        <v>4325</v>
      </c>
      <c r="H478" s="7">
        <v>2</v>
      </c>
      <c r="I478" s="6">
        <v>432.5</v>
      </c>
      <c r="J478" s="6">
        <v>9082.5</v>
      </c>
      <c r="K478" s="5">
        <v>43543.958333333336</v>
      </c>
      <c r="L478" s="4" t="s">
        <v>863</v>
      </c>
      <c r="M478" t="s">
        <v>26</v>
      </c>
      <c r="N478" s="6">
        <v>8650</v>
      </c>
      <c r="O478">
        <v>4.7619047620000003</v>
      </c>
      <c r="P478" s="6">
        <v>432.5</v>
      </c>
      <c r="Q478">
        <v>6.2</v>
      </c>
      <c r="R478" s="6">
        <f>RawSales[[#This Row],[Unit price]]*RawSales[[#This Row],[Quantity]]</f>
        <v>8650</v>
      </c>
      <c r="S478" s="6">
        <f>RawSales[[#This Row],[Subtotal]]*$B$1</f>
        <v>432.5</v>
      </c>
      <c r="T478" s="6" t="b">
        <f>ROUND(RawSales[[#This Row],[Subtotal]],2)=ROUND(RawSales[[#This Row],[cogs]],2)</f>
        <v>1</v>
      </c>
      <c r="U478" s="6" t="b">
        <f>ROUND(RawSales[[#This Row],[cogs]]*0.05,2)=ROUND(RawSales[[#This Row],[Tax 5%]],2)</f>
        <v>1</v>
      </c>
      <c r="V478" s="6" t="b">
        <f>ROUND(RawSales[[#This Row],[cogs]]+RawSales[[#This Row],[Tax 5%]],2)=ROUND(RawSales[[#This Row],[Sales]],2)</f>
        <v>1</v>
      </c>
    </row>
    <row r="479" spans="1:22" x14ac:dyDescent="0.35">
      <c r="A479" s="4" t="s">
        <v>864</v>
      </c>
      <c r="B479" t="s">
        <v>28</v>
      </c>
      <c r="C479" t="s">
        <v>29</v>
      </c>
      <c r="D479" t="s">
        <v>22</v>
      </c>
      <c r="E479" t="s">
        <v>23</v>
      </c>
      <c r="F479" t="s">
        <v>40</v>
      </c>
      <c r="G479" s="6">
        <v>3574</v>
      </c>
      <c r="H479" s="7">
        <v>8</v>
      </c>
      <c r="I479" s="6">
        <v>1429.6</v>
      </c>
      <c r="J479" s="6">
        <v>30021.599999999999</v>
      </c>
      <c r="K479" s="5">
        <v>43512.958333333336</v>
      </c>
      <c r="L479" s="4" t="s">
        <v>865</v>
      </c>
      <c r="M479" t="s">
        <v>34</v>
      </c>
      <c r="N479" s="6">
        <v>28592</v>
      </c>
      <c r="O479">
        <v>4.7619047620000003</v>
      </c>
      <c r="P479" s="6">
        <v>1429.6</v>
      </c>
      <c r="Q479">
        <v>4.9000000000000004</v>
      </c>
      <c r="R479" s="6">
        <f>RawSales[[#This Row],[Unit price]]*RawSales[[#This Row],[Quantity]]</f>
        <v>28592</v>
      </c>
      <c r="S479" s="6">
        <f>RawSales[[#This Row],[Subtotal]]*$B$1</f>
        <v>1429.6000000000001</v>
      </c>
      <c r="T479" s="6" t="b">
        <f>ROUND(RawSales[[#This Row],[Subtotal]],2)=ROUND(RawSales[[#This Row],[cogs]],2)</f>
        <v>1</v>
      </c>
      <c r="U479" s="6" t="b">
        <f>ROUND(RawSales[[#This Row],[cogs]]*0.05,2)=ROUND(RawSales[[#This Row],[Tax 5%]],2)</f>
        <v>1</v>
      </c>
      <c r="V479" s="6" t="b">
        <f>ROUND(RawSales[[#This Row],[cogs]]+RawSales[[#This Row],[Tax 5%]],2)=ROUND(RawSales[[#This Row],[Sales]],2)</f>
        <v>1</v>
      </c>
    </row>
    <row r="480" spans="1:22" x14ac:dyDescent="0.35">
      <c r="A480" s="4" t="s">
        <v>866</v>
      </c>
      <c r="B480" t="s">
        <v>20</v>
      </c>
      <c r="C480" t="s">
        <v>21</v>
      </c>
      <c r="D480" t="s">
        <v>22</v>
      </c>
      <c r="E480" t="s">
        <v>23</v>
      </c>
      <c r="F480" t="s">
        <v>24</v>
      </c>
      <c r="G480" s="6">
        <v>4459</v>
      </c>
      <c r="H480" s="7">
        <v>5</v>
      </c>
      <c r="I480" s="6">
        <v>1114.75</v>
      </c>
      <c r="J480" s="6">
        <v>23409.75</v>
      </c>
      <c r="K480" s="5">
        <v>43505.958333333336</v>
      </c>
      <c r="L480" s="4" t="s">
        <v>459</v>
      </c>
      <c r="M480" t="s">
        <v>26</v>
      </c>
      <c r="N480" s="6">
        <v>22295</v>
      </c>
      <c r="O480">
        <v>4.7619047620000003</v>
      </c>
      <c r="P480" s="6">
        <v>1114.75</v>
      </c>
      <c r="Q480">
        <v>8.5</v>
      </c>
      <c r="R480" s="6">
        <f>RawSales[[#This Row],[Unit price]]*RawSales[[#This Row],[Quantity]]</f>
        <v>22295</v>
      </c>
      <c r="S480" s="6">
        <f>RawSales[[#This Row],[Subtotal]]*$B$1</f>
        <v>1114.75</v>
      </c>
      <c r="T480" s="6" t="b">
        <f>ROUND(RawSales[[#This Row],[Subtotal]],2)=ROUND(RawSales[[#This Row],[cogs]],2)</f>
        <v>1</v>
      </c>
      <c r="U480" s="6" t="b">
        <f>ROUND(RawSales[[#This Row],[cogs]]*0.05,2)=ROUND(RawSales[[#This Row],[Tax 5%]],2)</f>
        <v>1</v>
      </c>
      <c r="V480" s="6" t="b">
        <f>ROUND(RawSales[[#This Row],[cogs]]+RawSales[[#This Row],[Tax 5%]],2)=ROUND(RawSales[[#This Row],[Sales]],2)</f>
        <v>1</v>
      </c>
    </row>
    <row r="481" spans="1:22" x14ac:dyDescent="0.35">
      <c r="A481" s="4" t="s">
        <v>867</v>
      </c>
      <c r="B481" t="s">
        <v>20</v>
      </c>
      <c r="C481" t="s">
        <v>21</v>
      </c>
      <c r="D481" t="s">
        <v>30</v>
      </c>
      <c r="E481" t="s">
        <v>23</v>
      </c>
      <c r="F481" t="s">
        <v>239</v>
      </c>
      <c r="G481" s="6">
        <v>4257</v>
      </c>
      <c r="H481" s="7">
        <v>7</v>
      </c>
      <c r="I481" s="6">
        <v>1489.95</v>
      </c>
      <c r="J481" s="6">
        <v>31288.95</v>
      </c>
      <c r="K481" s="5">
        <v>43470.958333333336</v>
      </c>
      <c r="L481" s="4" t="s">
        <v>536</v>
      </c>
      <c r="M481" t="s">
        <v>26</v>
      </c>
      <c r="N481" s="6">
        <v>29799</v>
      </c>
      <c r="O481">
        <v>4.7619047620000003</v>
      </c>
      <c r="P481" s="6">
        <v>1489.95</v>
      </c>
      <c r="Q481">
        <v>6.8</v>
      </c>
      <c r="R481" s="6">
        <f>RawSales[[#This Row],[Unit price]]*RawSales[[#This Row],[Quantity]]</f>
        <v>29799</v>
      </c>
      <c r="S481" s="6">
        <f>RawSales[[#This Row],[Subtotal]]*$B$1</f>
        <v>1489.95</v>
      </c>
      <c r="T481" s="6" t="b">
        <f>ROUND(RawSales[[#This Row],[Subtotal]],2)=ROUND(RawSales[[#This Row],[cogs]],2)</f>
        <v>1</v>
      </c>
      <c r="U481" s="6" t="b">
        <f>ROUND(RawSales[[#This Row],[cogs]]*0.05,2)=ROUND(RawSales[[#This Row],[Tax 5%]],2)</f>
        <v>1</v>
      </c>
      <c r="V481" s="6" t="b">
        <f>ROUND(RawSales[[#This Row],[cogs]]+RawSales[[#This Row],[Tax 5%]],2)=ROUND(RawSales[[#This Row],[Sales]],2)</f>
        <v>1</v>
      </c>
    </row>
    <row r="482" spans="1:22" x14ac:dyDescent="0.35">
      <c r="A482" s="4" t="s">
        <v>868</v>
      </c>
      <c r="B482" t="s">
        <v>38</v>
      </c>
      <c r="C482" t="s">
        <v>39</v>
      </c>
      <c r="D482" t="s">
        <v>22</v>
      </c>
      <c r="E482" t="s">
        <v>31</v>
      </c>
      <c r="F482" t="s">
        <v>49</v>
      </c>
      <c r="G482" s="6">
        <v>9320</v>
      </c>
      <c r="H482" s="7">
        <v>2</v>
      </c>
      <c r="I482" s="6">
        <v>932</v>
      </c>
      <c r="J482" s="6">
        <v>19572</v>
      </c>
      <c r="K482" s="5">
        <v>43523.958333333336</v>
      </c>
      <c r="L482" s="4" t="s">
        <v>332</v>
      </c>
      <c r="M482" t="s">
        <v>51</v>
      </c>
      <c r="N482" s="6">
        <v>18640</v>
      </c>
      <c r="O482">
        <v>4.7619047620000003</v>
      </c>
      <c r="P482" s="6">
        <v>932</v>
      </c>
      <c r="Q482">
        <v>6</v>
      </c>
      <c r="R482" s="6">
        <f>RawSales[[#This Row],[Unit price]]*RawSales[[#This Row],[Quantity]]</f>
        <v>18640</v>
      </c>
      <c r="S482" s="6">
        <f>RawSales[[#This Row],[Subtotal]]*$B$1</f>
        <v>932</v>
      </c>
      <c r="T482" s="6" t="b">
        <f>ROUND(RawSales[[#This Row],[Subtotal]],2)=ROUND(RawSales[[#This Row],[cogs]],2)</f>
        <v>1</v>
      </c>
      <c r="U482" s="6" t="b">
        <f>ROUND(RawSales[[#This Row],[cogs]]*0.05,2)=ROUND(RawSales[[#This Row],[Tax 5%]],2)</f>
        <v>1</v>
      </c>
      <c r="V482" s="6" t="b">
        <f>ROUND(RawSales[[#This Row],[cogs]]+RawSales[[#This Row],[Tax 5%]],2)=ROUND(RawSales[[#This Row],[Sales]],2)</f>
        <v>1</v>
      </c>
    </row>
    <row r="483" spans="1:22" x14ac:dyDescent="0.35">
      <c r="A483" s="4" t="s">
        <v>869</v>
      </c>
      <c r="B483" t="s">
        <v>38</v>
      </c>
      <c r="C483" t="s">
        <v>39</v>
      </c>
      <c r="D483" t="s">
        <v>22</v>
      </c>
      <c r="E483" t="s">
        <v>23</v>
      </c>
      <c r="F483" t="s">
        <v>40</v>
      </c>
      <c r="G483" s="6">
        <v>4165</v>
      </c>
      <c r="H483" s="7">
        <v>10</v>
      </c>
      <c r="I483" s="6">
        <v>2082.5</v>
      </c>
      <c r="J483" s="6">
        <v>43732.5</v>
      </c>
      <c r="K483" s="5">
        <v>43477.958333333336</v>
      </c>
      <c r="L483" s="4" t="s">
        <v>870</v>
      </c>
      <c r="M483" t="s">
        <v>51</v>
      </c>
      <c r="N483" s="6">
        <v>41650</v>
      </c>
      <c r="O483">
        <v>4.7619047620000003</v>
      </c>
      <c r="P483" s="6">
        <v>2082.5</v>
      </c>
      <c r="Q483">
        <v>5.4</v>
      </c>
      <c r="R483" s="6">
        <f>RawSales[[#This Row],[Unit price]]*RawSales[[#This Row],[Quantity]]</f>
        <v>41650</v>
      </c>
      <c r="S483" s="6">
        <f>RawSales[[#This Row],[Subtotal]]*$B$1</f>
        <v>2082.5</v>
      </c>
      <c r="T483" s="6" t="b">
        <f>ROUND(RawSales[[#This Row],[Subtotal]],2)=ROUND(RawSales[[#This Row],[cogs]],2)</f>
        <v>1</v>
      </c>
      <c r="U483" s="6" t="b">
        <f>ROUND(RawSales[[#This Row],[cogs]]*0.05,2)=ROUND(RawSales[[#This Row],[Tax 5%]],2)</f>
        <v>1</v>
      </c>
      <c r="V483" s="6" t="b">
        <f>ROUND(RawSales[[#This Row],[cogs]]+RawSales[[#This Row],[Tax 5%]],2)=ROUND(RawSales[[#This Row],[Sales]],2)</f>
        <v>1</v>
      </c>
    </row>
    <row r="484" spans="1:22" x14ac:dyDescent="0.35">
      <c r="A484" s="4" t="s">
        <v>871</v>
      </c>
      <c r="B484" t="s">
        <v>28</v>
      </c>
      <c r="C484" t="s">
        <v>29</v>
      </c>
      <c r="D484" t="s">
        <v>30</v>
      </c>
      <c r="E484" t="s">
        <v>23</v>
      </c>
      <c r="F484" t="s">
        <v>24</v>
      </c>
      <c r="G484" s="6">
        <v>5734</v>
      </c>
      <c r="H484" s="7">
        <v>3</v>
      </c>
      <c r="I484" s="6">
        <v>860.1</v>
      </c>
      <c r="J484" s="6">
        <v>18062.099999999999</v>
      </c>
      <c r="K484" s="5">
        <v>43533.958333333336</v>
      </c>
      <c r="L484" s="4" t="s">
        <v>872</v>
      </c>
      <c r="M484" t="s">
        <v>51</v>
      </c>
      <c r="N484" s="6">
        <v>17202</v>
      </c>
      <c r="O484">
        <v>4.7619047620000003</v>
      </c>
      <c r="P484" s="6">
        <v>860.1</v>
      </c>
      <c r="Q484">
        <v>7.9</v>
      </c>
      <c r="R484" s="6">
        <f>RawSales[[#This Row],[Unit price]]*RawSales[[#This Row],[Quantity]]</f>
        <v>17202</v>
      </c>
      <c r="S484" s="6">
        <f>RawSales[[#This Row],[Subtotal]]*$B$1</f>
        <v>860.1</v>
      </c>
      <c r="T484" s="6" t="b">
        <f>ROUND(RawSales[[#This Row],[Subtotal]],2)=ROUND(RawSales[[#This Row],[cogs]],2)</f>
        <v>1</v>
      </c>
      <c r="U484" s="6" t="b">
        <f>ROUND(RawSales[[#This Row],[cogs]]*0.05,2)=ROUND(RawSales[[#This Row],[Tax 5%]],2)</f>
        <v>1</v>
      </c>
      <c r="V484" s="6" t="b">
        <f>ROUND(RawSales[[#This Row],[cogs]]+RawSales[[#This Row],[Tax 5%]],2)=ROUND(RawSales[[#This Row],[Sales]],2)</f>
        <v>1</v>
      </c>
    </row>
    <row r="485" spans="1:22" x14ac:dyDescent="0.35">
      <c r="A485" s="4" t="s">
        <v>873</v>
      </c>
      <c r="B485" t="s">
        <v>38</v>
      </c>
      <c r="C485" t="s">
        <v>39</v>
      </c>
      <c r="D485" t="s">
        <v>30</v>
      </c>
      <c r="E485" t="s">
        <v>31</v>
      </c>
      <c r="F485" t="s">
        <v>40</v>
      </c>
      <c r="G485" s="6">
        <v>1181</v>
      </c>
      <c r="H485" s="7">
        <v>5</v>
      </c>
      <c r="I485" s="6">
        <v>295.25</v>
      </c>
      <c r="J485" s="6">
        <v>6200.25</v>
      </c>
      <c r="K485" s="5">
        <v>43512.958333333336</v>
      </c>
      <c r="L485" s="4" t="s">
        <v>532</v>
      </c>
      <c r="M485" t="s">
        <v>26</v>
      </c>
      <c r="N485" s="6">
        <v>5905</v>
      </c>
      <c r="O485">
        <v>4.7619047620000003</v>
      </c>
      <c r="P485" s="6">
        <v>295.25</v>
      </c>
      <c r="Q485">
        <v>9.4</v>
      </c>
      <c r="R485" s="6">
        <f>RawSales[[#This Row],[Unit price]]*RawSales[[#This Row],[Quantity]]</f>
        <v>5905</v>
      </c>
      <c r="S485" s="6">
        <f>RawSales[[#This Row],[Subtotal]]*$B$1</f>
        <v>295.25</v>
      </c>
      <c r="T485" s="6" t="b">
        <f>ROUND(RawSales[[#This Row],[Subtotal]],2)=ROUND(RawSales[[#This Row],[cogs]],2)</f>
        <v>1</v>
      </c>
      <c r="U485" s="6" t="b">
        <f>ROUND(RawSales[[#This Row],[cogs]]*0.05,2)=ROUND(RawSales[[#This Row],[Tax 5%]],2)</f>
        <v>1</v>
      </c>
      <c r="V485" s="6" t="b">
        <f>ROUND(RawSales[[#This Row],[cogs]]+RawSales[[#This Row],[Tax 5%]],2)=ROUND(RawSales[[#This Row],[Sales]],2)</f>
        <v>1</v>
      </c>
    </row>
    <row r="486" spans="1:22" x14ac:dyDescent="0.35">
      <c r="A486" s="4" t="s">
        <v>874</v>
      </c>
      <c r="B486" t="s">
        <v>38</v>
      </c>
      <c r="C486" t="s">
        <v>39</v>
      </c>
      <c r="D486" t="s">
        <v>22</v>
      </c>
      <c r="E486" t="s">
        <v>31</v>
      </c>
      <c r="F486" t="s">
        <v>140</v>
      </c>
      <c r="G486" s="6">
        <v>7479</v>
      </c>
      <c r="H486" s="7">
        <v>5</v>
      </c>
      <c r="I486" s="6">
        <v>1869.75</v>
      </c>
      <c r="J486" s="6">
        <v>39264.75</v>
      </c>
      <c r="K486" s="5">
        <v>43474.958333333336</v>
      </c>
      <c r="L486" s="4" t="s">
        <v>875</v>
      </c>
      <c r="M486" t="s">
        <v>26</v>
      </c>
      <c r="N486" s="6">
        <v>37395</v>
      </c>
      <c r="O486">
        <v>4.7619047620000003</v>
      </c>
      <c r="P486" s="6">
        <v>1869.75</v>
      </c>
      <c r="Q486">
        <v>4.9000000000000004</v>
      </c>
      <c r="R486" s="6">
        <f>RawSales[[#This Row],[Unit price]]*RawSales[[#This Row],[Quantity]]</f>
        <v>37395</v>
      </c>
      <c r="S486" s="6">
        <f>RawSales[[#This Row],[Subtotal]]*$B$1</f>
        <v>1869.75</v>
      </c>
      <c r="T486" s="6" t="b">
        <f>ROUND(RawSales[[#This Row],[Subtotal]],2)=ROUND(RawSales[[#This Row],[cogs]],2)</f>
        <v>1</v>
      </c>
      <c r="U486" s="6" t="b">
        <f>ROUND(RawSales[[#This Row],[cogs]]*0.05,2)=ROUND(RawSales[[#This Row],[Tax 5%]],2)</f>
        <v>1</v>
      </c>
      <c r="V486" s="6" t="b">
        <f>ROUND(RawSales[[#This Row],[cogs]]+RawSales[[#This Row],[Tax 5%]],2)=ROUND(RawSales[[#This Row],[Sales]],2)</f>
        <v>1</v>
      </c>
    </row>
    <row r="487" spans="1:22" x14ac:dyDescent="0.35">
      <c r="A487" s="4" t="s">
        <v>876</v>
      </c>
      <c r="B487" t="s">
        <v>28</v>
      </c>
      <c r="C487" t="s">
        <v>29</v>
      </c>
      <c r="D487" t="s">
        <v>30</v>
      </c>
      <c r="E487" t="s">
        <v>31</v>
      </c>
      <c r="F487" t="s">
        <v>43</v>
      </c>
      <c r="G487" s="6">
        <v>6951</v>
      </c>
      <c r="H487" s="7">
        <v>2</v>
      </c>
      <c r="I487" s="6">
        <v>695.1</v>
      </c>
      <c r="J487" s="6">
        <v>14597.1</v>
      </c>
      <c r="K487" s="5">
        <v>43524.958333333336</v>
      </c>
      <c r="L487" s="4" t="s">
        <v>877</v>
      </c>
      <c r="M487" t="s">
        <v>34</v>
      </c>
      <c r="N487" s="6">
        <v>13902</v>
      </c>
      <c r="O487">
        <v>4.7619047620000003</v>
      </c>
      <c r="P487" s="6">
        <v>695.1</v>
      </c>
      <c r="Q487">
        <v>8.1</v>
      </c>
      <c r="R487" s="6">
        <f>RawSales[[#This Row],[Unit price]]*RawSales[[#This Row],[Quantity]]</f>
        <v>13902</v>
      </c>
      <c r="S487" s="6">
        <f>RawSales[[#This Row],[Subtotal]]*$B$1</f>
        <v>695.1</v>
      </c>
      <c r="T487" s="6" t="b">
        <f>ROUND(RawSales[[#This Row],[Subtotal]],2)=ROUND(RawSales[[#This Row],[cogs]],2)</f>
        <v>1</v>
      </c>
      <c r="U487" s="6" t="b">
        <f>ROUND(RawSales[[#This Row],[cogs]]*0.05,2)=ROUND(RawSales[[#This Row],[Tax 5%]],2)</f>
        <v>1</v>
      </c>
      <c r="V487" s="6" t="b">
        <f>ROUND(RawSales[[#This Row],[cogs]]+RawSales[[#This Row],[Tax 5%]],2)=ROUND(RawSales[[#This Row],[Sales]],2)</f>
        <v>1</v>
      </c>
    </row>
    <row r="488" spans="1:22" x14ac:dyDescent="0.35">
      <c r="A488" s="4" t="s">
        <v>878</v>
      </c>
      <c r="B488" t="s">
        <v>20</v>
      </c>
      <c r="C488" t="s">
        <v>21</v>
      </c>
      <c r="D488" t="s">
        <v>30</v>
      </c>
      <c r="E488" t="s">
        <v>31</v>
      </c>
      <c r="F488" t="s">
        <v>40</v>
      </c>
      <c r="G488" s="6">
        <v>1056</v>
      </c>
      <c r="H488" s="7">
        <v>8</v>
      </c>
      <c r="I488" s="6">
        <v>422.4</v>
      </c>
      <c r="J488" s="6">
        <v>8870.4</v>
      </c>
      <c r="K488" s="5">
        <v>43488.958333333336</v>
      </c>
      <c r="L488" s="4" t="s">
        <v>159</v>
      </c>
      <c r="M488" t="s">
        <v>26</v>
      </c>
      <c r="N488" s="6">
        <v>8448</v>
      </c>
      <c r="O488">
        <v>4.7619047620000003</v>
      </c>
      <c r="P488" s="6">
        <v>422.4</v>
      </c>
      <c r="R488" s="6">
        <f>RawSales[[#This Row],[Unit price]]*RawSales[[#This Row],[Quantity]]</f>
        <v>8448</v>
      </c>
      <c r="S488" s="6">
        <f>RawSales[[#This Row],[Subtotal]]*$B$1</f>
        <v>422.40000000000003</v>
      </c>
      <c r="T488" s="6" t="b">
        <f>ROUND(RawSales[[#This Row],[Subtotal]],2)=ROUND(RawSales[[#This Row],[cogs]],2)</f>
        <v>1</v>
      </c>
      <c r="U488" s="6" t="b">
        <f>ROUND(RawSales[[#This Row],[cogs]]*0.05,2)=ROUND(RawSales[[#This Row],[Tax 5%]],2)</f>
        <v>1</v>
      </c>
      <c r="V488" s="6" t="b">
        <f>ROUND(RawSales[[#This Row],[cogs]]+RawSales[[#This Row],[Tax 5%]],2)=ROUND(RawSales[[#This Row],[Sales]],2)</f>
        <v>1</v>
      </c>
    </row>
    <row r="489" spans="1:22" x14ac:dyDescent="0.35">
      <c r="A489" s="4" t="s">
        <v>879</v>
      </c>
      <c r="B489" t="s">
        <v>28</v>
      </c>
      <c r="C489" t="s">
        <v>29</v>
      </c>
      <c r="D489" t="s">
        <v>30</v>
      </c>
      <c r="E489" t="s">
        <v>31</v>
      </c>
      <c r="F489" t="s">
        <v>62</v>
      </c>
      <c r="G489" s="6">
        <v>7497</v>
      </c>
      <c r="H489" s="7">
        <v>1</v>
      </c>
      <c r="I489" s="6">
        <v>374.85</v>
      </c>
      <c r="J489" s="6">
        <v>7871.85</v>
      </c>
      <c r="K489" s="5">
        <v>43539.958333333336</v>
      </c>
      <c r="L489" s="4" t="s">
        <v>880</v>
      </c>
      <c r="M489" t="s">
        <v>26</v>
      </c>
      <c r="N489" s="6">
        <v>7497</v>
      </c>
      <c r="O489">
        <v>4.7619047620000003</v>
      </c>
      <c r="P489" s="6">
        <v>374.85</v>
      </c>
      <c r="Q489">
        <v>5.6</v>
      </c>
      <c r="R489" s="6">
        <f>RawSales[[#This Row],[Unit price]]*RawSales[[#This Row],[Quantity]]</f>
        <v>7497</v>
      </c>
      <c r="S489" s="6">
        <f>RawSales[[#This Row],[Subtotal]]*$B$1</f>
        <v>374.85</v>
      </c>
      <c r="T489" s="6" t="b">
        <f>ROUND(RawSales[[#This Row],[Subtotal]],2)=ROUND(RawSales[[#This Row],[cogs]],2)</f>
        <v>1</v>
      </c>
      <c r="U489" s="6" t="b">
        <f>ROUND(RawSales[[#This Row],[cogs]]*0.05,2)=ROUND(RawSales[[#This Row],[Tax 5%]],2)</f>
        <v>1</v>
      </c>
      <c r="V489" s="6" t="b">
        <f>ROUND(RawSales[[#This Row],[cogs]]+RawSales[[#This Row],[Tax 5%]],2)=ROUND(RawSales[[#This Row],[Sales]],2)</f>
        <v>1</v>
      </c>
    </row>
    <row r="490" spans="1:22" x14ac:dyDescent="0.35">
      <c r="A490" s="4" t="s">
        <v>591</v>
      </c>
      <c r="B490" t="s">
        <v>38</v>
      </c>
      <c r="C490" t="s">
        <v>39</v>
      </c>
      <c r="D490" t="s">
        <v>22</v>
      </c>
      <c r="E490" t="s">
        <v>31</v>
      </c>
      <c r="F490" t="s">
        <v>43</v>
      </c>
      <c r="G490" s="6">
        <v>4407</v>
      </c>
      <c r="H490" s="7">
        <v>4</v>
      </c>
      <c r="I490" s="6">
        <v>881.4</v>
      </c>
      <c r="J490" s="6">
        <v>18509.400000000001</v>
      </c>
      <c r="K490" s="5">
        <v>43513.958333333336</v>
      </c>
      <c r="L490" s="4" t="s">
        <v>145</v>
      </c>
      <c r="M490" t="s">
        <v>34</v>
      </c>
      <c r="N490" s="6">
        <v>17628</v>
      </c>
      <c r="O490">
        <v>4.7619047620000003</v>
      </c>
      <c r="P490" s="6">
        <v>881.4</v>
      </c>
      <c r="Q490">
        <v>8.4</v>
      </c>
      <c r="R490" s="6">
        <f>RawSales[[#This Row],[Unit price]]*RawSales[[#This Row],[Quantity]]</f>
        <v>17628</v>
      </c>
      <c r="S490" s="6">
        <f>RawSales[[#This Row],[Subtotal]]*$B$1</f>
        <v>881.40000000000009</v>
      </c>
      <c r="T490" s="6" t="b">
        <f>ROUND(RawSales[[#This Row],[Subtotal]],2)=ROUND(RawSales[[#This Row],[cogs]],2)</f>
        <v>1</v>
      </c>
      <c r="U490" s="6" t="b">
        <f>ROUND(RawSales[[#This Row],[cogs]]*0.05,2)=ROUND(RawSales[[#This Row],[Tax 5%]],2)</f>
        <v>1</v>
      </c>
      <c r="V490" s="6" t="b">
        <f>ROUND(RawSales[[#This Row],[cogs]]+RawSales[[#This Row],[Tax 5%]],2)=ROUND(RawSales[[#This Row],[Sales]],2)</f>
        <v>1</v>
      </c>
    </row>
    <row r="491" spans="1:22" x14ac:dyDescent="0.35">
      <c r="A491" s="4" t="s">
        <v>881</v>
      </c>
      <c r="B491" t="s">
        <v>20</v>
      </c>
      <c r="C491" t="s">
        <v>21</v>
      </c>
      <c r="D491" t="s">
        <v>30</v>
      </c>
      <c r="E491" t="s">
        <v>23</v>
      </c>
      <c r="F491" t="s">
        <v>24</v>
      </c>
      <c r="G491" s="6">
        <v>7168</v>
      </c>
      <c r="H491" s="7">
        <v>3</v>
      </c>
      <c r="I491" s="6">
        <v>1075.2</v>
      </c>
      <c r="J491" s="6">
        <v>22579.200000000001</v>
      </c>
      <c r="K491" s="5">
        <v>43551.958333333336</v>
      </c>
      <c r="L491" s="4" t="s">
        <v>882</v>
      </c>
      <c r="M491" t="s">
        <v>51</v>
      </c>
      <c r="N491" s="6">
        <v>21504</v>
      </c>
      <c r="O491">
        <v>4.7619047620000003</v>
      </c>
      <c r="P491" s="6">
        <v>1075.2</v>
      </c>
      <c r="Q491">
        <v>9.1999999999999993</v>
      </c>
      <c r="R491" s="6">
        <f>RawSales[[#This Row],[Unit price]]*RawSales[[#This Row],[Quantity]]</f>
        <v>21504</v>
      </c>
      <c r="S491" s="6">
        <f>RawSales[[#This Row],[Subtotal]]*$B$1</f>
        <v>1075.2</v>
      </c>
      <c r="T491" s="6" t="b">
        <f>ROUND(RawSales[[#This Row],[Subtotal]],2)=ROUND(RawSales[[#This Row],[cogs]],2)</f>
        <v>1</v>
      </c>
      <c r="U491" s="6" t="b">
        <f>ROUND(RawSales[[#This Row],[cogs]]*0.05,2)=ROUND(RawSales[[#This Row],[Tax 5%]],2)</f>
        <v>1</v>
      </c>
      <c r="V491" s="6" t="b">
        <f>ROUND(RawSales[[#This Row],[cogs]]+RawSales[[#This Row],[Tax 5%]],2)=ROUND(RawSales[[#This Row],[Sales]],2)</f>
        <v>1</v>
      </c>
    </row>
    <row r="492" spans="1:22" x14ac:dyDescent="0.35">
      <c r="A492" s="4" t="s">
        <v>883</v>
      </c>
      <c r="B492" t="s">
        <v>20</v>
      </c>
      <c r="C492" t="s">
        <v>21</v>
      </c>
      <c r="D492" t="s">
        <v>22</v>
      </c>
      <c r="E492" t="s">
        <v>31</v>
      </c>
      <c r="F492" t="s">
        <v>40</v>
      </c>
      <c r="G492" s="6">
        <v>2150</v>
      </c>
      <c r="H492" s="7">
        <v>9</v>
      </c>
      <c r="I492" s="6">
        <v>967.5</v>
      </c>
      <c r="J492" s="6">
        <v>20317.5</v>
      </c>
      <c r="K492" s="5">
        <v>43529.958333333336</v>
      </c>
      <c r="L492" s="4" t="s">
        <v>884</v>
      </c>
      <c r="M492" t="s">
        <v>51</v>
      </c>
      <c r="N492" s="6">
        <v>19350</v>
      </c>
      <c r="O492">
        <v>4.7619047620000003</v>
      </c>
      <c r="P492" s="6">
        <v>967.5</v>
      </c>
      <c r="Q492">
        <v>7.8</v>
      </c>
      <c r="R492" s="6">
        <f>RawSales[[#This Row],[Unit price]]*RawSales[[#This Row],[Quantity]]</f>
        <v>19350</v>
      </c>
      <c r="S492" s="6">
        <f>RawSales[[#This Row],[Subtotal]]*$B$1</f>
        <v>967.5</v>
      </c>
      <c r="T492" s="6" t="b">
        <f>ROUND(RawSales[[#This Row],[Subtotal]],2)=ROUND(RawSales[[#This Row],[cogs]],2)</f>
        <v>1</v>
      </c>
      <c r="U492" s="6" t="b">
        <f>ROUND(RawSales[[#This Row],[cogs]]*0.05,2)=ROUND(RawSales[[#This Row],[Tax 5%]],2)</f>
        <v>1</v>
      </c>
      <c r="V492" s="6" t="b">
        <f>ROUND(RawSales[[#This Row],[cogs]]+RawSales[[#This Row],[Tax 5%]],2)=ROUND(RawSales[[#This Row],[Sales]],2)</f>
        <v>1</v>
      </c>
    </row>
    <row r="493" spans="1:22" x14ac:dyDescent="0.35">
      <c r="A493" s="4" t="s">
        <v>885</v>
      </c>
      <c r="B493" t="s">
        <v>38</v>
      </c>
      <c r="C493" t="s">
        <v>39</v>
      </c>
      <c r="D493" t="s">
        <v>22</v>
      </c>
      <c r="E493" t="s">
        <v>31</v>
      </c>
      <c r="F493" t="s">
        <v>62</v>
      </c>
      <c r="G493" s="6">
        <v>1714</v>
      </c>
      <c r="H493" s="7">
        <v>7</v>
      </c>
      <c r="I493" s="6">
        <v>599.9</v>
      </c>
      <c r="J493" s="6">
        <v>12597.9</v>
      </c>
      <c r="K493" s="5">
        <v>43480.958333333336</v>
      </c>
      <c r="L493" s="4" t="s">
        <v>190</v>
      </c>
      <c r="M493" t="s">
        <v>51</v>
      </c>
      <c r="N493" s="6">
        <v>11998</v>
      </c>
      <c r="O493">
        <v>4.7619047620000003</v>
      </c>
      <c r="P493" s="6">
        <v>599.9</v>
      </c>
      <c r="Q493">
        <v>7.9</v>
      </c>
      <c r="R493" s="6">
        <f>RawSales[[#This Row],[Unit price]]*RawSales[[#This Row],[Quantity]]</f>
        <v>11998</v>
      </c>
      <c r="S493" s="6">
        <f>RawSales[[#This Row],[Subtotal]]*$B$1</f>
        <v>599.9</v>
      </c>
      <c r="T493" s="6" t="b">
        <f>ROUND(RawSales[[#This Row],[Subtotal]],2)=ROUND(RawSales[[#This Row],[cogs]],2)</f>
        <v>1</v>
      </c>
      <c r="U493" s="6" t="b">
        <f>ROUND(RawSales[[#This Row],[cogs]]*0.05,2)=ROUND(RawSales[[#This Row],[Tax 5%]],2)</f>
        <v>1</v>
      </c>
      <c r="V493" s="6" t="b">
        <f>ROUND(RawSales[[#This Row],[cogs]]+RawSales[[#This Row],[Tax 5%]],2)=ROUND(RawSales[[#This Row],[Sales]],2)</f>
        <v>1</v>
      </c>
    </row>
    <row r="494" spans="1:22" x14ac:dyDescent="0.35">
      <c r="A494" s="4" t="s">
        <v>886</v>
      </c>
      <c r="B494" t="s">
        <v>28</v>
      </c>
      <c r="C494" t="s">
        <v>29</v>
      </c>
      <c r="D494" t="s">
        <v>30</v>
      </c>
      <c r="E494" t="s">
        <v>31</v>
      </c>
      <c r="F494" t="s">
        <v>40</v>
      </c>
      <c r="G494" s="6">
        <v>8708</v>
      </c>
      <c r="H494" s="7">
        <v>7</v>
      </c>
      <c r="I494" s="6">
        <v>3047.8</v>
      </c>
      <c r="J494" s="6">
        <v>64003.8</v>
      </c>
      <c r="K494" s="5">
        <v>43490.958333333336</v>
      </c>
      <c r="L494" s="4" t="s">
        <v>887</v>
      </c>
      <c r="M494" t="s">
        <v>26</v>
      </c>
      <c r="N494" s="6">
        <v>60956</v>
      </c>
      <c r="O494">
        <v>4.7619047620000003</v>
      </c>
      <c r="P494" s="6">
        <v>3047.8</v>
      </c>
      <c r="Q494">
        <v>5.5</v>
      </c>
      <c r="R494" s="6">
        <f>RawSales[[#This Row],[Unit price]]*RawSales[[#This Row],[Quantity]]</f>
        <v>60956</v>
      </c>
      <c r="S494" s="6">
        <f>RawSales[[#This Row],[Subtotal]]*$B$1</f>
        <v>3047.8</v>
      </c>
      <c r="T494" s="6" t="b">
        <f>ROUND(RawSales[[#This Row],[Subtotal]],2)=ROUND(RawSales[[#This Row],[cogs]],2)</f>
        <v>1</v>
      </c>
      <c r="U494" s="6" t="b">
        <f>ROUND(RawSales[[#This Row],[cogs]]*0.05,2)=ROUND(RawSales[[#This Row],[Tax 5%]],2)</f>
        <v>1</v>
      </c>
      <c r="V494" s="6" t="b">
        <f>ROUND(RawSales[[#This Row],[cogs]]+RawSales[[#This Row],[Tax 5%]],2)=ROUND(RawSales[[#This Row],[Sales]],2)</f>
        <v>1</v>
      </c>
    </row>
    <row r="495" spans="1:22" x14ac:dyDescent="0.35">
      <c r="A495" s="4" t="s">
        <v>888</v>
      </c>
      <c r="B495" t="s">
        <v>20</v>
      </c>
      <c r="C495" t="s">
        <v>21</v>
      </c>
      <c r="D495" t="s">
        <v>22</v>
      </c>
      <c r="E495" t="s">
        <v>23</v>
      </c>
      <c r="F495" t="s">
        <v>62</v>
      </c>
      <c r="G495" s="6">
        <v>8631</v>
      </c>
      <c r="H495" s="7">
        <v>7</v>
      </c>
      <c r="I495" s="6">
        <v>3020.85</v>
      </c>
      <c r="J495" s="6">
        <v>63437.85</v>
      </c>
      <c r="K495" s="5">
        <v>43503.958333333336</v>
      </c>
      <c r="L495" s="4" t="s">
        <v>889</v>
      </c>
      <c r="M495" t="s">
        <v>34</v>
      </c>
      <c r="N495" s="6">
        <v>60417</v>
      </c>
      <c r="O495">
        <v>4.7619047620000003</v>
      </c>
      <c r="P495" s="6">
        <v>3020.85</v>
      </c>
      <c r="Q495">
        <v>5.3</v>
      </c>
      <c r="R495" s="6">
        <f>RawSales[[#This Row],[Unit price]]*RawSales[[#This Row],[Quantity]]</f>
        <v>60417</v>
      </c>
      <c r="S495" s="6">
        <f>RawSales[[#This Row],[Subtotal]]*$B$1</f>
        <v>3020.8500000000004</v>
      </c>
      <c r="T495" s="6" t="b">
        <f>ROUND(RawSales[[#This Row],[Subtotal]],2)=ROUND(RawSales[[#This Row],[cogs]],2)</f>
        <v>1</v>
      </c>
      <c r="U495" s="6" t="b">
        <f>ROUND(RawSales[[#This Row],[cogs]]*0.05,2)=ROUND(RawSales[[#This Row],[Tax 5%]],2)</f>
        <v>1</v>
      </c>
      <c r="V495" s="6" t="b">
        <f>ROUND(RawSales[[#This Row],[cogs]]+RawSales[[#This Row],[Tax 5%]],2)=ROUND(RawSales[[#This Row],[Sales]],2)</f>
        <v>1</v>
      </c>
    </row>
    <row r="496" spans="1:22" x14ac:dyDescent="0.35">
      <c r="A496" s="4" t="s">
        <v>890</v>
      </c>
      <c r="B496" t="s">
        <v>20</v>
      </c>
      <c r="C496" t="s">
        <v>21</v>
      </c>
      <c r="D496" t="s">
        <v>30</v>
      </c>
      <c r="E496" t="s">
        <v>23</v>
      </c>
      <c r="F496" t="s">
        <v>62</v>
      </c>
      <c r="G496" s="6">
        <v>1534</v>
      </c>
      <c r="H496" s="7">
        <v>1</v>
      </c>
      <c r="I496" s="6">
        <v>76.7</v>
      </c>
      <c r="J496" s="6">
        <v>1610.7</v>
      </c>
      <c r="K496" s="5">
        <v>43470.958333333336</v>
      </c>
      <c r="L496" s="4" t="s">
        <v>891</v>
      </c>
      <c r="M496" t="s">
        <v>26</v>
      </c>
      <c r="N496" s="6">
        <v>1534</v>
      </c>
      <c r="O496">
        <v>4.7619047620000003</v>
      </c>
      <c r="P496" s="6">
        <v>76.7</v>
      </c>
      <c r="Q496">
        <v>6.5</v>
      </c>
      <c r="R496" s="6">
        <f>RawSales[[#This Row],[Unit price]]*RawSales[[#This Row],[Quantity]]</f>
        <v>1534</v>
      </c>
      <c r="S496" s="6">
        <f>RawSales[[#This Row],[Subtotal]]*$B$1</f>
        <v>76.7</v>
      </c>
      <c r="T496" s="6" t="b">
        <f>ROUND(RawSales[[#This Row],[Subtotal]],2)=ROUND(RawSales[[#This Row],[cogs]],2)</f>
        <v>1</v>
      </c>
      <c r="U496" s="6" t="b">
        <f>ROUND(RawSales[[#This Row],[cogs]]*0.05,2)=ROUND(RawSales[[#This Row],[Tax 5%]],2)</f>
        <v>1</v>
      </c>
      <c r="V496" s="6" t="b">
        <f>ROUND(RawSales[[#This Row],[cogs]]+RawSales[[#This Row],[Tax 5%]],2)=ROUND(RawSales[[#This Row],[Sales]],2)</f>
        <v>1</v>
      </c>
    </row>
    <row r="497" spans="1:22" x14ac:dyDescent="0.35">
      <c r="A497" s="4" t="s">
        <v>892</v>
      </c>
      <c r="B497" t="s">
        <v>20</v>
      </c>
      <c r="C497" t="s">
        <v>21</v>
      </c>
      <c r="D497" t="s">
        <v>22</v>
      </c>
      <c r="E497" t="s">
        <v>23</v>
      </c>
      <c r="F497" t="s">
        <v>40</v>
      </c>
      <c r="G497" s="6">
        <v>6884</v>
      </c>
      <c r="H497" s="7">
        <v>6</v>
      </c>
      <c r="I497" s="6">
        <v>2065.1999999999998</v>
      </c>
      <c r="J497" s="6">
        <v>43369.2</v>
      </c>
      <c r="K497" s="4" t="s">
        <v>263</v>
      </c>
      <c r="L497" s="4" t="s">
        <v>692</v>
      </c>
      <c r="M497" t="s">
        <v>34</v>
      </c>
      <c r="N497" s="6">
        <v>41304</v>
      </c>
      <c r="O497">
        <v>4.7619047620000003</v>
      </c>
      <c r="P497" s="6">
        <v>2065.1999999999998</v>
      </c>
      <c r="Q497">
        <v>5.8</v>
      </c>
      <c r="R497" s="6">
        <f>RawSales[[#This Row],[Unit price]]*RawSales[[#This Row],[Quantity]]</f>
        <v>41304</v>
      </c>
      <c r="S497" s="6">
        <f>RawSales[[#This Row],[Subtotal]]*$B$1</f>
        <v>2065.2000000000003</v>
      </c>
      <c r="T497" s="6" t="b">
        <f>ROUND(RawSales[[#This Row],[Subtotal]],2)=ROUND(RawSales[[#This Row],[cogs]],2)</f>
        <v>1</v>
      </c>
      <c r="U497" s="6" t="b">
        <f>ROUND(RawSales[[#This Row],[cogs]]*0.05,2)=ROUND(RawSales[[#This Row],[Tax 5%]],2)</f>
        <v>1</v>
      </c>
      <c r="V497" s="6" t="b">
        <f>ROUND(RawSales[[#This Row],[cogs]]+RawSales[[#This Row],[Tax 5%]],2)=ROUND(RawSales[[#This Row],[Sales]],2)</f>
        <v>1</v>
      </c>
    </row>
    <row r="498" spans="1:22" x14ac:dyDescent="0.35">
      <c r="A498" s="4" t="s">
        <v>893</v>
      </c>
      <c r="B498" t="s">
        <v>20</v>
      </c>
      <c r="C498" t="s">
        <v>21</v>
      </c>
      <c r="D498" t="s">
        <v>22</v>
      </c>
      <c r="E498" t="s">
        <v>23</v>
      </c>
      <c r="F498" t="s">
        <v>140</v>
      </c>
      <c r="G498" s="6">
        <v>1742</v>
      </c>
      <c r="H498" s="7">
        <v>10</v>
      </c>
      <c r="I498" s="6">
        <v>871</v>
      </c>
      <c r="J498" s="6">
        <v>18291</v>
      </c>
      <c r="K498" s="5">
        <v>43517.958333333336</v>
      </c>
      <c r="L498" s="4" t="s">
        <v>894</v>
      </c>
      <c r="M498" t="s">
        <v>34</v>
      </c>
      <c r="N498" s="6">
        <v>17420</v>
      </c>
      <c r="O498">
        <v>4.7619047620000003</v>
      </c>
      <c r="P498" s="6">
        <v>871</v>
      </c>
      <c r="Q498">
        <v>7</v>
      </c>
      <c r="R498" s="6">
        <f>RawSales[[#This Row],[Unit price]]*RawSales[[#This Row],[Quantity]]</f>
        <v>17420</v>
      </c>
      <c r="S498" s="6">
        <f>RawSales[[#This Row],[Subtotal]]*$B$1</f>
        <v>871</v>
      </c>
      <c r="T498" s="6" t="b">
        <f>ROUND(RawSales[[#This Row],[Subtotal]],2)=ROUND(RawSales[[#This Row],[cogs]],2)</f>
        <v>1</v>
      </c>
      <c r="U498" s="6" t="b">
        <f>ROUND(RawSales[[#This Row],[cogs]]*0.05,2)=ROUND(RawSales[[#This Row],[Tax 5%]],2)</f>
        <v>1</v>
      </c>
      <c r="V498" s="6" t="b">
        <f>ROUND(RawSales[[#This Row],[cogs]]+RawSales[[#This Row],[Tax 5%]],2)=ROUND(RawSales[[#This Row],[Sales]],2)</f>
        <v>1</v>
      </c>
    </row>
    <row r="499" spans="1:22" x14ac:dyDescent="0.35">
      <c r="A499" s="4" t="s">
        <v>895</v>
      </c>
      <c r="B499" t="s">
        <v>38</v>
      </c>
      <c r="C499" t="s">
        <v>39</v>
      </c>
      <c r="D499" t="s">
        <v>22</v>
      </c>
      <c r="E499" t="s">
        <v>23</v>
      </c>
      <c r="F499" t="s">
        <v>24</v>
      </c>
      <c r="G499" s="6">
        <v>6854</v>
      </c>
      <c r="H499" s="7">
        <v>8</v>
      </c>
      <c r="I499" s="6">
        <v>2741.6</v>
      </c>
      <c r="J499" s="6">
        <v>57573.599999999999</v>
      </c>
      <c r="K499" s="5">
        <v>43472.958333333336</v>
      </c>
      <c r="L499" s="4" t="s">
        <v>896</v>
      </c>
      <c r="M499" t="s">
        <v>34</v>
      </c>
      <c r="N499" s="6">
        <v>54832</v>
      </c>
      <c r="O499">
        <v>4.7619047620000003</v>
      </c>
      <c r="P499" s="6">
        <v>2741.6</v>
      </c>
      <c r="Q499">
        <v>8.5</v>
      </c>
      <c r="R499" s="6">
        <f>RawSales[[#This Row],[Unit price]]*RawSales[[#This Row],[Quantity]]</f>
        <v>54832</v>
      </c>
      <c r="S499" s="6">
        <f>RawSales[[#This Row],[Subtotal]]*$B$1</f>
        <v>2741.6000000000004</v>
      </c>
      <c r="T499" s="6" t="b">
        <f>ROUND(RawSales[[#This Row],[Subtotal]],2)=ROUND(RawSales[[#This Row],[cogs]],2)</f>
        <v>1</v>
      </c>
      <c r="U499" s="6" t="b">
        <f>ROUND(RawSales[[#This Row],[cogs]]*0.05,2)=ROUND(RawSales[[#This Row],[Tax 5%]],2)</f>
        <v>1</v>
      </c>
      <c r="V499" s="6" t="b">
        <f>ROUND(RawSales[[#This Row],[cogs]]+RawSales[[#This Row],[Tax 5%]],2)=ROUND(RawSales[[#This Row],[Sales]],2)</f>
        <v>1</v>
      </c>
    </row>
    <row r="500" spans="1:22" x14ac:dyDescent="0.35">
      <c r="A500" s="4" t="s">
        <v>897</v>
      </c>
      <c r="B500" t="s">
        <v>20</v>
      </c>
      <c r="C500" t="s">
        <v>21</v>
      </c>
      <c r="D500" t="s">
        <v>22</v>
      </c>
      <c r="E500" t="s">
        <v>31</v>
      </c>
      <c r="F500" t="s">
        <v>40</v>
      </c>
      <c r="G500" s="6">
        <v>7772</v>
      </c>
      <c r="H500" s="7">
        <v>4</v>
      </c>
      <c r="I500" s="6">
        <v>1554.4</v>
      </c>
      <c r="J500" s="6">
        <v>32642.400000000001</v>
      </c>
      <c r="K500" s="5">
        <v>43471.958333333336</v>
      </c>
      <c r="L500" s="4" t="s">
        <v>898</v>
      </c>
      <c r="M500" t="s">
        <v>51</v>
      </c>
      <c r="N500" s="6">
        <v>31088</v>
      </c>
      <c r="O500">
        <v>4.7619047620000003</v>
      </c>
      <c r="P500" s="6">
        <v>1554.4</v>
      </c>
      <c r="Q500">
        <v>8.8000000000000007</v>
      </c>
      <c r="R500" s="6">
        <f>RawSales[[#This Row],[Unit price]]*RawSales[[#This Row],[Quantity]]</f>
        <v>31088</v>
      </c>
      <c r="S500" s="6">
        <f>RawSales[[#This Row],[Subtotal]]*$B$1</f>
        <v>1554.4</v>
      </c>
      <c r="T500" s="6" t="b">
        <f>ROUND(RawSales[[#This Row],[Subtotal]],2)=ROUND(RawSales[[#This Row],[cogs]],2)</f>
        <v>1</v>
      </c>
      <c r="U500" s="6" t="b">
        <f>ROUND(RawSales[[#This Row],[cogs]]*0.05,2)=ROUND(RawSales[[#This Row],[Tax 5%]],2)</f>
        <v>1</v>
      </c>
      <c r="V500" s="6" t="b">
        <f>ROUND(RawSales[[#This Row],[cogs]]+RawSales[[#This Row],[Tax 5%]],2)=ROUND(RawSales[[#This Row],[Sales]],2)</f>
        <v>1</v>
      </c>
    </row>
    <row r="501" spans="1:22" x14ac:dyDescent="0.35">
      <c r="A501" s="4" t="s">
        <v>899</v>
      </c>
      <c r="B501" t="s">
        <v>20</v>
      </c>
      <c r="C501" t="s">
        <v>21</v>
      </c>
      <c r="D501" t="s">
        <v>22</v>
      </c>
      <c r="E501" t="s">
        <v>31</v>
      </c>
      <c r="F501" t="s">
        <v>40</v>
      </c>
      <c r="G501" s="6">
        <v>7220</v>
      </c>
      <c r="H501" s="7">
        <v>7</v>
      </c>
      <c r="I501" s="6">
        <v>2527</v>
      </c>
      <c r="J501" s="6">
        <v>53067</v>
      </c>
      <c r="K501" s="5">
        <v>43549.958333333336</v>
      </c>
      <c r="L501" s="4" t="s">
        <v>290</v>
      </c>
      <c r="M501" t="s">
        <v>34</v>
      </c>
      <c r="N501" s="6">
        <v>50540</v>
      </c>
      <c r="O501">
        <v>4.7619047620000003</v>
      </c>
      <c r="P501" s="6">
        <v>2527</v>
      </c>
      <c r="Q501">
        <v>4.3</v>
      </c>
      <c r="R501" s="6">
        <f>RawSales[[#This Row],[Unit price]]*RawSales[[#This Row],[Quantity]]</f>
        <v>50540</v>
      </c>
      <c r="S501" s="6">
        <f>RawSales[[#This Row],[Subtotal]]*$B$1</f>
        <v>2527</v>
      </c>
      <c r="T501" s="6" t="b">
        <f>ROUND(RawSales[[#This Row],[Subtotal]],2)=ROUND(RawSales[[#This Row],[cogs]],2)</f>
        <v>1</v>
      </c>
      <c r="U501" s="6" t="b">
        <f>ROUND(RawSales[[#This Row],[cogs]]*0.05,2)=ROUND(RawSales[[#This Row],[Tax 5%]],2)</f>
        <v>1</v>
      </c>
      <c r="V501" s="6" t="b">
        <f>ROUND(RawSales[[#This Row],[cogs]]+RawSales[[#This Row],[Tax 5%]],2)=ROUND(RawSales[[#This Row],[Sales]],2)</f>
        <v>1</v>
      </c>
    </row>
    <row r="502" spans="1:22" x14ac:dyDescent="0.35">
      <c r="A502" s="4" t="s">
        <v>900</v>
      </c>
      <c r="B502" t="s">
        <v>28</v>
      </c>
      <c r="C502" t="s">
        <v>29</v>
      </c>
      <c r="D502" t="s">
        <v>22</v>
      </c>
      <c r="E502" t="s">
        <v>23</v>
      </c>
      <c r="F502" t="s">
        <v>43</v>
      </c>
      <c r="G502" s="6">
        <v>2707</v>
      </c>
      <c r="H502" s="7">
        <v>1</v>
      </c>
      <c r="I502" s="6">
        <v>135.35</v>
      </c>
      <c r="J502" s="6">
        <v>2842.35</v>
      </c>
      <c r="K502" s="5">
        <v>43476.958333333336</v>
      </c>
      <c r="L502" s="4" t="s">
        <v>901</v>
      </c>
      <c r="M502" t="s">
        <v>51</v>
      </c>
      <c r="N502" s="6">
        <v>2707</v>
      </c>
      <c r="O502">
        <v>4.7619047620000003</v>
      </c>
      <c r="P502" s="6">
        <v>135.35</v>
      </c>
      <c r="Q502">
        <v>5.3</v>
      </c>
      <c r="R502" s="6">
        <f>RawSales[[#This Row],[Unit price]]*RawSales[[#This Row],[Quantity]]</f>
        <v>2707</v>
      </c>
      <c r="S502" s="6">
        <f>RawSales[[#This Row],[Subtotal]]*$B$1</f>
        <v>135.35</v>
      </c>
      <c r="T502" s="6" t="b">
        <f>ROUND(RawSales[[#This Row],[Subtotal]],2)=ROUND(RawSales[[#This Row],[cogs]],2)</f>
        <v>1</v>
      </c>
      <c r="U502" s="6" t="b">
        <f>ROUND(RawSales[[#This Row],[cogs]]*0.05,2)=ROUND(RawSales[[#This Row],[Tax 5%]],2)</f>
        <v>1</v>
      </c>
      <c r="V502" s="6" t="b">
        <f>ROUND(RawSales[[#This Row],[cogs]]+RawSales[[#This Row],[Tax 5%]],2)=ROUND(RawSales[[#This Row],[Sales]],2)</f>
        <v>1</v>
      </c>
    </row>
    <row r="503" spans="1:22" x14ac:dyDescent="0.35">
      <c r="A503" s="4" t="s">
        <v>902</v>
      </c>
      <c r="B503" t="s">
        <v>28</v>
      </c>
      <c r="C503" t="s">
        <v>29</v>
      </c>
      <c r="D503" t="s">
        <v>22</v>
      </c>
      <c r="E503" t="s">
        <v>23</v>
      </c>
      <c r="F503" t="s">
        <v>46</v>
      </c>
      <c r="G503" s="6">
        <v>9372</v>
      </c>
      <c r="H503" s="7">
        <v>6</v>
      </c>
      <c r="I503" s="6">
        <v>2811.6</v>
      </c>
      <c r="J503" s="6">
        <v>59043.6</v>
      </c>
      <c r="K503" s="5">
        <v>43479.958333333336</v>
      </c>
      <c r="L503" s="4" t="s">
        <v>470</v>
      </c>
      <c r="M503" t="s">
        <v>26</v>
      </c>
      <c r="N503" s="6">
        <v>56232</v>
      </c>
      <c r="O503">
        <v>4.7619047620000003</v>
      </c>
      <c r="P503" s="6">
        <v>2811.6</v>
      </c>
      <c r="Q503">
        <v>4.5</v>
      </c>
      <c r="R503" s="6">
        <f>RawSales[[#This Row],[Unit price]]*RawSales[[#This Row],[Quantity]]</f>
        <v>56232</v>
      </c>
      <c r="S503" s="6">
        <f>RawSales[[#This Row],[Subtotal]]*$B$1</f>
        <v>2811.6000000000004</v>
      </c>
      <c r="T503" s="6" t="b">
        <f>ROUND(RawSales[[#This Row],[Subtotal]],2)=ROUND(RawSales[[#This Row],[cogs]],2)</f>
        <v>1</v>
      </c>
      <c r="U503" s="6" t="b">
        <f>ROUND(RawSales[[#This Row],[cogs]]*0.05,2)=ROUND(RawSales[[#This Row],[Tax 5%]],2)</f>
        <v>1</v>
      </c>
      <c r="V503" s="6" t="b">
        <f>ROUND(RawSales[[#This Row],[cogs]]+RawSales[[#This Row],[Tax 5%]],2)=ROUND(RawSales[[#This Row],[Sales]],2)</f>
        <v>1</v>
      </c>
    </row>
    <row r="504" spans="1:22" x14ac:dyDescent="0.35">
      <c r="A504" s="4" t="s">
        <v>903</v>
      </c>
      <c r="B504" t="s">
        <v>38</v>
      </c>
      <c r="C504" t="s">
        <v>39</v>
      </c>
      <c r="D504" t="s">
        <v>22</v>
      </c>
      <c r="E504" t="s">
        <v>31</v>
      </c>
      <c r="F504" t="s">
        <v>32</v>
      </c>
      <c r="G504" s="6">
        <v>3939</v>
      </c>
      <c r="H504" s="7">
        <v>5</v>
      </c>
      <c r="I504" s="6">
        <v>984.75</v>
      </c>
      <c r="J504" s="6">
        <v>20679.75</v>
      </c>
      <c r="K504" s="5">
        <v>43486.958333333336</v>
      </c>
      <c r="L504" s="4" t="s">
        <v>683</v>
      </c>
      <c r="M504" t="s">
        <v>51</v>
      </c>
      <c r="N504" s="6">
        <v>19695</v>
      </c>
      <c r="O504">
        <v>4.7619047620000003</v>
      </c>
      <c r="P504" s="6">
        <v>984.75</v>
      </c>
      <c r="Q504">
        <v>8.6999999999999993</v>
      </c>
      <c r="R504" s="6">
        <f>RawSales[[#This Row],[Unit price]]*RawSales[[#This Row],[Quantity]]</f>
        <v>19695</v>
      </c>
      <c r="S504" s="6">
        <f>RawSales[[#This Row],[Subtotal]]*$B$1</f>
        <v>984.75</v>
      </c>
      <c r="T504" s="6" t="b">
        <f>ROUND(RawSales[[#This Row],[Subtotal]],2)=ROUND(RawSales[[#This Row],[cogs]],2)</f>
        <v>1</v>
      </c>
      <c r="U504" s="6" t="b">
        <f>ROUND(RawSales[[#This Row],[cogs]]*0.05,2)=ROUND(RawSales[[#This Row],[Tax 5%]],2)</f>
        <v>1</v>
      </c>
      <c r="V504" s="6" t="b">
        <f>ROUND(RawSales[[#This Row],[cogs]]+RawSales[[#This Row],[Tax 5%]],2)=ROUND(RawSales[[#This Row],[Sales]],2)</f>
        <v>1</v>
      </c>
    </row>
    <row r="505" spans="1:22" x14ac:dyDescent="0.35">
      <c r="A505" s="4" t="s">
        <v>904</v>
      </c>
      <c r="B505" t="s">
        <v>20</v>
      </c>
      <c r="C505" t="s">
        <v>21</v>
      </c>
      <c r="D505" t="s">
        <v>22</v>
      </c>
      <c r="E505" t="s">
        <v>23</v>
      </c>
      <c r="F505" t="s">
        <v>40</v>
      </c>
      <c r="G505" s="6">
        <v>6248</v>
      </c>
      <c r="H505" s="7">
        <v>1</v>
      </c>
      <c r="I505" s="6">
        <v>312.39999999999998</v>
      </c>
      <c r="J505" s="6">
        <v>6560.4</v>
      </c>
      <c r="K505" s="5">
        <v>43513.958333333336</v>
      </c>
      <c r="L505" s="4" t="s">
        <v>186</v>
      </c>
      <c r="M505" t="s">
        <v>26</v>
      </c>
      <c r="N505" s="6">
        <v>6248</v>
      </c>
      <c r="O505">
        <v>4.7619047620000003</v>
      </c>
      <c r="P505" s="6">
        <v>312.39999999999998</v>
      </c>
      <c r="Q505">
        <v>4.7</v>
      </c>
      <c r="R505" s="6">
        <f>RawSales[[#This Row],[Unit price]]*RawSales[[#This Row],[Quantity]]</f>
        <v>6248</v>
      </c>
      <c r="S505" s="6">
        <f>RawSales[[#This Row],[Subtotal]]*$B$1</f>
        <v>312.40000000000003</v>
      </c>
      <c r="T505" s="6" t="b">
        <f>ROUND(RawSales[[#This Row],[Subtotal]],2)=ROUND(RawSales[[#This Row],[cogs]],2)</f>
        <v>1</v>
      </c>
      <c r="U505" s="6" t="b">
        <f>ROUND(RawSales[[#This Row],[cogs]]*0.05,2)=ROUND(RawSales[[#This Row],[Tax 5%]],2)</f>
        <v>1</v>
      </c>
      <c r="V505" s="6" t="b">
        <f>ROUND(RawSales[[#This Row],[cogs]]+RawSales[[#This Row],[Tax 5%]],2)=ROUND(RawSales[[#This Row],[Sales]],2)</f>
        <v>1</v>
      </c>
    </row>
    <row r="506" spans="1:22" x14ac:dyDescent="0.35">
      <c r="A506" s="4" t="s">
        <v>905</v>
      </c>
      <c r="B506" t="s">
        <v>38</v>
      </c>
      <c r="C506" t="s">
        <v>39</v>
      </c>
      <c r="D506" t="s">
        <v>30</v>
      </c>
      <c r="E506" t="s">
        <v>31</v>
      </c>
      <c r="F506" t="s">
        <v>43</v>
      </c>
      <c r="G506" s="6">
        <v>3364</v>
      </c>
      <c r="H506" s="7">
        <v>8</v>
      </c>
      <c r="I506" s="6">
        <v>1345.6</v>
      </c>
      <c r="J506" s="6">
        <v>28257.599999999999</v>
      </c>
      <c r="K506" s="5">
        <v>43510.958333333336</v>
      </c>
      <c r="L506" s="4" t="s">
        <v>906</v>
      </c>
      <c r="M506" t="s">
        <v>51</v>
      </c>
      <c r="N506" s="6">
        <v>26912</v>
      </c>
      <c r="O506">
        <v>4.7619047620000003</v>
      </c>
      <c r="P506" s="6">
        <v>1345.6</v>
      </c>
      <c r="Q506">
        <v>9.3000000000000007</v>
      </c>
      <c r="R506" s="6">
        <f>RawSales[[#This Row],[Unit price]]*RawSales[[#This Row],[Quantity]]</f>
        <v>26912</v>
      </c>
      <c r="S506" s="6">
        <f>RawSales[[#This Row],[Subtotal]]*$B$1</f>
        <v>1345.6000000000001</v>
      </c>
      <c r="T506" s="6" t="b">
        <f>ROUND(RawSales[[#This Row],[Subtotal]],2)=ROUND(RawSales[[#This Row],[cogs]],2)</f>
        <v>1</v>
      </c>
      <c r="U506" s="6" t="b">
        <f>ROUND(RawSales[[#This Row],[cogs]]*0.05,2)=ROUND(RawSales[[#This Row],[Tax 5%]],2)</f>
        <v>1</v>
      </c>
      <c r="V506" s="6" t="b">
        <f>ROUND(RawSales[[#This Row],[cogs]]+RawSales[[#This Row],[Tax 5%]],2)=ROUND(RawSales[[#This Row],[Sales]],2)</f>
        <v>1</v>
      </c>
    </row>
    <row r="507" spans="1:22" x14ac:dyDescent="0.35">
      <c r="A507" s="4" t="s">
        <v>907</v>
      </c>
      <c r="B507" t="s">
        <v>28</v>
      </c>
      <c r="C507" t="s">
        <v>29</v>
      </c>
      <c r="D507" t="s">
        <v>30</v>
      </c>
      <c r="E507" t="s">
        <v>31</v>
      </c>
      <c r="F507" t="s">
        <v>62</v>
      </c>
      <c r="G507" s="6">
        <v>7592</v>
      </c>
      <c r="H507" s="7">
        <v>8</v>
      </c>
      <c r="I507" s="6">
        <v>3036.8</v>
      </c>
      <c r="J507" s="6">
        <v>63772.800000000003</v>
      </c>
      <c r="K507" s="5">
        <v>43543.958333333336</v>
      </c>
      <c r="L507" s="4" t="s">
        <v>681</v>
      </c>
      <c r="M507" t="s">
        <v>26</v>
      </c>
      <c r="N507" s="6">
        <v>60736</v>
      </c>
      <c r="O507">
        <v>4.7619047620000003</v>
      </c>
      <c r="P507" s="6">
        <v>3036.8</v>
      </c>
      <c r="Q507">
        <v>5.5</v>
      </c>
      <c r="R507" s="6">
        <f>RawSales[[#This Row],[Unit price]]*RawSales[[#This Row],[Quantity]]</f>
        <v>60736</v>
      </c>
      <c r="S507" s="6">
        <f>RawSales[[#This Row],[Subtotal]]*$B$1</f>
        <v>3036.8</v>
      </c>
      <c r="T507" s="6" t="b">
        <f>ROUND(RawSales[[#This Row],[Subtotal]],2)=ROUND(RawSales[[#This Row],[cogs]],2)</f>
        <v>1</v>
      </c>
      <c r="U507" s="6" t="b">
        <f>ROUND(RawSales[[#This Row],[cogs]]*0.05,2)=ROUND(RawSales[[#This Row],[Tax 5%]],2)</f>
        <v>1</v>
      </c>
      <c r="V507" s="6" t="b">
        <f>ROUND(RawSales[[#This Row],[cogs]]+RawSales[[#This Row],[Tax 5%]],2)=ROUND(RawSales[[#This Row],[Sales]],2)</f>
        <v>1</v>
      </c>
    </row>
    <row r="508" spans="1:22" x14ac:dyDescent="0.35">
      <c r="A508" s="4" t="s">
        <v>908</v>
      </c>
      <c r="B508" t="s">
        <v>20</v>
      </c>
      <c r="C508" t="s">
        <v>21</v>
      </c>
      <c r="D508" t="s">
        <v>22</v>
      </c>
      <c r="E508" t="s">
        <v>23</v>
      </c>
      <c r="F508" t="s">
        <v>32</v>
      </c>
      <c r="G508" s="6">
        <v>4768</v>
      </c>
      <c r="H508" s="7">
        <v>2</v>
      </c>
      <c r="I508" s="6">
        <v>476.8</v>
      </c>
      <c r="J508" s="6">
        <v>10012.799999999999</v>
      </c>
      <c r="K508" s="5">
        <v>43519.958333333336</v>
      </c>
      <c r="L508" s="4" t="s">
        <v>909</v>
      </c>
      <c r="M508" t="s">
        <v>51</v>
      </c>
      <c r="N508" s="6">
        <v>9536</v>
      </c>
      <c r="O508">
        <v>4.7619047620000003</v>
      </c>
      <c r="P508" s="6">
        <v>476.8</v>
      </c>
      <c r="Q508">
        <v>4.0999999999999996</v>
      </c>
      <c r="R508" s="6">
        <f>RawSales[[#This Row],[Unit price]]*RawSales[[#This Row],[Quantity]]</f>
        <v>9536</v>
      </c>
      <c r="S508" s="6">
        <f>RawSales[[#This Row],[Subtotal]]*$B$1</f>
        <v>476.8</v>
      </c>
      <c r="T508" s="6" t="b">
        <f>ROUND(RawSales[[#This Row],[Subtotal]],2)=ROUND(RawSales[[#This Row],[cogs]],2)</f>
        <v>1</v>
      </c>
      <c r="U508" s="6" t="b">
        <f>ROUND(RawSales[[#This Row],[cogs]]*0.05,2)=ROUND(RawSales[[#This Row],[Tax 5%]],2)</f>
        <v>1</v>
      </c>
      <c r="V508" s="6" t="b">
        <f>ROUND(RawSales[[#This Row],[cogs]]+RawSales[[#This Row],[Tax 5%]],2)=ROUND(RawSales[[#This Row],[Sales]],2)</f>
        <v>1</v>
      </c>
    </row>
    <row r="509" spans="1:22" x14ac:dyDescent="0.35">
      <c r="A509" s="4" t="s">
        <v>910</v>
      </c>
      <c r="B509" t="s">
        <v>28</v>
      </c>
      <c r="C509" t="s">
        <v>29</v>
      </c>
      <c r="D509" t="s">
        <v>22</v>
      </c>
      <c r="E509" t="s">
        <v>23</v>
      </c>
      <c r="F509" t="s">
        <v>43</v>
      </c>
      <c r="G509" s="6">
        <v>6436</v>
      </c>
      <c r="H509" s="7">
        <v>9</v>
      </c>
      <c r="I509" s="6">
        <v>2896.2</v>
      </c>
      <c r="J509" s="6">
        <v>60820.2</v>
      </c>
      <c r="K509" s="5">
        <v>43535.958333333336</v>
      </c>
      <c r="L509" s="4" t="s">
        <v>911</v>
      </c>
      <c r="M509" t="s">
        <v>51</v>
      </c>
      <c r="N509" s="6">
        <v>57924</v>
      </c>
      <c r="O509">
        <v>4.7619047620000003</v>
      </c>
      <c r="P509" s="6">
        <v>2896.2</v>
      </c>
      <c r="Q509">
        <v>8.6</v>
      </c>
      <c r="R509" s="6">
        <f>RawSales[[#This Row],[Unit price]]*RawSales[[#This Row],[Quantity]]</f>
        <v>57924</v>
      </c>
      <c r="S509" s="6">
        <f>RawSales[[#This Row],[Subtotal]]*$B$1</f>
        <v>2896.2000000000003</v>
      </c>
      <c r="T509" s="6" t="b">
        <f>ROUND(RawSales[[#This Row],[Subtotal]],2)=ROUND(RawSales[[#This Row],[cogs]],2)</f>
        <v>1</v>
      </c>
      <c r="U509" s="6" t="b">
        <f>ROUND(RawSales[[#This Row],[cogs]]*0.05,2)=ROUND(RawSales[[#This Row],[Tax 5%]],2)</f>
        <v>1</v>
      </c>
      <c r="V509" s="6" t="b">
        <f>ROUND(RawSales[[#This Row],[cogs]]+RawSales[[#This Row],[Tax 5%]],2)=ROUND(RawSales[[#This Row],[Sales]],2)</f>
        <v>1</v>
      </c>
    </row>
    <row r="510" spans="1:22" x14ac:dyDescent="0.35">
      <c r="A510" s="4" t="s">
        <v>912</v>
      </c>
      <c r="B510" t="s">
        <v>38</v>
      </c>
      <c r="C510" t="s">
        <v>39</v>
      </c>
      <c r="D510" t="s">
        <v>22</v>
      </c>
      <c r="E510" t="s">
        <v>23</v>
      </c>
      <c r="F510" t="s">
        <v>100</v>
      </c>
      <c r="G510" s="6">
        <v>2967</v>
      </c>
      <c r="H510" s="7">
        <v>7</v>
      </c>
      <c r="I510" s="6">
        <v>1038.45</v>
      </c>
      <c r="J510" s="6">
        <v>21807.45</v>
      </c>
      <c r="K510" s="5">
        <v>43534.958333333336</v>
      </c>
      <c r="L510" s="4" t="s">
        <v>101</v>
      </c>
      <c r="M510" t="s">
        <v>51</v>
      </c>
      <c r="N510" s="6">
        <v>20769</v>
      </c>
      <c r="O510">
        <v>4.7619047620000003</v>
      </c>
      <c r="P510" s="6">
        <v>1038.45</v>
      </c>
      <c r="Q510">
        <v>8.1</v>
      </c>
      <c r="R510" s="6">
        <f>RawSales[[#This Row],[Unit price]]*RawSales[[#This Row],[Quantity]]</f>
        <v>20769</v>
      </c>
      <c r="S510" s="6">
        <f>RawSales[[#This Row],[Subtotal]]*$B$1</f>
        <v>1038.45</v>
      </c>
      <c r="T510" s="6" t="b">
        <f>ROUND(RawSales[[#This Row],[Subtotal]],2)=ROUND(RawSales[[#This Row],[cogs]],2)</f>
        <v>1</v>
      </c>
      <c r="U510" s="6" t="b">
        <f>ROUND(RawSales[[#This Row],[cogs]]*0.05,2)=ROUND(RawSales[[#This Row],[Tax 5%]],2)</f>
        <v>1</v>
      </c>
      <c r="V510" s="6" t="b">
        <f>ROUND(RawSales[[#This Row],[cogs]]+RawSales[[#This Row],[Tax 5%]],2)=ROUND(RawSales[[#This Row],[Sales]],2)</f>
        <v>1</v>
      </c>
    </row>
    <row r="511" spans="1:22" x14ac:dyDescent="0.35">
      <c r="A511" s="4" t="s">
        <v>913</v>
      </c>
      <c r="B511" t="s">
        <v>20</v>
      </c>
      <c r="C511" t="s">
        <v>21</v>
      </c>
      <c r="D511" t="s">
        <v>30</v>
      </c>
      <c r="E511" t="s">
        <v>23</v>
      </c>
      <c r="F511" t="s">
        <v>40</v>
      </c>
      <c r="G511" s="6">
        <v>5119</v>
      </c>
      <c r="H511" s="7">
        <v>4</v>
      </c>
      <c r="I511" s="6">
        <v>1023.8</v>
      </c>
      <c r="J511" s="6">
        <v>21499.8</v>
      </c>
      <c r="K511" s="5">
        <v>43541.958333333336</v>
      </c>
      <c r="L511" s="4" t="s">
        <v>318</v>
      </c>
      <c r="M511" t="s">
        <v>51</v>
      </c>
      <c r="N511" s="6">
        <v>20476</v>
      </c>
      <c r="O511">
        <v>4.7619047620000003</v>
      </c>
      <c r="P511" s="6">
        <v>1023.8</v>
      </c>
      <c r="Q511">
        <v>4.7</v>
      </c>
      <c r="R511" s="6">
        <f>RawSales[[#This Row],[Unit price]]*RawSales[[#This Row],[Quantity]]</f>
        <v>20476</v>
      </c>
      <c r="S511" s="6">
        <f>RawSales[[#This Row],[Subtotal]]*$B$1</f>
        <v>1023.8000000000001</v>
      </c>
      <c r="T511" s="6" t="b">
        <f>ROUND(RawSales[[#This Row],[Subtotal]],2)=ROUND(RawSales[[#This Row],[cogs]],2)</f>
        <v>1</v>
      </c>
      <c r="U511" s="6" t="b">
        <f>ROUND(RawSales[[#This Row],[cogs]]*0.05,2)=ROUND(RawSales[[#This Row],[Tax 5%]],2)</f>
        <v>1</v>
      </c>
      <c r="V511" s="6" t="b">
        <f>ROUND(RawSales[[#This Row],[cogs]]+RawSales[[#This Row],[Tax 5%]],2)=ROUND(RawSales[[#This Row],[Sales]],2)</f>
        <v>1</v>
      </c>
    </row>
    <row r="512" spans="1:22" x14ac:dyDescent="0.35">
      <c r="A512" s="4" t="s">
        <v>914</v>
      </c>
      <c r="B512" t="s">
        <v>28</v>
      </c>
      <c r="C512" t="s">
        <v>29</v>
      </c>
      <c r="D512" t="s">
        <v>22</v>
      </c>
      <c r="E512" t="s">
        <v>23</v>
      </c>
      <c r="F512" t="s">
        <v>62</v>
      </c>
      <c r="G512" s="6">
        <v>9813</v>
      </c>
      <c r="H512" s="7">
        <v>1</v>
      </c>
      <c r="I512" s="6">
        <v>490.65</v>
      </c>
      <c r="J512" s="6">
        <v>10303.65</v>
      </c>
      <c r="K512" s="5">
        <v>43485.958333333336</v>
      </c>
      <c r="L512" s="4" t="s">
        <v>484</v>
      </c>
      <c r="M512" t="s">
        <v>26</v>
      </c>
      <c r="N512" s="6">
        <v>9813</v>
      </c>
      <c r="O512">
        <v>4.7619047620000003</v>
      </c>
      <c r="P512" s="6">
        <v>490.65</v>
      </c>
      <c r="Q512">
        <v>8.9</v>
      </c>
      <c r="R512" s="6">
        <f>RawSales[[#This Row],[Unit price]]*RawSales[[#This Row],[Quantity]]</f>
        <v>9813</v>
      </c>
      <c r="S512" s="6">
        <f>RawSales[[#This Row],[Subtotal]]*$B$1</f>
        <v>490.65000000000003</v>
      </c>
      <c r="T512" s="6" t="b">
        <f>ROUND(RawSales[[#This Row],[Subtotal]],2)=ROUND(RawSales[[#This Row],[cogs]],2)</f>
        <v>1</v>
      </c>
      <c r="U512" s="6" t="b">
        <f>ROUND(RawSales[[#This Row],[cogs]]*0.05,2)=ROUND(RawSales[[#This Row],[Tax 5%]],2)</f>
        <v>1</v>
      </c>
      <c r="V512" s="6" t="b">
        <f>ROUND(RawSales[[#This Row],[cogs]]+RawSales[[#This Row],[Tax 5%]],2)=ROUND(RawSales[[#This Row],[Sales]],2)</f>
        <v>1</v>
      </c>
    </row>
    <row r="513" spans="1:22" x14ac:dyDescent="0.35">
      <c r="A513" s="4" t="s">
        <v>915</v>
      </c>
      <c r="B513" t="s">
        <v>20</v>
      </c>
      <c r="C513" t="s">
        <v>21</v>
      </c>
      <c r="D513" t="s">
        <v>30</v>
      </c>
      <c r="E513" t="s">
        <v>31</v>
      </c>
      <c r="F513" t="s">
        <v>24</v>
      </c>
      <c r="G513" s="6">
        <v>6652</v>
      </c>
      <c r="H513" s="7">
        <v>4</v>
      </c>
      <c r="I513" s="6">
        <v>1330.4</v>
      </c>
      <c r="J513" s="6">
        <v>27938.400000000001</v>
      </c>
      <c r="K513" s="5">
        <v>43525.958333333336</v>
      </c>
      <c r="L513" s="4" t="s">
        <v>694</v>
      </c>
      <c r="M513" t="s">
        <v>34</v>
      </c>
      <c r="N513" s="6">
        <v>26608</v>
      </c>
      <c r="O513">
        <v>4.7619047620000003</v>
      </c>
      <c r="P513" s="6">
        <v>1330.4</v>
      </c>
      <c r="Q513">
        <v>6.9</v>
      </c>
      <c r="R513" s="6">
        <f>RawSales[[#This Row],[Unit price]]*RawSales[[#This Row],[Quantity]]</f>
        <v>26608</v>
      </c>
      <c r="S513" s="6">
        <f>RawSales[[#This Row],[Subtotal]]*$B$1</f>
        <v>1330.4</v>
      </c>
      <c r="T513" s="6" t="b">
        <f>ROUND(RawSales[[#This Row],[Subtotal]],2)=ROUND(RawSales[[#This Row],[cogs]],2)</f>
        <v>1</v>
      </c>
      <c r="U513" s="6" t="b">
        <f>ROUND(RawSales[[#This Row],[cogs]]*0.05,2)=ROUND(RawSales[[#This Row],[Tax 5%]],2)</f>
        <v>1</v>
      </c>
      <c r="V513" s="6" t="b">
        <f>ROUND(RawSales[[#This Row],[cogs]]+RawSales[[#This Row],[Tax 5%]],2)=ROUND(RawSales[[#This Row],[Sales]],2)</f>
        <v>1</v>
      </c>
    </row>
    <row r="514" spans="1:22" x14ac:dyDescent="0.35">
      <c r="A514" s="4" t="s">
        <v>916</v>
      </c>
      <c r="B514" t="s">
        <v>38</v>
      </c>
      <c r="C514" t="s">
        <v>39</v>
      </c>
      <c r="D514" t="s">
        <v>22</v>
      </c>
      <c r="E514" t="s">
        <v>23</v>
      </c>
      <c r="F514" t="s">
        <v>49</v>
      </c>
      <c r="G514" s="6">
        <v>4904</v>
      </c>
      <c r="H514" s="7">
        <v>9</v>
      </c>
      <c r="I514" s="6">
        <v>2206.8000000000002</v>
      </c>
      <c r="J514" s="6">
        <v>46342.8</v>
      </c>
      <c r="K514" s="5">
        <v>43473.958333333336</v>
      </c>
      <c r="L514" s="4" t="s">
        <v>917</v>
      </c>
      <c r="M514" t="s">
        <v>51</v>
      </c>
      <c r="N514" s="6">
        <v>44136</v>
      </c>
      <c r="O514">
        <v>4.7619047620000003</v>
      </c>
      <c r="P514" s="6">
        <v>2206.8000000000002</v>
      </c>
      <c r="Q514">
        <v>8.6</v>
      </c>
      <c r="R514" s="6">
        <f>RawSales[[#This Row],[Unit price]]*RawSales[[#This Row],[Quantity]]</f>
        <v>44136</v>
      </c>
      <c r="S514" s="6">
        <f>RawSales[[#This Row],[Subtotal]]*$B$1</f>
        <v>2206.8000000000002</v>
      </c>
      <c r="T514" s="6" t="b">
        <f>ROUND(RawSales[[#This Row],[Subtotal]],2)=ROUND(RawSales[[#This Row],[cogs]],2)</f>
        <v>1</v>
      </c>
      <c r="U514" s="6" t="b">
        <f>ROUND(RawSales[[#This Row],[cogs]]*0.05,2)=ROUND(RawSales[[#This Row],[Tax 5%]],2)</f>
        <v>1</v>
      </c>
      <c r="V514" s="6" t="b">
        <f>ROUND(RawSales[[#This Row],[cogs]]+RawSales[[#This Row],[Tax 5%]],2)=ROUND(RawSales[[#This Row],[Sales]],2)</f>
        <v>1</v>
      </c>
    </row>
    <row r="515" spans="1:22" x14ac:dyDescent="0.35">
      <c r="A515" s="4" t="s">
        <v>918</v>
      </c>
      <c r="B515" t="s">
        <v>20</v>
      </c>
      <c r="C515" t="s">
        <v>21</v>
      </c>
      <c r="D515" t="s">
        <v>22</v>
      </c>
      <c r="E515" t="s">
        <v>23</v>
      </c>
      <c r="F515" t="s">
        <v>32</v>
      </c>
      <c r="G515" s="6">
        <v>4434</v>
      </c>
      <c r="H515" s="7">
        <v>2</v>
      </c>
      <c r="I515" s="6">
        <v>443.4</v>
      </c>
      <c r="J515" s="6">
        <v>9311.4</v>
      </c>
      <c r="K515" s="5">
        <v>43550.958333333336</v>
      </c>
      <c r="L515" s="4" t="s">
        <v>748</v>
      </c>
      <c r="M515" t="s">
        <v>26</v>
      </c>
      <c r="N515" s="6">
        <v>8868</v>
      </c>
      <c r="O515">
        <v>4.7619047620000003</v>
      </c>
      <c r="P515" s="6">
        <v>443.4</v>
      </c>
      <c r="Q515">
        <v>5.8</v>
      </c>
      <c r="R515" s="6">
        <f>RawSales[[#This Row],[Unit price]]*RawSales[[#This Row],[Quantity]]</f>
        <v>8868</v>
      </c>
      <c r="S515" s="6">
        <f>RawSales[[#This Row],[Subtotal]]*$B$1</f>
        <v>443.40000000000003</v>
      </c>
      <c r="T515" s="6" t="b">
        <f>ROUND(RawSales[[#This Row],[Subtotal]],2)=ROUND(RawSales[[#This Row],[cogs]],2)</f>
        <v>1</v>
      </c>
      <c r="U515" s="6" t="b">
        <f>ROUND(RawSales[[#This Row],[cogs]]*0.05,2)=ROUND(RawSales[[#This Row],[Tax 5%]],2)</f>
        <v>1</v>
      </c>
      <c r="V515" s="6" t="b">
        <f>ROUND(RawSales[[#This Row],[cogs]]+RawSales[[#This Row],[Tax 5%]],2)=ROUND(RawSales[[#This Row],[Sales]],2)</f>
        <v>1</v>
      </c>
    </row>
    <row r="516" spans="1:22" x14ac:dyDescent="0.35">
      <c r="A516" s="4" t="s">
        <v>919</v>
      </c>
      <c r="B516" t="s">
        <v>38</v>
      </c>
      <c r="C516" t="s">
        <v>39</v>
      </c>
      <c r="D516" t="s">
        <v>22</v>
      </c>
      <c r="E516" t="s">
        <v>23</v>
      </c>
      <c r="F516" t="s">
        <v>24</v>
      </c>
      <c r="G516" s="6">
        <v>7489</v>
      </c>
      <c r="H516" s="7">
        <v>4</v>
      </c>
      <c r="I516" s="6">
        <v>1497.8</v>
      </c>
      <c r="J516" s="6">
        <v>31453.8</v>
      </c>
      <c r="K516" s="5">
        <v>43524.958333333336</v>
      </c>
      <c r="L516" s="4" t="s">
        <v>920</v>
      </c>
      <c r="M516" t="s">
        <v>34</v>
      </c>
      <c r="N516" s="6">
        <v>29956</v>
      </c>
      <c r="O516">
        <v>4.7619047620000003</v>
      </c>
      <c r="P516" s="6">
        <v>1497.8</v>
      </c>
      <c r="Q516">
        <v>4.2</v>
      </c>
      <c r="R516" s="6">
        <f>RawSales[[#This Row],[Unit price]]*RawSales[[#This Row],[Quantity]]</f>
        <v>29956</v>
      </c>
      <c r="S516" s="6">
        <f>RawSales[[#This Row],[Subtotal]]*$B$1</f>
        <v>1497.8000000000002</v>
      </c>
      <c r="T516" s="6" t="b">
        <f>ROUND(RawSales[[#This Row],[Subtotal]],2)=ROUND(RawSales[[#This Row],[cogs]],2)</f>
        <v>1</v>
      </c>
      <c r="U516" s="6" t="b">
        <f>ROUND(RawSales[[#This Row],[cogs]]*0.05,2)=ROUND(RawSales[[#This Row],[Tax 5%]],2)</f>
        <v>1</v>
      </c>
      <c r="V516" s="6" t="b">
        <f>ROUND(RawSales[[#This Row],[cogs]]+RawSales[[#This Row],[Tax 5%]],2)=ROUND(RawSales[[#This Row],[Sales]],2)</f>
        <v>1</v>
      </c>
    </row>
    <row r="517" spans="1:22" x14ac:dyDescent="0.35">
      <c r="A517" s="4" t="s">
        <v>921</v>
      </c>
      <c r="B517" t="s">
        <v>38</v>
      </c>
      <c r="C517" t="s">
        <v>39</v>
      </c>
      <c r="D517" t="s">
        <v>30</v>
      </c>
      <c r="E517" t="s">
        <v>23</v>
      </c>
      <c r="F517" t="s">
        <v>62</v>
      </c>
      <c r="G517" s="6">
        <v>9544</v>
      </c>
      <c r="H517" s="7">
        <v>10</v>
      </c>
      <c r="I517" s="6">
        <v>4772</v>
      </c>
      <c r="J517" s="6">
        <v>100212</v>
      </c>
      <c r="K517" s="5">
        <v>43473.958333333336</v>
      </c>
      <c r="L517" s="4" t="s">
        <v>228</v>
      </c>
      <c r="M517" t="s">
        <v>26</v>
      </c>
      <c r="N517" s="6">
        <v>95440</v>
      </c>
      <c r="O517">
        <v>4.7619047620000003</v>
      </c>
      <c r="P517" s="6">
        <v>4772</v>
      </c>
      <c r="Q517">
        <v>5.2</v>
      </c>
      <c r="R517" s="6">
        <f>RawSales[[#This Row],[Unit price]]*RawSales[[#This Row],[Quantity]]</f>
        <v>95440</v>
      </c>
      <c r="S517" s="6">
        <f>RawSales[[#This Row],[Subtotal]]*$B$1</f>
        <v>4772</v>
      </c>
      <c r="T517" s="6" t="b">
        <f>ROUND(RawSales[[#This Row],[Subtotal]],2)=ROUND(RawSales[[#This Row],[cogs]],2)</f>
        <v>1</v>
      </c>
      <c r="U517" s="6" t="b">
        <f>ROUND(RawSales[[#This Row],[cogs]]*0.05,2)=ROUND(RawSales[[#This Row],[Tax 5%]],2)</f>
        <v>1</v>
      </c>
      <c r="V517" s="6" t="b">
        <f>ROUND(RawSales[[#This Row],[cogs]]+RawSales[[#This Row],[Tax 5%]],2)=ROUND(RawSales[[#This Row],[Sales]],2)</f>
        <v>1</v>
      </c>
    </row>
    <row r="518" spans="1:22" x14ac:dyDescent="0.35">
      <c r="A518" s="4" t="s">
        <v>922</v>
      </c>
      <c r="B518" t="s">
        <v>28</v>
      </c>
      <c r="C518" t="s">
        <v>29</v>
      </c>
      <c r="D518" t="s">
        <v>22</v>
      </c>
      <c r="E518" t="s">
        <v>23</v>
      </c>
      <c r="F518" t="s">
        <v>46</v>
      </c>
      <c r="G518" s="6">
        <v>9074</v>
      </c>
      <c r="H518" s="7">
        <v>7</v>
      </c>
      <c r="I518" s="6">
        <v>3175.9</v>
      </c>
      <c r="J518" s="6">
        <v>66693.899999999994</v>
      </c>
      <c r="K518" s="5">
        <v>43480.958333333336</v>
      </c>
      <c r="L518" s="4" t="s">
        <v>180</v>
      </c>
      <c r="M518" t="s">
        <v>51</v>
      </c>
      <c r="N518" s="6">
        <v>63518</v>
      </c>
      <c r="O518">
        <v>4.7619047620000003</v>
      </c>
      <c r="P518" s="6">
        <v>3175.9</v>
      </c>
      <c r="Q518">
        <v>6.2</v>
      </c>
      <c r="R518" s="6">
        <f>RawSales[[#This Row],[Unit price]]*RawSales[[#This Row],[Quantity]]</f>
        <v>63518</v>
      </c>
      <c r="S518" s="6">
        <f>RawSales[[#This Row],[Subtotal]]*$B$1</f>
        <v>3175.9</v>
      </c>
      <c r="T518" s="6" t="b">
        <f>ROUND(RawSales[[#This Row],[Subtotal]],2)=ROUND(RawSales[[#This Row],[cogs]],2)</f>
        <v>1</v>
      </c>
      <c r="U518" s="6" t="b">
        <f>ROUND(RawSales[[#This Row],[cogs]]*0.05,2)=ROUND(RawSales[[#This Row],[Tax 5%]],2)</f>
        <v>1</v>
      </c>
      <c r="V518" s="6" t="b">
        <f>ROUND(RawSales[[#This Row],[cogs]]+RawSales[[#This Row],[Tax 5%]],2)=ROUND(RawSales[[#This Row],[Sales]],2)</f>
        <v>1</v>
      </c>
    </row>
    <row r="519" spans="1:22" x14ac:dyDescent="0.35">
      <c r="A519" s="4" t="s">
        <v>923</v>
      </c>
      <c r="B519" t="s">
        <v>20</v>
      </c>
      <c r="C519" t="s">
        <v>21</v>
      </c>
      <c r="D519" t="s">
        <v>22</v>
      </c>
      <c r="E519" t="s">
        <v>31</v>
      </c>
      <c r="F519" t="s">
        <v>40</v>
      </c>
      <c r="G519" s="6">
        <v>7451</v>
      </c>
      <c r="H519" s="7">
        <v>6</v>
      </c>
      <c r="I519" s="6">
        <v>2235.3000000000002</v>
      </c>
      <c r="J519" s="6">
        <v>46941.3</v>
      </c>
      <c r="K519" s="5">
        <v>43543.958333333336</v>
      </c>
      <c r="L519" s="4" t="s">
        <v>924</v>
      </c>
      <c r="M519" t="s">
        <v>34</v>
      </c>
      <c r="N519" s="6">
        <v>44706</v>
      </c>
      <c r="O519">
        <v>4.7619047620000003</v>
      </c>
      <c r="P519" s="6">
        <v>2235.3000000000002</v>
      </c>
      <c r="Q519">
        <v>5</v>
      </c>
      <c r="R519" s="6">
        <f>RawSales[[#This Row],[Unit price]]*RawSales[[#This Row],[Quantity]]</f>
        <v>44706</v>
      </c>
      <c r="S519" s="6">
        <f>RawSales[[#This Row],[Subtotal]]*$B$1</f>
        <v>2235.3000000000002</v>
      </c>
      <c r="T519" s="6" t="b">
        <f>ROUND(RawSales[[#This Row],[Subtotal]],2)=ROUND(RawSales[[#This Row],[cogs]],2)</f>
        <v>1</v>
      </c>
      <c r="U519" s="6" t="b">
        <f>ROUND(RawSales[[#This Row],[cogs]]*0.05,2)=ROUND(RawSales[[#This Row],[Tax 5%]],2)</f>
        <v>1</v>
      </c>
      <c r="V519" s="6" t="b">
        <f>ROUND(RawSales[[#This Row],[cogs]]+RawSales[[#This Row],[Tax 5%]],2)=ROUND(RawSales[[#This Row],[Sales]],2)</f>
        <v>1</v>
      </c>
    </row>
    <row r="520" spans="1:22" x14ac:dyDescent="0.35">
      <c r="A520" s="4" t="s">
        <v>925</v>
      </c>
      <c r="B520" t="s">
        <v>20</v>
      </c>
      <c r="C520" t="s">
        <v>21</v>
      </c>
      <c r="D520" t="s">
        <v>30</v>
      </c>
      <c r="E520" t="s">
        <v>31</v>
      </c>
      <c r="F520" t="s">
        <v>43</v>
      </c>
      <c r="G520" s="6">
        <v>7001</v>
      </c>
      <c r="H520" s="7">
        <v>5</v>
      </c>
      <c r="I520" s="6">
        <v>1750.25</v>
      </c>
      <c r="J520" s="6">
        <v>36755.25</v>
      </c>
      <c r="K520" s="5">
        <v>43467.958333333336</v>
      </c>
      <c r="L520" s="4" t="s">
        <v>416</v>
      </c>
      <c r="M520" t="s">
        <v>34</v>
      </c>
      <c r="N520" s="6">
        <v>35005</v>
      </c>
      <c r="O520">
        <v>4.7619047620000003</v>
      </c>
      <c r="P520" s="6">
        <v>1750.25</v>
      </c>
      <c r="Q520">
        <v>5.5</v>
      </c>
      <c r="R520" s="6">
        <f>RawSales[[#This Row],[Unit price]]*RawSales[[#This Row],[Quantity]]</f>
        <v>35005</v>
      </c>
      <c r="S520" s="6">
        <f>RawSales[[#This Row],[Subtotal]]*$B$1</f>
        <v>1750.25</v>
      </c>
      <c r="T520" s="6" t="b">
        <f>ROUND(RawSales[[#This Row],[Subtotal]],2)=ROUND(RawSales[[#This Row],[cogs]],2)</f>
        <v>1</v>
      </c>
      <c r="U520" s="6" t="b">
        <f>ROUND(RawSales[[#This Row],[cogs]]*0.05,2)=ROUND(RawSales[[#This Row],[Tax 5%]],2)</f>
        <v>1</v>
      </c>
      <c r="V520" s="6" t="b">
        <f>ROUND(RawSales[[#This Row],[cogs]]+RawSales[[#This Row],[Tax 5%]],2)=ROUND(RawSales[[#This Row],[Sales]],2)</f>
        <v>1</v>
      </c>
    </row>
    <row r="521" spans="1:22" x14ac:dyDescent="0.35">
      <c r="A521" s="4" t="s">
        <v>926</v>
      </c>
      <c r="B521" t="s">
        <v>20</v>
      </c>
      <c r="C521" t="s">
        <v>21</v>
      </c>
      <c r="D521" t="s">
        <v>30</v>
      </c>
      <c r="E521" t="s">
        <v>23</v>
      </c>
      <c r="F521" t="s">
        <v>32</v>
      </c>
      <c r="G521" s="6">
        <v>4568</v>
      </c>
      <c r="H521" s="7">
        <v>10</v>
      </c>
      <c r="I521" s="6">
        <v>2284</v>
      </c>
      <c r="J521" s="6">
        <v>47964</v>
      </c>
      <c r="K521" s="5">
        <v>43483.958333333336</v>
      </c>
      <c r="L521" s="4" t="s">
        <v>312</v>
      </c>
      <c r="M521" t="s">
        <v>34</v>
      </c>
      <c r="N521" s="6">
        <v>45680</v>
      </c>
      <c r="O521">
        <v>4.7619047620000003</v>
      </c>
      <c r="P521" s="6">
        <v>2284</v>
      </c>
      <c r="Q521">
        <v>5.7</v>
      </c>
      <c r="R521" s="6">
        <f>RawSales[[#This Row],[Unit price]]*RawSales[[#This Row],[Quantity]]</f>
        <v>45680</v>
      </c>
      <c r="S521" s="6">
        <f>RawSales[[#This Row],[Subtotal]]*$B$1</f>
        <v>2284</v>
      </c>
      <c r="T521" s="6" t="b">
        <f>ROUND(RawSales[[#This Row],[Subtotal]],2)=ROUND(RawSales[[#This Row],[cogs]],2)</f>
        <v>1</v>
      </c>
      <c r="U521" s="6" t="b">
        <f>ROUND(RawSales[[#This Row],[cogs]]*0.05,2)=ROUND(RawSales[[#This Row],[Tax 5%]],2)</f>
        <v>1</v>
      </c>
      <c r="V521" s="6" t="b">
        <f>ROUND(RawSales[[#This Row],[cogs]]+RawSales[[#This Row],[Tax 5%]],2)=ROUND(RawSales[[#This Row],[Sales]],2)</f>
        <v>1</v>
      </c>
    </row>
    <row r="522" spans="1:22" x14ac:dyDescent="0.35">
      <c r="A522" s="4" t="s">
        <v>927</v>
      </c>
      <c r="B522" t="s">
        <v>28</v>
      </c>
      <c r="C522" t="s">
        <v>29</v>
      </c>
      <c r="D522" t="s">
        <v>30</v>
      </c>
      <c r="E522" t="s">
        <v>23</v>
      </c>
      <c r="F522" t="s">
        <v>40</v>
      </c>
      <c r="G522" s="6">
        <v>5791</v>
      </c>
      <c r="H522" s="7">
        <v>8</v>
      </c>
      <c r="I522" s="6">
        <v>2316.4</v>
      </c>
      <c r="J522" s="6">
        <v>48644.4</v>
      </c>
      <c r="K522" s="5">
        <v>43502.958333333336</v>
      </c>
      <c r="L522" s="4" t="s">
        <v>858</v>
      </c>
      <c r="M522" t="s">
        <v>26</v>
      </c>
      <c r="N522" s="6">
        <v>46328</v>
      </c>
      <c r="O522">
        <v>4.7619047620000003</v>
      </c>
      <c r="P522" s="6">
        <v>2316.4</v>
      </c>
      <c r="Q522">
        <v>8.1</v>
      </c>
      <c r="R522" s="6">
        <f>RawSales[[#This Row],[Unit price]]*RawSales[[#This Row],[Quantity]]</f>
        <v>46328</v>
      </c>
      <c r="S522" s="6">
        <f>RawSales[[#This Row],[Subtotal]]*$B$1</f>
        <v>2316.4</v>
      </c>
      <c r="T522" s="6" t="b">
        <f>ROUND(RawSales[[#This Row],[Subtotal]],2)=ROUND(RawSales[[#This Row],[cogs]],2)</f>
        <v>1</v>
      </c>
      <c r="U522" s="6" t="b">
        <f>ROUND(RawSales[[#This Row],[cogs]]*0.05,2)=ROUND(RawSales[[#This Row],[Tax 5%]],2)</f>
        <v>1</v>
      </c>
      <c r="V522" s="6" t="b">
        <f>ROUND(RawSales[[#This Row],[cogs]]+RawSales[[#This Row],[Tax 5%]],2)=ROUND(RawSales[[#This Row],[Sales]],2)</f>
        <v>1</v>
      </c>
    </row>
    <row r="523" spans="1:22" x14ac:dyDescent="0.35">
      <c r="A523" s="4" t="s">
        <v>928</v>
      </c>
      <c r="B523" t="s">
        <v>28</v>
      </c>
      <c r="C523" t="s">
        <v>29</v>
      </c>
      <c r="D523" t="s">
        <v>22</v>
      </c>
      <c r="E523" t="s">
        <v>23</v>
      </c>
      <c r="F523" t="s">
        <v>32</v>
      </c>
      <c r="G523" s="6">
        <v>9449</v>
      </c>
      <c r="H523" s="7">
        <v>8</v>
      </c>
      <c r="I523" s="6">
        <v>3779.6</v>
      </c>
      <c r="J523" s="6">
        <v>79371.600000000006</v>
      </c>
      <c r="K523" s="4" t="s">
        <v>929</v>
      </c>
      <c r="L523" s="4" t="s">
        <v>930</v>
      </c>
      <c r="M523" t="s">
        <v>34</v>
      </c>
      <c r="N523" s="6">
        <v>75592</v>
      </c>
      <c r="O523">
        <v>4.7619047620000003</v>
      </c>
      <c r="P523" s="6">
        <v>3779.6</v>
      </c>
      <c r="Q523">
        <v>7.5</v>
      </c>
      <c r="R523" s="6">
        <f>RawSales[[#This Row],[Unit price]]*RawSales[[#This Row],[Quantity]]</f>
        <v>75592</v>
      </c>
      <c r="S523" s="6">
        <f>RawSales[[#This Row],[Subtotal]]*$B$1</f>
        <v>3779.6000000000004</v>
      </c>
      <c r="T523" s="6" t="b">
        <f>ROUND(RawSales[[#This Row],[Subtotal]],2)=ROUND(RawSales[[#This Row],[cogs]],2)</f>
        <v>1</v>
      </c>
      <c r="U523" s="6" t="b">
        <f>ROUND(RawSales[[#This Row],[cogs]]*0.05,2)=ROUND(RawSales[[#This Row],[Tax 5%]],2)</f>
        <v>1</v>
      </c>
      <c r="V523" s="6" t="b">
        <f>ROUND(RawSales[[#This Row],[cogs]]+RawSales[[#This Row],[Tax 5%]],2)=ROUND(RawSales[[#This Row],[Sales]],2)</f>
        <v>1</v>
      </c>
    </row>
    <row r="524" spans="1:22" x14ac:dyDescent="0.35">
      <c r="A524" s="4" t="s">
        <v>931</v>
      </c>
      <c r="B524" t="s">
        <v>28</v>
      </c>
      <c r="C524" t="s">
        <v>29</v>
      </c>
      <c r="D524" t="s">
        <v>22</v>
      </c>
      <c r="E524" t="s">
        <v>23</v>
      </c>
      <c r="F524" t="s">
        <v>49</v>
      </c>
      <c r="G524" s="6">
        <v>1448</v>
      </c>
      <c r="H524" s="7">
        <v>4</v>
      </c>
      <c r="I524" s="6">
        <v>289.60000000000002</v>
      </c>
      <c r="J524" s="6">
        <v>6081.6</v>
      </c>
      <c r="K524" s="5">
        <v>43501.958333333336</v>
      </c>
      <c r="L524" s="4" t="s">
        <v>932</v>
      </c>
      <c r="M524" t="s">
        <v>34</v>
      </c>
      <c r="N524" s="6">
        <v>5792</v>
      </c>
      <c r="O524">
        <v>4.7619047620000003</v>
      </c>
      <c r="P524" s="6">
        <v>289.60000000000002</v>
      </c>
      <c r="Q524">
        <v>4.5</v>
      </c>
      <c r="R524" s="6">
        <f>RawSales[[#This Row],[Unit price]]*RawSales[[#This Row],[Quantity]]</f>
        <v>5792</v>
      </c>
      <c r="S524" s="6">
        <f>RawSales[[#This Row],[Subtotal]]*$B$1</f>
        <v>289.60000000000002</v>
      </c>
      <c r="T524" s="6" t="b">
        <f>ROUND(RawSales[[#This Row],[Subtotal]],2)=ROUND(RawSales[[#This Row],[cogs]],2)</f>
        <v>1</v>
      </c>
      <c r="U524" s="6" t="b">
        <f>ROUND(RawSales[[#This Row],[cogs]]*0.05,2)=ROUND(RawSales[[#This Row],[Tax 5%]],2)</f>
        <v>1</v>
      </c>
      <c r="V524" s="6" t="b">
        <f>ROUND(RawSales[[#This Row],[cogs]]+RawSales[[#This Row],[Tax 5%]],2)=ROUND(RawSales[[#This Row],[Sales]],2)</f>
        <v>1</v>
      </c>
    </row>
    <row r="525" spans="1:22" x14ac:dyDescent="0.35">
      <c r="A525" s="4" t="s">
        <v>933</v>
      </c>
      <c r="B525" t="s">
        <v>28</v>
      </c>
      <c r="C525" t="s">
        <v>29</v>
      </c>
      <c r="D525" t="s">
        <v>30</v>
      </c>
      <c r="E525" t="s">
        <v>31</v>
      </c>
      <c r="F525" t="s">
        <v>239</v>
      </c>
      <c r="G525" s="6">
        <v>5242</v>
      </c>
      <c r="H525" s="7">
        <v>3</v>
      </c>
      <c r="I525" s="6">
        <v>786.3</v>
      </c>
      <c r="J525" s="6">
        <v>16512.3</v>
      </c>
      <c r="K525" s="5">
        <v>43522.958333333336</v>
      </c>
      <c r="L525" s="4" t="s">
        <v>484</v>
      </c>
      <c r="M525" t="s">
        <v>34</v>
      </c>
      <c r="N525" s="6">
        <v>15726</v>
      </c>
      <c r="O525">
        <v>4.7619047620000003</v>
      </c>
      <c r="P525" s="6">
        <v>786.3</v>
      </c>
      <c r="Q525">
        <v>7.5</v>
      </c>
      <c r="R525" s="6">
        <f>RawSales[[#This Row],[Unit price]]*RawSales[[#This Row],[Quantity]]</f>
        <v>15726</v>
      </c>
      <c r="S525" s="6">
        <f>RawSales[[#This Row],[Subtotal]]*$B$1</f>
        <v>786.30000000000007</v>
      </c>
      <c r="T525" s="6" t="b">
        <f>ROUND(RawSales[[#This Row],[Subtotal]],2)=ROUND(RawSales[[#This Row],[cogs]],2)</f>
        <v>1</v>
      </c>
      <c r="U525" s="6" t="b">
        <f>ROUND(RawSales[[#This Row],[cogs]]*0.05,2)=ROUND(RawSales[[#This Row],[Tax 5%]],2)</f>
        <v>1</v>
      </c>
      <c r="V525" s="6" t="b">
        <f>ROUND(RawSales[[#This Row],[cogs]]+RawSales[[#This Row],[Tax 5%]],2)=ROUND(RawSales[[#This Row],[Sales]],2)</f>
        <v>1</v>
      </c>
    </row>
    <row r="526" spans="1:22" x14ac:dyDescent="0.35">
      <c r="A526" s="4" t="s">
        <v>934</v>
      </c>
      <c r="B526" t="s">
        <v>38</v>
      </c>
      <c r="C526" t="s">
        <v>39</v>
      </c>
      <c r="D526" t="s">
        <v>30</v>
      </c>
      <c r="E526" t="s">
        <v>23</v>
      </c>
      <c r="F526" t="s">
        <v>43</v>
      </c>
      <c r="G526" s="6">
        <v>7889</v>
      </c>
      <c r="H526" s="7">
        <v>7</v>
      </c>
      <c r="I526" s="6">
        <v>2761.15</v>
      </c>
      <c r="J526" s="6">
        <v>57984.15</v>
      </c>
      <c r="K526" s="5">
        <v>43469.958333333336</v>
      </c>
      <c r="L526" s="4" t="s">
        <v>212</v>
      </c>
      <c r="M526" t="s">
        <v>34</v>
      </c>
      <c r="N526" s="6">
        <v>55223</v>
      </c>
      <c r="O526">
        <v>4.7619047620000003</v>
      </c>
      <c r="P526" s="6">
        <v>2761.15</v>
      </c>
      <c r="Q526">
        <v>7.5</v>
      </c>
      <c r="R526" s="6">
        <f>RawSales[[#This Row],[Unit price]]*RawSales[[#This Row],[Quantity]]</f>
        <v>55223</v>
      </c>
      <c r="S526" s="6">
        <f>RawSales[[#This Row],[Subtotal]]*$B$1</f>
        <v>2761.15</v>
      </c>
      <c r="T526" s="6" t="b">
        <f>ROUND(RawSales[[#This Row],[Subtotal]],2)=ROUND(RawSales[[#This Row],[cogs]],2)</f>
        <v>1</v>
      </c>
      <c r="U526" s="6" t="b">
        <f>ROUND(RawSales[[#This Row],[cogs]]*0.05,2)=ROUND(RawSales[[#This Row],[Tax 5%]],2)</f>
        <v>1</v>
      </c>
      <c r="V526" s="6" t="b">
        <f>ROUND(RawSales[[#This Row],[cogs]]+RawSales[[#This Row],[Tax 5%]],2)=ROUND(RawSales[[#This Row],[Sales]],2)</f>
        <v>1</v>
      </c>
    </row>
    <row r="527" spans="1:22" x14ac:dyDescent="0.35">
      <c r="A527" s="4" t="s">
        <v>935</v>
      </c>
      <c r="B527" t="s">
        <v>20</v>
      </c>
      <c r="C527" t="s">
        <v>21</v>
      </c>
      <c r="D527" t="s">
        <v>22</v>
      </c>
      <c r="E527" t="s">
        <v>31</v>
      </c>
      <c r="F527" t="s">
        <v>24</v>
      </c>
      <c r="G527" s="6">
        <v>3184</v>
      </c>
      <c r="H527" s="7">
        <v>1</v>
      </c>
      <c r="I527" s="6">
        <v>159.19999999999999</v>
      </c>
      <c r="J527" s="6">
        <v>3343.2</v>
      </c>
      <c r="K527" s="5">
        <v>43504.958333333336</v>
      </c>
      <c r="L527" s="4" t="s">
        <v>782</v>
      </c>
      <c r="M527" t="s">
        <v>26</v>
      </c>
      <c r="N527" s="6">
        <v>3184</v>
      </c>
      <c r="O527">
        <v>4.7619047620000003</v>
      </c>
      <c r="P527" s="6">
        <v>159.19999999999999</v>
      </c>
      <c r="Q527">
        <v>7.7</v>
      </c>
      <c r="R527" s="6">
        <f>RawSales[[#This Row],[Unit price]]*RawSales[[#This Row],[Quantity]]</f>
        <v>3184</v>
      </c>
      <c r="S527" s="6">
        <f>RawSales[[#This Row],[Subtotal]]*$B$1</f>
        <v>159.20000000000002</v>
      </c>
      <c r="T527" s="6" t="b">
        <f>ROUND(RawSales[[#This Row],[Subtotal]],2)=ROUND(RawSales[[#This Row],[cogs]],2)</f>
        <v>1</v>
      </c>
      <c r="U527" s="6" t="b">
        <f>ROUND(RawSales[[#This Row],[cogs]]*0.05,2)=ROUND(RawSales[[#This Row],[Tax 5%]],2)</f>
        <v>1</v>
      </c>
      <c r="V527" s="6" t="b">
        <f>ROUND(RawSales[[#This Row],[cogs]]+RawSales[[#This Row],[Tax 5%]],2)=ROUND(RawSales[[#This Row],[Sales]],2)</f>
        <v>1</v>
      </c>
    </row>
    <row r="528" spans="1:22" x14ac:dyDescent="0.35">
      <c r="A528" s="4" t="s">
        <v>936</v>
      </c>
      <c r="B528" t="s">
        <v>38</v>
      </c>
      <c r="C528" t="s">
        <v>39</v>
      </c>
      <c r="D528" t="s">
        <v>30</v>
      </c>
      <c r="E528" t="s">
        <v>23</v>
      </c>
      <c r="F528" t="s">
        <v>32</v>
      </c>
      <c r="G528" s="6">
        <v>6981</v>
      </c>
      <c r="H528" s="7">
        <v>4</v>
      </c>
      <c r="I528" s="6">
        <v>1396.2</v>
      </c>
      <c r="J528" s="6">
        <v>29320.2</v>
      </c>
      <c r="K528" s="5">
        <v>43492.958333333336</v>
      </c>
      <c r="L528" s="4" t="s">
        <v>937</v>
      </c>
      <c r="M528" t="s">
        <v>51</v>
      </c>
      <c r="N528" s="6">
        <v>27924</v>
      </c>
      <c r="O528">
        <v>4.7619047620000003</v>
      </c>
      <c r="P528" s="6">
        <v>1396.2</v>
      </c>
      <c r="Q528">
        <v>5.9</v>
      </c>
      <c r="R528" s="6">
        <f>RawSales[[#This Row],[Unit price]]*RawSales[[#This Row],[Quantity]]</f>
        <v>27924</v>
      </c>
      <c r="S528" s="6">
        <f>RawSales[[#This Row],[Subtotal]]*$B$1</f>
        <v>1396.2</v>
      </c>
      <c r="T528" s="6" t="b">
        <f>ROUND(RawSales[[#This Row],[Subtotal]],2)=ROUND(RawSales[[#This Row],[cogs]],2)</f>
        <v>1</v>
      </c>
      <c r="U528" s="6" t="b">
        <f>ROUND(RawSales[[#This Row],[cogs]]*0.05,2)=ROUND(RawSales[[#This Row],[Tax 5%]],2)</f>
        <v>1</v>
      </c>
      <c r="V528" s="6" t="b">
        <f>ROUND(RawSales[[#This Row],[cogs]]+RawSales[[#This Row],[Tax 5%]],2)=ROUND(RawSales[[#This Row],[Sales]],2)</f>
        <v>1</v>
      </c>
    </row>
    <row r="529" spans="1:22" x14ac:dyDescent="0.35">
      <c r="A529" s="4" t="s">
        <v>938</v>
      </c>
      <c r="B529" t="s">
        <v>28</v>
      </c>
      <c r="C529" t="s">
        <v>29</v>
      </c>
      <c r="D529" t="s">
        <v>22</v>
      </c>
      <c r="E529" t="s">
        <v>23</v>
      </c>
      <c r="F529" t="s">
        <v>49</v>
      </c>
      <c r="G529" s="6">
        <v>2194</v>
      </c>
      <c r="H529" s="7">
        <v>5</v>
      </c>
      <c r="I529" s="6">
        <v>548.5</v>
      </c>
      <c r="J529" s="6">
        <v>11518.5</v>
      </c>
      <c r="K529" s="5">
        <v>43528.958333333336</v>
      </c>
      <c r="L529" s="4" t="s">
        <v>939</v>
      </c>
      <c r="M529" t="s">
        <v>34</v>
      </c>
      <c r="N529" s="6">
        <v>10970</v>
      </c>
      <c r="O529">
        <v>4.7619047620000003</v>
      </c>
      <c r="P529" s="6">
        <v>548.5</v>
      </c>
      <c r="Q529">
        <v>5.3</v>
      </c>
      <c r="R529" s="6">
        <f>RawSales[[#This Row],[Unit price]]*RawSales[[#This Row],[Quantity]]</f>
        <v>10970</v>
      </c>
      <c r="S529" s="6">
        <f>RawSales[[#This Row],[Subtotal]]*$B$1</f>
        <v>548.5</v>
      </c>
      <c r="T529" s="6" t="b">
        <f>ROUND(RawSales[[#This Row],[Subtotal]],2)=ROUND(RawSales[[#This Row],[cogs]],2)</f>
        <v>1</v>
      </c>
      <c r="U529" s="6" t="b">
        <f>ROUND(RawSales[[#This Row],[cogs]]*0.05,2)=ROUND(RawSales[[#This Row],[Tax 5%]],2)</f>
        <v>1</v>
      </c>
      <c r="V529" s="6" t="b">
        <f>ROUND(RawSales[[#This Row],[cogs]]+RawSales[[#This Row],[Tax 5%]],2)=ROUND(RawSales[[#This Row],[Sales]],2)</f>
        <v>1</v>
      </c>
    </row>
    <row r="530" spans="1:22" x14ac:dyDescent="0.35">
      <c r="A530" s="4" t="s">
        <v>940</v>
      </c>
      <c r="B530" t="s">
        <v>38</v>
      </c>
      <c r="C530" t="s">
        <v>39</v>
      </c>
      <c r="D530" t="s">
        <v>22</v>
      </c>
      <c r="E530" t="s">
        <v>23</v>
      </c>
      <c r="F530" t="s">
        <v>32</v>
      </c>
      <c r="G530" s="6">
        <v>7553</v>
      </c>
      <c r="H530" s="7">
        <v>4</v>
      </c>
      <c r="I530" s="6">
        <v>1510.6</v>
      </c>
      <c r="J530" s="6">
        <v>31722.6</v>
      </c>
      <c r="K530" s="5">
        <v>43542.958333333336</v>
      </c>
      <c r="L530" s="4" t="s">
        <v>79</v>
      </c>
      <c r="M530" t="s">
        <v>34</v>
      </c>
      <c r="N530" s="6">
        <v>30212</v>
      </c>
      <c r="O530">
        <v>4.7619047620000003</v>
      </c>
      <c r="P530" s="6">
        <v>1510.6</v>
      </c>
      <c r="Q530">
        <v>8.3000000000000007</v>
      </c>
      <c r="R530" s="6">
        <f>RawSales[[#This Row],[Unit price]]*RawSales[[#This Row],[Quantity]]</f>
        <v>30212</v>
      </c>
      <c r="S530" s="6">
        <f>RawSales[[#This Row],[Subtotal]]*$B$1</f>
        <v>1510.6000000000001</v>
      </c>
      <c r="T530" s="6" t="b">
        <f>ROUND(RawSales[[#This Row],[Subtotal]],2)=ROUND(RawSales[[#This Row],[cogs]],2)</f>
        <v>1</v>
      </c>
      <c r="U530" s="6" t="b">
        <f>ROUND(RawSales[[#This Row],[cogs]]*0.05,2)=ROUND(RawSales[[#This Row],[Tax 5%]],2)</f>
        <v>1</v>
      </c>
      <c r="V530" s="6" t="b">
        <f>ROUND(RawSales[[#This Row],[cogs]]+RawSales[[#This Row],[Tax 5%]],2)=ROUND(RawSales[[#This Row],[Sales]],2)</f>
        <v>1</v>
      </c>
    </row>
    <row r="531" spans="1:22" x14ac:dyDescent="0.35">
      <c r="A531" s="4" t="s">
        <v>941</v>
      </c>
      <c r="B531" t="s">
        <v>20</v>
      </c>
      <c r="C531" t="s">
        <v>21</v>
      </c>
      <c r="D531" t="s">
        <v>30</v>
      </c>
      <c r="E531" t="s">
        <v>31</v>
      </c>
      <c r="F531" t="s">
        <v>32</v>
      </c>
      <c r="G531" s="6">
        <v>9794</v>
      </c>
      <c r="H531" s="7">
        <v>1</v>
      </c>
      <c r="I531" s="6">
        <v>489.7</v>
      </c>
      <c r="J531" s="6">
        <v>10283.700000000001</v>
      </c>
      <c r="K531" s="5">
        <v>43530.958333333336</v>
      </c>
      <c r="L531" s="4" t="s">
        <v>746</v>
      </c>
      <c r="M531" t="s">
        <v>34</v>
      </c>
      <c r="N531" s="6">
        <v>9794</v>
      </c>
      <c r="O531">
        <v>4.7619047620000003</v>
      </c>
      <c r="P531" s="6">
        <v>489.7</v>
      </c>
      <c r="Q531">
        <v>6.9</v>
      </c>
      <c r="R531" s="6">
        <f>RawSales[[#This Row],[Unit price]]*RawSales[[#This Row],[Quantity]]</f>
        <v>9794</v>
      </c>
      <c r="S531" s="6">
        <f>RawSales[[#This Row],[Subtotal]]*$B$1</f>
        <v>489.70000000000005</v>
      </c>
      <c r="T531" s="6" t="b">
        <f>ROUND(RawSales[[#This Row],[Subtotal]],2)=ROUND(RawSales[[#This Row],[cogs]],2)</f>
        <v>1</v>
      </c>
      <c r="U531" s="6" t="b">
        <f>ROUND(RawSales[[#This Row],[cogs]]*0.05,2)=ROUND(RawSales[[#This Row],[Tax 5%]],2)</f>
        <v>1</v>
      </c>
      <c r="V531" s="6" t="b">
        <f>ROUND(RawSales[[#This Row],[cogs]]+RawSales[[#This Row],[Tax 5%]],2)=ROUND(RawSales[[#This Row],[Sales]],2)</f>
        <v>1</v>
      </c>
    </row>
    <row r="532" spans="1:22" x14ac:dyDescent="0.35">
      <c r="A532" s="4" t="s">
        <v>942</v>
      </c>
      <c r="B532" t="s">
        <v>28</v>
      </c>
      <c r="C532" t="s">
        <v>29</v>
      </c>
      <c r="D532" t="s">
        <v>22</v>
      </c>
      <c r="E532" t="s">
        <v>31</v>
      </c>
      <c r="F532" t="s">
        <v>43</v>
      </c>
      <c r="G532" s="6">
        <v>8047</v>
      </c>
      <c r="H532" s="7">
        <v>9</v>
      </c>
      <c r="I532" s="6">
        <v>3621.15</v>
      </c>
      <c r="J532" s="6">
        <v>76044.149999999994</v>
      </c>
      <c r="K532" s="5">
        <v>43470.958333333336</v>
      </c>
      <c r="L532" s="4" t="s">
        <v>943</v>
      </c>
      <c r="M532" t="s">
        <v>26</v>
      </c>
      <c r="N532" s="6">
        <v>72423</v>
      </c>
      <c r="O532">
        <v>4.7619047620000003</v>
      </c>
      <c r="P532" s="6">
        <v>3621.15</v>
      </c>
      <c r="Q532">
        <v>9.1999999999999993</v>
      </c>
      <c r="R532" s="6">
        <f>RawSales[[#This Row],[Unit price]]*RawSales[[#This Row],[Quantity]]</f>
        <v>72423</v>
      </c>
      <c r="S532" s="6">
        <f>RawSales[[#This Row],[Subtotal]]*$B$1</f>
        <v>3621.15</v>
      </c>
      <c r="T532" s="6" t="b">
        <f>ROUND(RawSales[[#This Row],[Subtotal]],2)=ROUND(RawSales[[#This Row],[cogs]],2)</f>
        <v>1</v>
      </c>
      <c r="U532" s="6" t="b">
        <f>ROUND(RawSales[[#This Row],[cogs]]*0.05,2)=ROUND(RawSales[[#This Row],[Tax 5%]],2)</f>
        <v>1</v>
      </c>
      <c r="V532" s="6" t="b">
        <f>ROUND(RawSales[[#This Row],[cogs]]+RawSales[[#This Row],[Tax 5%]],2)=ROUND(RawSales[[#This Row],[Sales]],2)</f>
        <v>1</v>
      </c>
    </row>
    <row r="533" spans="1:22" x14ac:dyDescent="0.35">
      <c r="A533" s="4" t="s">
        <v>944</v>
      </c>
      <c r="B533" t="s">
        <v>28</v>
      </c>
      <c r="C533" t="s">
        <v>29</v>
      </c>
      <c r="D533" t="s">
        <v>22</v>
      </c>
      <c r="E533" t="s">
        <v>23</v>
      </c>
      <c r="F533" t="s">
        <v>40</v>
      </c>
      <c r="G533" s="6">
        <v>1893</v>
      </c>
      <c r="H533" s="7">
        <v>6</v>
      </c>
      <c r="I533" s="6">
        <v>567.9</v>
      </c>
      <c r="J533" s="6">
        <v>11925.9</v>
      </c>
      <c r="K533" s="5">
        <v>43505.958333333336</v>
      </c>
      <c r="L533" s="4" t="s">
        <v>478</v>
      </c>
      <c r="M533" t="s">
        <v>51</v>
      </c>
      <c r="N533" s="6">
        <v>11358</v>
      </c>
      <c r="O533">
        <v>4.7619047620000003</v>
      </c>
      <c r="P533" s="6">
        <v>567.9</v>
      </c>
      <c r="Q533">
        <v>8.1</v>
      </c>
      <c r="R533" s="6">
        <f>RawSales[[#This Row],[Unit price]]*RawSales[[#This Row],[Quantity]]</f>
        <v>11358</v>
      </c>
      <c r="S533" s="6">
        <f>RawSales[[#This Row],[Subtotal]]*$B$1</f>
        <v>567.9</v>
      </c>
      <c r="T533" s="6" t="b">
        <f>ROUND(RawSales[[#This Row],[Subtotal]],2)=ROUND(RawSales[[#This Row],[cogs]],2)</f>
        <v>1</v>
      </c>
      <c r="U533" s="6" t="b">
        <f>ROUND(RawSales[[#This Row],[cogs]]*0.05,2)=ROUND(RawSales[[#This Row],[Tax 5%]],2)</f>
        <v>1</v>
      </c>
      <c r="V533" s="6" t="b">
        <f>ROUND(RawSales[[#This Row],[cogs]]+RawSales[[#This Row],[Tax 5%]],2)=ROUND(RawSales[[#This Row],[Sales]],2)</f>
        <v>1</v>
      </c>
    </row>
    <row r="534" spans="1:22" x14ac:dyDescent="0.35">
      <c r="A534" s="4" t="s">
        <v>544</v>
      </c>
      <c r="B534" t="s">
        <v>20</v>
      </c>
      <c r="C534" t="s">
        <v>21</v>
      </c>
      <c r="D534" t="s">
        <v>30</v>
      </c>
      <c r="E534" t="s">
        <v>31</v>
      </c>
      <c r="F534" t="s">
        <v>62</v>
      </c>
      <c r="G534" s="6">
        <v>6087</v>
      </c>
      <c r="H534" s="7">
        <v>2</v>
      </c>
      <c r="I534" s="6">
        <v>608.70000000000005</v>
      </c>
      <c r="J534" s="6">
        <v>12782.7</v>
      </c>
      <c r="K534" s="5">
        <v>43532.958333333336</v>
      </c>
      <c r="L534" s="4" t="s">
        <v>545</v>
      </c>
      <c r="M534" t="s">
        <v>34</v>
      </c>
      <c r="N534" s="6">
        <v>12174</v>
      </c>
      <c r="O534">
        <v>4.7619047620000003</v>
      </c>
      <c r="P534" s="6">
        <v>608.70000000000005</v>
      </c>
      <c r="Q534">
        <v>8.6999999999999993</v>
      </c>
      <c r="R534" s="6">
        <f>RawSales[[#This Row],[Unit price]]*RawSales[[#This Row],[Quantity]]</f>
        <v>12174</v>
      </c>
      <c r="S534" s="6">
        <f>RawSales[[#This Row],[Subtotal]]*$B$1</f>
        <v>608.70000000000005</v>
      </c>
      <c r="T534" s="6" t="b">
        <f>ROUND(RawSales[[#This Row],[Subtotal]],2)=ROUND(RawSales[[#This Row],[cogs]],2)</f>
        <v>1</v>
      </c>
      <c r="U534" s="6" t="b">
        <f>ROUND(RawSales[[#This Row],[cogs]]*0.05,2)=ROUND(RawSales[[#This Row],[Tax 5%]],2)</f>
        <v>1</v>
      </c>
      <c r="V534" s="6" t="b">
        <f>ROUND(RawSales[[#This Row],[cogs]]+RawSales[[#This Row],[Tax 5%]],2)=ROUND(RawSales[[#This Row],[Sales]],2)</f>
        <v>1</v>
      </c>
    </row>
    <row r="535" spans="1:22" x14ac:dyDescent="0.35">
      <c r="A535" s="4" t="s">
        <v>945</v>
      </c>
      <c r="B535" t="s">
        <v>20</v>
      </c>
      <c r="C535" t="s">
        <v>21</v>
      </c>
      <c r="D535" t="s">
        <v>22</v>
      </c>
      <c r="E535" t="s">
        <v>23</v>
      </c>
      <c r="F535" t="s">
        <v>32</v>
      </c>
      <c r="G535" s="6">
        <v>9369</v>
      </c>
      <c r="H535" s="7">
        <v>7</v>
      </c>
      <c r="I535" s="6">
        <v>3279.15</v>
      </c>
      <c r="J535" s="6">
        <v>68862.149999999994</v>
      </c>
      <c r="K535" s="5">
        <v>43533.958333333336</v>
      </c>
      <c r="L535" s="4" t="s">
        <v>123</v>
      </c>
      <c r="M535" t="s">
        <v>51</v>
      </c>
      <c r="N535" s="6">
        <v>65583</v>
      </c>
      <c r="O535">
        <v>4.7619047620000003</v>
      </c>
      <c r="P535" s="6">
        <v>3279.15</v>
      </c>
      <c r="Q535">
        <v>4.5</v>
      </c>
      <c r="R535" s="6">
        <f>RawSales[[#This Row],[Unit price]]*RawSales[[#This Row],[Quantity]]</f>
        <v>65583</v>
      </c>
      <c r="S535" s="6">
        <f>RawSales[[#This Row],[Subtotal]]*$B$1</f>
        <v>3279.15</v>
      </c>
      <c r="T535" s="6" t="b">
        <f>ROUND(RawSales[[#This Row],[Subtotal]],2)=ROUND(RawSales[[#This Row],[cogs]],2)</f>
        <v>1</v>
      </c>
      <c r="U535" s="6" t="b">
        <f>ROUND(RawSales[[#This Row],[cogs]]*0.05,2)=ROUND(RawSales[[#This Row],[Tax 5%]],2)</f>
        <v>1</v>
      </c>
      <c r="V535" s="6" t="b">
        <f>ROUND(RawSales[[#This Row],[cogs]]+RawSales[[#This Row],[Tax 5%]],2)=ROUND(RawSales[[#This Row],[Sales]],2)</f>
        <v>1</v>
      </c>
    </row>
    <row r="536" spans="1:22" x14ac:dyDescent="0.35">
      <c r="A536" s="4" t="s">
        <v>946</v>
      </c>
      <c r="B536" t="s">
        <v>28</v>
      </c>
      <c r="C536" t="s">
        <v>29</v>
      </c>
      <c r="D536" t="s">
        <v>22</v>
      </c>
      <c r="E536" t="s">
        <v>23</v>
      </c>
      <c r="F536" t="s">
        <v>43</v>
      </c>
      <c r="G536" s="6">
        <v>5669</v>
      </c>
      <c r="H536" s="7">
        <v>9</v>
      </c>
      <c r="I536" s="6">
        <v>2551.0500000000002</v>
      </c>
      <c r="J536" s="6">
        <v>53572.05</v>
      </c>
      <c r="K536" s="5">
        <v>43522.958333333336</v>
      </c>
      <c r="L536" s="4" t="s">
        <v>947</v>
      </c>
      <c r="M536" t="s">
        <v>51</v>
      </c>
      <c r="N536" s="6">
        <v>51021</v>
      </c>
      <c r="O536">
        <v>4.7619047620000003</v>
      </c>
      <c r="P536" s="6">
        <v>2551.0500000000002</v>
      </c>
      <c r="Q536">
        <v>8.4</v>
      </c>
      <c r="R536" s="6">
        <f>RawSales[[#This Row],[Unit price]]*RawSales[[#This Row],[Quantity]]</f>
        <v>51021</v>
      </c>
      <c r="S536" s="6">
        <f>RawSales[[#This Row],[Subtotal]]*$B$1</f>
        <v>2551.0500000000002</v>
      </c>
      <c r="T536" s="6" t="b">
        <f>ROUND(RawSales[[#This Row],[Subtotal]],2)=ROUND(RawSales[[#This Row],[cogs]],2)</f>
        <v>1</v>
      </c>
      <c r="U536" s="6" t="b">
        <f>ROUND(RawSales[[#This Row],[cogs]]*0.05,2)=ROUND(RawSales[[#This Row],[Tax 5%]],2)</f>
        <v>1</v>
      </c>
      <c r="V536" s="6" t="b">
        <f>ROUND(RawSales[[#This Row],[cogs]]+RawSales[[#This Row],[Tax 5%]],2)=ROUND(RawSales[[#This Row],[Sales]],2)</f>
        <v>1</v>
      </c>
    </row>
    <row r="537" spans="1:22" x14ac:dyDescent="0.35">
      <c r="A537" s="4" t="s">
        <v>948</v>
      </c>
      <c r="B537" t="s">
        <v>20</v>
      </c>
      <c r="C537" t="s">
        <v>21</v>
      </c>
      <c r="D537" t="s">
        <v>22</v>
      </c>
      <c r="E537" t="s">
        <v>31</v>
      </c>
      <c r="F537" t="s">
        <v>40</v>
      </c>
      <c r="G537" s="6">
        <v>6635</v>
      </c>
      <c r="H537" s="7">
        <v>1</v>
      </c>
      <c r="I537" s="6">
        <v>331.75</v>
      </c>
      <c r="J537" s="6">
        <v>6966.75</v>
      </c>
      <c r="K537" s="5">
        <v>43495.958333333336</v>
      </c>
      <c r="L537" s="4" t="s">
        <v>949</v>
      </c>
      <c r="M537" t="s">
        <v>51</v>
      </c>
      <c r="N537" s="6">
        <v>6635</v>
      </c>
      <c r="O537">
        <v>4.7619047620000003</v>
      </c>
      <c r="P537" s="6">
        <v>331.75</v>
      </c>
      <c r="Q537">
        <v>9.6999999999999993</v>
      </c>
      <c r="R537" s="6">
        <f>RawSales[[#This Row],[Unit price]]*RawSales[[#This Row],[Quantity]]</f>
        <v>6635</v>
      </c>
      <c r="S537" s="6">
        <f>RawSales[[#This Row],[Subtotal]]*$B$1</f>
        <v>331.75</v>
      </c>
      <c r="T537" s="6" t="b">
        <f>ROUND(RawSales[[#This Row],[Subtotal]],2)=ROUND(RawSales[[#This Row],[cogs]],2)</f>
        <v>1</v>
      </c>
      <c r="U537" s="6" t="b">
        <f>ROUND(RawSales[[#This Row],[cogs]]*0.05,2)=ROUND(RawSales[[#This Row],[Tax 5%]],2)</f>
        <v>1</v>
      </c>
      <c r="V537" s="6" t="b">
        <f>ROUND(RawSales[[#This Row],[cogs]]+RawSales[[#This Row],[Tax 5%]],2)=ROUND(RawSales[[#This Row],[Sales]],2)</f>
        <v>1</v>
      </c>
    </row>
    <row r="538" spans="1:22" x14ac:dyDescent="0.35">
      <c r="A538" s="4" t="s">
        <v>950</v>
      </c>
      <c r="B538" t="s">
        <v>28</v>
      </c>
      <c r="C538" t="s">
        <v>29</v>
      </c>
      <c r="D538" t="s">
        <v>30</v>
      </c>
      <c r="E538" t="s">
        <v>31</v>
      </c>
      <c r="F538" t="s">
        <v>40</v>
      </c>
      <c r="G538" s="6">
        <v>5289</v>
      </c>
      <c r="H538" s="7">
        <v>4</v>
      </c>
      <c r="I538" s="6">
        <v>1057.8</v>
      </c>
      <c r="J538" s="6">
        <v>22213.8</v>
      </c>
      <c r="K538" s="5">
        <v>43548.958333333336</v>
      </c>
      <c r="L538" s="4" t="s">
        <v>951</v>
      </c>
      <c r="M538" t="s">
        <v>34</v>
      </c>
      <c r="N538" s="6">
        <v>21156</v>
      </c>
      <c r="O538">
        <v>4.7619047620000003</v>
      </c>
      <c r="P538" s="6">
        <v>1057.8</v>
      </c>
      <c r="Q538">
        <v>6.7</v>
      </c>
      <c r="R538" s="6">
        <f>RawSales[[#This Row],[Unit price]]*RawSales[[#This Row],[Quantity]]</f>
        <v>21156</v>
      </c>
      <c r="S538" s="6">
        <f>RawSales[[#This Row],[Subtotal]]*$B$1</f>
        <v>1057.8</v>
      </c>
      <c r="T538" s="6" t="b">
        <f>ROUND(RawSales[[#This Row],[Subtotal]],2)=ROUND(RawSales[[#This Row],[cogs]],2)</f>
        <v>1</v>
      </c>
      <c r="U538" s="6" t="b">
        <f>ROUND(RawSales[[#This Row],[cogs]]*0.05,2)=ROUND(RawSales[[#This Row],[Tax 5%]],2)</f>
        <v>1</v>
      </c>
      <c r="V538" s="6" t="b">
        <f>ROUND(RawSales[[#This Row],[cogs]]+RawSales[[#This Row],[Tax 5%]],2)=ROUND(RawSales[[#This Row],[Sales]],2)</f>
        <v>1</v>
      </c>
    </row>
    <row r="539" spans="1:22" x14ac:dyDescent="0.35">
      <c r="A539" s="4" t="s">
        <v>952</v>
      </c>
      <c r="B539" t="s">
        <v>28</v>
      </c>
      <c r="C539" t="s">
        <v>29</v>
      </c>
      <c r="D539" t="s">
        <v>22</v>
      </c>
      <c r="E539" t="s">
        <v>31</v>
      </c>
      <c r="F539" t="s">
        <v>49</v>
      </c>
      <c r="G539" s="6">
        <v>4992</v>
      </c>
      <c r="H539" s="7">
        <v>2</v>
      </c>
      <c r="I539" s="6">
        <v>499.2</v>
      </c>
      <c r="J539" s="6">
        <v>10483.200000000001</v>
      </c>
      <c r="K539" s="5">
        <v>43529.958333333336</v>
      </c>
      <c r="L539" s="4" t="s">
        <v>953</v>
      </c>
      <c r="M539" t="s">
        <v>51</v>
      </c>
      <c r="N539" s="6">
        <v>9984</v>
      </c>
      <c r="O539">
        <v>4.7619047620000003</v>
      </c>
      <c r="P539" s="6">
        <v>499.2</v>
      </c>
      <c r="Q539">
        <v>7</v>
      </c>
      <c r="R539" s="6">
        <f>RawSales[[#This Row],[Unit price]]*RawSales[[#This Row],[Quantity]]</f>
        <v>9984</v>
      </c>
      <c r="S539" s="6">
        <f>RawSales[[#This Row],[Subtotal]]*$B$1</f>
        <v>499.20000000000005</v>
      </c>
      <c r="T539" s="6" t="b">
        <f>ROUND(RawSales[[#This Row],[Subtotal]],2)=ROUND(RawSales[[#This Row],[cogs]],2)</f>
        <v>1</v>
      </c>
      <c r="U539" s="6" t="b">
        <f>ROUND(RawSales[[#This Row],[cogs]]*0.05,2)=ROUND(RawSales[[#This Row],[Tax 5%]],2)</f>
        <v>1</v>
      </c>
      <c r="V539" s="6" t="b">
        <f>ROUND(RawSales[[#This Row],[cogs]]+RawSales[[#This Row],[Tax 5%]],2)=ROUND(RawSales[[#This Row],[Sales]],2)</f>
        <v>1</v>
      </c>
    </row>
    <row r="540" spans="1:22" x14ac:dyDescent="0.35">
      <c r="A540" s="4" t="s">
        <v>954</v>
      </c>
      <c r="B540" t="s">
        <v>28</v>
      </c>
      <c r="C540" t="s">
        <v>29</v>
      </c>
      <c r="D540" t="s">
        <v>22</v>
      </c>
      <c r="E540" t="s">
        <v>31</v>
      </c>
      <c r="F540" t="s">
        <v>32</v>
      </c>
      <c r="G540" s="6">
        <v>3691</v>
      </c>
      <c r="H540" s="7">
        <v>7</v>
      </c>
      <c r="I540" s="6">
        <v>1291.8499999999999</v>
      </c>
      <c r="J540" s="6">
        <v>27128.85</v>
      </c>
      <c r="K540" s="5">
        <v>43505.958333333336</v>
      </c>
      <c r="L540" s="4" t="s">
        <v>288</v>
      </c>
      <c r="M540" t="s">
        <v>34</v>
      </c>
      <c r="N540" s="6">
        <v>25837</v>
      </c>
      <c r="O540">
        <v>4.7619047620000003</v>
      </c>
      <c r="P540" s="6">
        <v>1291.8499999999999</v>
      </c>
      <c r="Q540">
        <v>6.7</v>
      </c>
      <c r="R540" s="6">
        <f>RawSales[[#This Row],[Unit price]]*RawSales[[#This Row],[Quantity]]</f>
        <v>25837</v>
      </c>
      <c r="S540" s="6">
        <f>RawSales[[#This Row],[Subtotal]]*$B$1</f>
        <v>1291.8500000000001</v>
      </c>
      <c r="T540" s="6" t="b">
        <f>ROUND(RawSales[[#This Row],[Subtotal]],2)=ROUND(RawSales[[#This Row],[cogs]],2)</f>
        <v>1</v>
      </c>
      <c r="U540" s="6" t="b">
        <f>ROUND(RawSales[[#This Row],[cogs]]*0.05,2)=ROUND(RawSales[[#This Row],[Tax 5%]],2)</f>
        <v>1</v>
      </c>
      <c r="V540" s="6" t="b">
        <f>ROUND(RawSales[[#This Row],[cogs]]+RawSales[[#This Row],[Tax 5%]],2)=ROUND(RawSales[[#This Row],[Sales]],2)</f>
        <v>1</v>
      </c>
    </row>
    <row r="541" spans="1:22" x14ac:dyDescent="0.35">
      <c r="A541" s="4" t="s">
        <v>955</v>
      </c>
      <c r="B541" t="s">
        <v>20</v>
      </c>
      <c r="C541" t="s">
        <v>21</v>
      </c>
      <c r="D541" t="s">
        <v>22</v>
      </c>
      <c r="E541" t="s">
        <v>23</v>
      </c>
      <c r="F541" t="s">
        <v>43</v>
      </c>
      <c r="G541" s="6">
        <v>6893</v>
      </c>
      <c r="H541" s="7">
        <v>7</v>
      </c>
      <c r="I541" s="6">
        <v>2412.5500000000002</v>
      </c>
      <c r="J541" s="6">
        <v>50663.55</v>
      </c>
      <c r="K541" s="5">
        <v>43534.958333333336</v>
      </c>
      <c r="L541" s="4" t="s">
        <v>956</v>
      </c>
      <c r="M541" t="s">
        <v>51</v>
      </c>
      <c r="N541" s="6">
        <v>48251</v>
      </c>
      <c r="O541">
        <v>4.7619047620000003</v>
      </c>
      <c r="P541" s="6">
        <v>2412.5500000000002</v>
      </c>
      <c r="Q541">
        <v>4.5999999999999996</v>
      </c>
      <c r="R541" s="6">
        <f>RawSales[[#This Row],[Unit price]]*RawSales[[#This Row],[Quantity]]</f>
        <v>48251</v>
      </c>
      <c r="S541" s="6">
        <f>RawSales[[#This Row],[Subtotal]]*$B$1</f>
        <v>2412.5500000000002</v>
      </c>
      <c r="T541" s="6" t="b">
        <f>ROUND(RawSales[[#This Row],[Subtotal]],2)=ROUND(RawSales[[#This Row],[cogs]],2)</f>
        <v>1</v>
      </c>
      <c r="U541" s="6" t="b">
        <f>ROUND(RawSales[[#This Row],[cogs]]*0.05,2)=ROUND(RawSales[[#This Row],[Tax 5%]],2)</f>
        <v>1</v>
      </c>
      <c r="V541" s="6" t="b">
        <f>ROUND(RawSales[[#This Row],[cogs]]+RawSales[[#This Row],[Tax 5%]],2)=ROUND(RawSales[[#This Row],[Sales]],2)</f>
        <v>1</v>
      </c>
    </row>
    <row r="542" spans="1:22" x14ac:dyDescent="0.35">
      <c r="A542" s="4" t="s">
        <v>957</v>
      </c>
      <c r="B542" t="s">
        <v>28</v>
      </c>
      <c r="C542" t="s">
        <v>29</v>
      </c>
      <c r="D542" t="s">
        <v>22</v>
      </c>
      <c r="E542" t="s">
        <v>23</v>
      </c>
      <c r="F542" t="s">
        <v>32</v>
      </c>
      <c r="G542" s="6">
        <v>1229</v>
      </c>
      <c r="H542" s="7">
        <v>9</v>
      </c>
      <c r="I542" s="6">
        <v>553.04999999999995</v>
      </c>
      <c r="J542" s="6">
        <v>11614.05</v>
      </c>
      <c r="K542" s="5">
        <v>43549.958333333336</v>
      </c>
      <c r="L542" s="4" t="s">
        <v>365</v>
      </c>
      <c r="M542" t="s">
        <v>51</v>
      </c>
      <c r="N542" s="6">
        <v>11061</v>
      </c>
      <c r="O542">
        <v>4.7619047620000003</v>
      </c>
      <c r="P542" s="6">
        <v>553.04999999999995</v>
      </c>
      <c r="Q542">
        <v>8</v>
      </c>
      <c r="R542" s="6">
        <f>RawSales[[#This Row],[Unit price]]*RawSales[[#This Row],[Quantity]]</f>
        <v>11061</v>
      </c>
      <c r="S542" s="6">
        <f>RawSales[[#This Row],[Subtotal]]*$B$1</f>
        <v>553.05000000000007</v>
      </c>
      <c r="T542" s="6" t="b">
        <f>ROUND(RawSales[[#This Row],[Subtotal]],2)=ROUND(RawSales[[#This Row],[cogs]],2)</f>
        <v>1</v>
      </c>
      <c r="U542" s="6" t="b">
        <f>ROUND(RawSales[[#This Row],[cogs]]*0.05,2)=ROUND(RawSales[[#This Row],[Tax 5%]],2)</f>
        <v>1</v>
      </c>
      <c r="V542" s="6" t="b">
        <f>ROUND(RawSales[[#This Row],[cogs]]+RawSales[[#This Row],[Tax 5%]],2)=ROUND(RawSales[[#This Row],[Sales]],2)</f>
        <v>1</v>
      </c>
    </row>
    <row r="543" spans="1:22" x14ac:dyDescent="0.35">
      <c r="A543" s="4" t="s">
        <v>958</v>
      </c>
      <c r="B543" t="s">
        <v>20</v>
      </c>
      <c r="C543" t="s">
        <v>21</v>
      </c>
      <c r="D543" t="s">
        <v>22</v>
      </c>
      <c r="E543" t="s">
        <v>31</v>
      </c>
      <c r="F543" t="s">
        <v>62</v>
      </c>
      <c r="G543" s="6">
        <v>6726</v>
      </c>
      <c r="H543" s="7">
        <v>4</v>
      </c>
      <c r="I543" s="6">
        <v>1345.2</v>
      </c>
      <c r="J543" s="6">
        <v>28249.200000000001</v>
      </c>
      <c r="K543" s="5">
        <v>43483.958333333336</v>
      </c>
      <c r="L543" s="4" t="s">
        <v>865</v>
      </c>
      <c r="M543" t="s">
        <v>51</v>
      </c>
      <c r="N543" s="6">
        <v>26904</v>
      </c>
      <c r="O543">
        <v>4.7619047620000003</v>
      </c>
      <c r="P543" s="6">
        <v>1345.2</v>
      </c>
      <c r="Q543">
        <v>8</v>
      </c>
      <c r="R543" s="6">
        <f>RawSales[[#This Row],[Unit price]]*RawSales[[#This Row],[Quantity]]</f>
        <v>26904</v>
      </c>
      <c r="S543" s="6">
        <f>RawSales[[#This Row],[Subtotal]]*$B$1</f>
        <v>1345.2</v>
      </c>
      <c r="T543" s="6" t="b">
        <f>ROUND(RawSales[[#This Row],[Subtotal]],2)=ROUND(RawSales[[#This Row],[cogs]],2)</f>
        <v>1</v>
      </c>
      <c r="U543" s="6" t="b">
        <f>ROUND(RawSales[[#This Row],[cogs]]*0.05,2)=ROUND(RawSales[[#This Row],[Tax 5%]],2)</f>
        <v>1</v>
      </c>
      <c r="V543" s="6" t="b">
        <f>ROUND(RawSales[[#This Row],[cogs]]+RawSales[[#This Row],[Tax 5%]],2)=ROUND(RawSales[[#This Row],[Sales]],2)</f>
        <v>1</v>
      </c>
    </row>
    <row r="544" spans="1:22" x14ac:dyDescent="0.35">
      <c r="A544" s="4" t="s">
        <v>959</v>
      </c>
      <c r="B544" t="s">
        <v>20</v>
      </c>
      <c r="C544" t="s">
        <v>21</v>
      </c>
      <c r="D544" t="s">
        <v>22</v>
      </c>
      <c r="E544" t="s">
        <v>23</v>
      </c>
      <c r="F544" t="s">
        <v>49</v>
      </c>
      <c r="G544" s="6">
        <v>2232</v>
      </c>
      <c r="H544" s="7">
        <v>4</v>
      </c>
      <c r="I544" s="6">
        <v>446.4</v>
      </c>
      <c r="J544" s="6">
        <v>9374.4</v>
      </c>
      <c r="K544" s="5">
        <v>43524.958333333336</v>
      </c>
      <c r="L544" s="4" t="s">
        <v>379</v>
      </c>
      <c r="M544" t="s">
        <v>51</v>
      </c>
      <c r="N544" s="6">
        <v>8928</v>
      </c>
      <c r="O544">
        <v>4.7619047620000003</v>
      </c>
      <c r="P544" s="6">
        <v>446.4</v>
      </c>
      <c r="Q544">
        <v>4.4000000000000004</v>
      </c>
      <c r="R544" s="6">
        <f>RawSales[[#This Row],[Unit price]]*RawSales[[#This Row],[Quantity]]</f>
        <v>8928</v>
      </c>
      <c r="S544" s="6">
        <f>RawSales[[#This Row],[Subtotal]]*$B$1</f>
        <v>446.40000000000003</v>
      </c>
      <c r="T544" s="6" t="b">
        <f>ROUND(RawSales[[#This Row],[Subtotal]],2)=ROUND(RawSales[[#This Row],[cogs]],2)</f>
        <v>1</v>
      </c>
      <c r="U544" s="6" t="b">
        <f>ROUND(RawSales[[#This Row],[cogs]]*0.05,2)=ROUND(RawSales[[#This Row],[Tax 5%]],2)</f>
        <v>1</v>
      </c>
      <c r="V544" s="6" t="b">
        <f>ROUND(RawSales[[#This Row],[cogs]]+RawSales[[#This Row],[Tax 5%]],2)=ROUND(RawSales[[#This Row],[Sales]],2)</f>
        <v>1</v>
      </c>
    </row>
    <row r="545" spans="1:22" x14ac:dyDescent="0.35">
      <c r="A545" s="4" t="s">
        <v>960</v>
      </c>
      <c r="B545" t="s">
        <v>28</v>
      </c>
      <c r="C545" t="s">
        <v>29</v>
      </c>
      <c r="D545" t="s">
        <v>22</v>
      </c>
      <c r="E545" t="s">
        <v>23</v>
      </c>
      <c r="F545" t="s">
        <v>24</v>
      </c>
      <c r="G545" s="6">
        <v>2001</v>
      </c>
      <c r="H545" s="7">
        <v>9</v>
      </c>
      <c r="I545" s="6">
        <v>900.45</v>
      </c>
      <c r="J545" s="6">
        <v>18909.45</v>
      </c>
      <c r="K545" s="5">
        <v>43501.958333333336</v>
      </c>
      <c r="L545" s="4" t="s">
        <v>961</v>
      </c>
      <c r="M545" t="s">
        <v>34</v>
      </c>
      <c r="N545" s="6">
        <v>18009</v>
      </c>
      <c r="O545">
        <v>4.7619047620000003</v>
      </c>
      <c r="P545" s="6">
        <v>900.45</v>
      </c>
      <c r="Q545">
        <v>4.0999999999999996</v>
      </c>
      <c r="R545" s="6">
        <f>RawSales[[#This Row],[Unit price]]*RawSales[[#This Row],[Quantity]]</f>
        <v>18009</v>
      </c>
      <c r="S545" s="6">
        <f>RawSales[[#This Row],[Subtotal]]*$B$1</f>
        <v>900.45</v>
      </c>
      <c r="T545" s="6" t="b">
        <f>ROUND(RawSales[[#This Row],[Subtotal]],2)=ROUND(RawSales[[#This Row],[cogs]],2)</f>
        <v>1</v>
      </c>
      <c r="U545" s="6" t="b">
        <f>ROUND(RawSales[[#This Row],[cogs]]*0.05,2)=ROUND(RawSales[[#This Row],[Tax 5%]],2)</f>
        <v>1</v>
      </c>
      <c r="V545" s="6" t="b">
        <f>ROUND(RawSales[[#This Row],[cogs]]+RawSales[[#This Row],[Tax 5%]],2)=ROUND(RawSales[[#This Row],[Sales]],2)</f>
        <v>1</v>
      </c>
    </row>
    <row r="546" spans="1:22" x14ac:dyDescent="0.35">
      <c r="A546" s="4" t="s">
        <v>962</v>
      </c>
      <c r="B546" t="s">
        <v>28</v>
      </c>
      <c r="C546" t="s">
        <v>29</v>
      </c>
      <c r="D546" t="s">
        <v>30</v>
      </c>
      <c r="E546" t="s">
        <v>31</v>
      </c>
      <c r="F546" t="s">
        <v>32</v>
      </c>
      <c r="G546" s="6">
        <v>5028</v>
      </c>
      <c r="H546" s="7">
        <v>5</v>
      </c>
      <c r="I546" s="6">
        <v>1257</v>
      </c>
      <c r="J546" s="6">
        <v>26397</v>
      </c>
      <c r="K546" s="5">
        <v>43530.958333333336</v>
      </c>
      <c r="L546" s="4" t="s">
        <v>96</v>
      </c>
      <c r="M546" t="s">
        <v>34</v>
      </c>
      <c r="N546" s="6">
        <v>25140</v>
      </c>
      <c r="O546">
        <v>4.7619047620000003</v>
      </c>
      <c r="P546" s="6">
        <v>1257</v>
      </c>
      <c r="Q546">
        <v>9.6999999999999993</v>
      </c>
      <c r="R546" s="6">
        <f>RawSales[[#This Row],[Unit price]]*RawSales[[#This Row],[Quantity]]</f>
        <v>25140</v>
      </c>
      <c r="S546" s="6">
        <f>RawSales[[#This Row],[Subtotal]]*$B$1</f>
        <v>1257</v>
      </c>
      <c r="T546" s="6" t="b">
        <f>ROUND(RawSales[[#This Row],[Subtotal]],2)=ROUND(RawSales[[#This Row],[cogs]],2)</f>
        <v>1</v>
      </c>
      <c r="U546" s="6" t="b">
        <f>ROUND(RawSales[[#This Row],[cogs]]*0.05,2)=ROUND(RawSales[[#This Row],[Tax 5%]],2)</f>
        <v>1</v>
      </c>
      <c r="V546" s="6" t="b">
        <f>ROUND(RawSales[[#This Row],[cogs]]+RawSales[[#This Row],[Tax 5%]],2)=ROUND(RawSales[[#This Row],[Sales]],2)</f>
        <v>1</v>
      </c>
    </row>
    <row r="547" spans="1:22" x14ac:dyDescent="0.35">
      <c r="A547" s="4" t="s">
        <v>963</v>
      </c>
      <c r="B547" t="s">
        <v>20</v>
      </c>
      <c r="C547" t="s">
        <v>21</v>
      </c>
      <c r="D547" t="s">
        <v>22</v>
      </c>
      <c r="E547" t="s">
        <v>23</v>
      </c>
      <c r="F547" t="s">
        <v>62</v>
      </c>
      <c r="G547" s="6">
        <v>2201</v>
      </c>
      <c r="H547" s="7">
        <v>4</v>
      </c>
      <c r="I547" s="6">
        <v>440.2</v>
      </c>
      <c r="J547" s="6">
        <v>9244.2000000000007</v>
      </c>
      <c r="K547" s="5">
        <v>43493.958333333336</v>
      </c>
      <c r="L547" s="4" t="s">
        <v>964</v>
      </c>
      <c r="M547" t="s">
        <v>51</v>
      </c>
      <c r="N547" s="6">
        <v>8804</v>
      </c>
      <c r="O547">
        <v>4.7619047620000003</v>
      </c>
      <c r="P547" s="6">
        <v>440.2</v>
      </c>
      <c r="Q547">
        <v>6.6</v>
      </c>
      <c r="R547" s="6">
        <f>RawSales[[#This Row],[Unit price]]*RawSales[[#This Row],[Quantity]]</f>
        <v>8804</v>
      </c>
      <c r="S547" s="6">
        <f>RawSales[[#This Row],[Subtotal]]*$B$1</f>
        <v>440.20000000000005</v>
      </c>
      <c r="T547" s="6" t="b">
        <f>ROUND(RawSales[[#This Row],[Subtotal]],2)=ROUND(RawSales[[#This Row],[cogs]],2)</f>
        <v>1</v>
      </c>
      <c r="U547" s="6" t="b">
        <f>ROUND(RawSales[[#This Row],[cogs]]*0.05,2)=ROUND(RawSales[[#This Row],[Tax 5%]],2)</f>
        <v>1</v>
      </c>
      <c r="V547" s="6" t="b">
        <f>ROUND(RawSales[[#This Row],[cogs]]+RawSales[[#This Row],[Tax 5%]],2)=ROUND(RawSales[[#This Row],[Sales]],2)</f>
        <v>1</v>
      </c>
    </row>
    <row r="548" spans="1:22" x14ac:dyDescent="0.35">
      <c r="A548" s="4" t="s">
        <v>965</v>
      </c>
      <c r="B548" t="s">
        <v>28</v>
      </c>
      <c r="C548" t="s">
        <v>29</v>
      </c>
      <c r="D548" t="s">
        <v>30</v>
      </c>
      <c r="E548" t="s">
        <v>31</v>
      </c>
      <c r="F548" t="s">
        <v>43</v>
      </c>
      <c r="G548" s="6">
        <v>1482</v>
      </c>
      <c r="H548" s="7">
        <v>3</v>
      </c>
      <c r="I548" s="6">
        <v>222.3</v>
      </c>
      <c r="J548" s="6">
        <v>4668.3</v>
      </c>
      <c r="K548" s="5">
        <v>43524.958333333336</v>
      </c>
      <c r="L548" s="4" t="s">
        <v>856</v>
      </c>
      <c r="M548" t="s">
        <v>51</v>
      </c>
      <c r="N548" s="6">
        <v>4446</v>
      </c>
      <c r="O548">
        <v>4.7619047620000003</v>
      </c>
      <c r="P548" s="6">
        <v>222.3</v>
      </c>
      <c r="Q548">
        <v>8.6999999999999993</v>
      </c>
      <c r="R548" s="6">
        <f>RawSales[[#This Row],[Unit price]]*RawSales[[#This Row],[Quantity]]</f>
        <v>4446</v>
      </c>
      <c r="S548" s="6">
        <f>RawSales[[#This Row],[Subtotal]]*$B$1</f>
        <v>222.3</v>
      </c>
      <c r="T548" s="6" t="b">
        <f>ROUND(RawSales[[#This Row],[Subtotal]],2)=ROUND(RawSales[[#This Row],[cogs]],2)</f>
        <v>1</v>
      </c>
      <c r="U548" s="6" t="b">
        <f>ROUND(RawSales[[#This Row],[cogs]]*0.05,2)=ROUND(RawSales[[#This Row],[Tax 5%]],2)</f>
        <v>1</v>
      </c>
      <c r="V548" s="6" t="b">
        <f>ROUND(RawSales[[#This Row],[cogs]]+RawSales[[#This Row],[Tax 5%]],2)=ROUND(RawSales[[#This Row],[Sales]],2)</f>
        <v>1</v>
      </c>
    </row>
    <row r="549" spans="1:22" x14ac:dyDescent="0.35">
      <c r="A549" s="4" t="s">
        <v>966</v>
      </c>
      <c r="B549" t="s">
        <v>20</v>
      </c>
      <c r="C549" t="s">
        <v>21</v>
      </c>
      <c r="D549" t="s">
        <v>30</v>
      </c>
      <c r="E549" t="s">
        <v>31</v>
      </c>
      <c r="F549" t="s">
        <v>62</v>
      </c>
      <c r="G549" s="6">
        <v>8591</v>
      </c>
      <c r="H549" s="7">
        <v>5</v>
      </c>
      <c r="I549" s="6">
        <v>2147.75</v>
      </c>
      <c r="J549" s="6">
        <v>45102.75</v>
      </c>
      <c r="K549" s="5">
        <v>43545.958333333336</v>
      </c>
      <c r="L549" s="4" t="s">
        <v>733</v>
      </c>
      <c r="M549" t="s">
        <v>51</v>
      </c>
      <c r="N549" s="6">
        <v>42955</v>
      </c>
      <c r="O549">
        <v>4.7619047620000003</v>
      </c>
      <c r="P549" s="6">
        <v>2147.75</v>
      </c>
      <c r="Q549">
        <v>8.6</v>
      </c>
      <c r="R549" s="6">
        <f>RawSales[[#This Row],[Unit price]]*RawSales[[#This Row],[Quantity]]</f>
        <v>42955</v>
      </c>
      <c r="S549" s="6">
        <f>RawSales[[#This Row],[Subtotal]]*$B$1</f>
        <v>2147.75</v>
      </c>
      <c r="T549" s="6" t="b">
        <f>ROUND(RawSales[[#This Row],[Subtotal]],2)=ROUND(RawSales[[#This Row],[cogs]],2)</f>
        <v>1</v>
      </c>
      <c r="U549" s="6" t="b">
        <f>ROUND(RawSales[[#This Row],[cogs]]*0.05,2)=ROUND(RawSales[[#This Row],[Tax 5%]],2)</f>
        <v>1</v>
      </c>
      <c r="V549" s="6" t="b">
        <f>ROUND(RawSales[[#This Row],[cogs]]+RawSales[[#This Row],[Tax 5%]],2)=ROUND(RawSales[[#This Row],[Sales]],2)</f>
        <v>1</v>
      </c>
    </row>
    <row r="550" spans="1:22" x14ac:dyDescent="0.35">
      <c r="A550" s="4" t="s">
        <v>967</v>
      </c>
      <c r="B550" t="s">
        <v>38</v>
      </c>
      <c r="C550" t="s">
        <v>39</v>
      </c>
      <c r="D550" t="s">
        <v>22</v>
      </c>
      <c r="E550" t="s">
        <v>31</v>
      </c>
      <c r="F550" t="s">
        <v>43</v>
      </c>
      <c r="G550" s="6">
        <v>7588</v>
      </c>
      <c r="H550" s="7">
        <v>1</v>
      </c>
      <c r="I550" s="6">
        <v>379.4</v>
      </c>
      <c r="J550" s="6">
        <v>7967.4</v>
      </c>
      <c r="K550" s="5">
        <v>43467.958333333336</v>
      </c>
      <c r="L550" s="4" t="s">
        <v>968</v>
      </c>
      <c r="M550" t="s">
        <v>51</v>
      </c>
      <c r="N550" s="6">
        <v>7588</v>
      </c>
      <c r="O550">
        <v>4.7619047620000003</v>
      </c>
      <c r="P550" s="6">
        <v>379.4</v>
      </c>
      <c r="Q550">
        <v>7.1</v>
      </c>
      <c r="R550" s="6">
        <f>RawSales[[#This Row],[Unit price]]*RawSales[[#This Row],[Quantity]]</f>
        <v>7588</v>
      </c>
      <c r="S550" s="6">
        <f>RawSales[[#This Row],[Subtotal]]*$B$1</f>
        <v>379.40000000000003</v>
      </c>
      <c r="T550" s="6" t="b">
        <f>ROUND(RawSales[[#This Row],[Subtotal]],2)=ROUND(RawSales[[#This Row],[cogs]],2)</f>
        <v>1</v>
      </c>
      <c r="U550" s="6" t="b">
        <f>ROUND(RawSales[[#This Row],[cogs]]*0.05,2)=ROUND(RawSales[[#This Row],[Tax 5%]],2)</f>
        <v>1</v>
      </c>
      <c r="V550" s="6" t="b">
        <f>ROUND(RawSales[[#This Row],[cogs]]+RawSales[[#This Row],[Tax 5%]],2)=ROUND(RawSales[[#This Row],[Sales]],2)</f>
        <v>1</v>
      </c>
    </row>
    <row r="551" spans="1:22" x14ac:dyDescent="0.35">
      <c r="A551" s="4" t="s">
        <v>969</v>
      </c>
      <c r="B551" t="s">
        <v>28</v>
      </c>
      <c r="C551" t="s">
        <v>29</v>
      </c>
      <c r="D551" t="s">
        <v>30</v>
      </c>
      <c r="E551" t="s">
        <v>23</v>
      </c>
      <c r="F551" t="s">
        <v>24</v>
      </c>
      <c r="G551" s="6">
        <v>9969</v>
      </c>
      <c r="H551" s="7">
        <v>5</v>
      </c>
      <c r="I551" s="6">
        <v>2492.25</v>
      </c>
      <c r="J551" s="6">
        <v>52337.25</v>
      </c>
      <c r="K551" s="5">
        <v>43478.958333333336</v>
      </c>
      <c r="L551" s="4" t="s">
        <v>911</v>
      </c>
      <c r="M551" t="s">
        <v>26</v>
      </c>
      <c r="N551" s="6">
        <v>49845</v>
      </c>
      <c r="O551">
        <v>4.7619047620000003</v>
      </c>
      <c r="P551" s="6">
        <v>2492.25</v>
      </c>
      <c r="Q551">
        <v>9.9</v>
      </c>
      <c r="R551" s="6">
        <f>RawSales[[#This Row],[Unit price]]*RawSales[[#This Row],[Quantity]]</f>
        <v>49845</v>
      </c>
      <c r="S551" s="6">
        <f>RawSales[[#This Row],[Subtotal]]*$B$1</f>
        <v>2492.25</v>
      </c>
      <c r="T551" s="6" t="b">
        <f>ROUND(RawSales[[#This Row],[Subtotal]],2)=ROUND(RawSales[[#This Row],[cogs]],2)</f>
        <v>1</v>
      </c>
      <c r="U551" s="6" t="b">
        <f>ROUND(RawSales[[#This Row],[cogs]]*0.05,2)=ROUND(RawSales[[#This Row],[Tax 5%]],2)</f>
        <v>1</v>
      </c>
      <c r="V551" s="6" t="b">
        <f>ROUND(RawSales[[#This Row],[cogs]]+RawSales[[#This Row],[Tax 5%]],2)=ROUND(RawSales[[#This Row],[Sales]],2)</f>
        <v>1</v>
      </c>
    </row>
    <row r="552" spans="1:22" x14ac:dyDescent="0.35">
      <c r="A552" s="4" t="s">
        <v>970</v>
      </c>
      <c r="B552" t="s">
        <v>28</v>
      </c>
      <c r="C552" t="s">
        <v>29</v>
      </c>
      <c r="D552" t="s">
        <v>30</v>
      </c>
      <c r="E552" t="s">
        <v>31</v>
      </c>
      <c r="F552" t="s">
        <v>49</v>
      </c>
      <c r="G552" s="6">
        <v>9487</v>
      </c>
      <c r="H552" s="7">
        <v>8</v>
      </c>
      <c r="I552" s="6">
        <v>3794.8</v>
      </c>
      <c r="J552" s="6">
        <v>79690.8</v>
      </c>
      <c r="K552" s="5">
        <v>43507.958333333336</v>
      </c>
      <c r="L552" s="4" t="s">
        <v>768</v>
      </c>
      <c r="M552" t="s">
        <v>34</v>
      </c>
      <c r="N552" s="6">
        <v>75896</v>
      </c>
      <c r="O552">
        <v>4.7619047620000003</v>
      </c>
      <c r="P552" s="6">
        <v>3794.8</v>
      </c>
      <c r="Q552">
        <v>8.6999999999999993</v>
      </c>
      <c r="R552" s="6">
        <f>RawSales[[#This Row],[Unit price]]*RawSales[[#This Row],[Quantity]]</f>
        <v>75896</v>
      </c>
      <c r="S552" s="6">
        <f>RawSales[[#This Row],[Subtotal]]*$B$1</f>
        <v>3794.8</v>
      </c>
      <c r="T552" s="6" t="b">
        <f>ROUND(RawSales[[#This Row],[Subtotal]],2)=ROUND(RawSales[[#This Row],[cogs]],2)</f>
        <v>1</v>
      </c>
      <c r="U552" s="6" t="b">
        <f>ROUND(RawSales[[#This Row],[cogs]]*0.05,2)=ROUND(RawSales[[#This Row],[Tax 5%]],2)</f>
        <v>1</v>
      </c>
      <c r="V552" s="6" t="b">
        <f>ROUND(RawSales[[#This Row],[cogs]]+RawSales[[#This Row],[Tax 5%]],2)=ROUND(RawSales[[#This Row],[Sales]],2)</f>
        <v>1</v>
      </c>
    </row>
    <row r="553" spans="1:22" x14ac:dyDescent="0.35">
      <c r="A553" s="4" t="s">
        <v>971</v>
      </c>
      <c r="B553" t="s">
        <v>20</v>
      </c>
      <c r="C553" t="s">
        <v>21</v>
      </c>
      <c r="D553" t="s">
        <v>22</v>
      </c>
      <c r="E553" t="s">
        <v>23</v>
      </c>
      <c r="F553" t="s">
        <v>32</v>
      </c>
      <c r="G553" s="6">
        <v>2831</v>
      </c>
      <c r="H553" s="7">
        <v>4</v>
      </c>
      <c r="I553" s="6">
        <v>566.20000000000005</v>
      </c>
      <c r="J553" s="6">
        <v>11890.2</v>
      </c>
      <c r="K553" s="5">
        <v>43530.958333333336</v>
      </c>
      <c r="L553" s="4" t="s">
        <v>208</v>
      </c>
      <c r="M553" t="s">
        <v>26</v>
      </c>
      <c r="N553" s="6">
        <v>11324</v>
      </c>
      <c r="O553">
        <v>4.7619047620000003</v>
      </c>
      <c r="P553" s="6">
        <v>566.20000000000005</v>
      </c>
      <c r="Q553">
        <v>8.1999999999999993</v>
      </c>
      <c r="R553" s="6">
        <f>RawSales[[#This Row],[Unit price]]*RawSales[[#This Row],[Quantity]]</f>
        <v>11324</v>
      </c>
      <c r="S553" s="6">
        <f>RawSales[[#This Row],[Subtotal]]*$B$1</f>
        <v>566.20000000000005</v>
      </c>
      <c r="T553" s="6" t="b">
        <f>ROUND(RawSales[[#This Row],[Subtotal]],2)=ROUND(RawSales[[#This Row],[cogs]],2)</f>
        <v>1</v>
      </c>
      <c r="U553" s="6" t="b">
        <f>ROUND(RawSales[[#This Row],[cogs]]*0.05,2)=ROUND(RawSales[[#This Row],[Tax 5%]],2)</f>
        <v>1</v>
      </c>
      <c r="V553" s="6" t="b">
        <f>ROUND(RawSales[[#This Row],[cogs]]+RawSales[[#This Row],[Tax 5%]],2)=ROUND(RawSales[[#This Row],[Sales]],2)</f>
        <v>1</v>
      </c>
    </row>
    <row r="554" spans="1:22" x14ac:dyDescent="0.35">
      <c r="A554" s="4" t="s">
        <v>972</v>
      </c>
      <c r="B554" t="s">
        <v>38</v>
      </c>
      <c r="C554" t="s">
        <v>39</v>
      </c>
      <c r="D554" t="s">
        <v>22</v>
      </c>
      <c r="E554" t="s">
        <v>31</v>
      </c>
      <c r="F554" t="s">
        <v>49</v>
      </c>
      <c r="G554" s="6">
        <v>6739</v>
      </c>
      <c r="H554" s="7">
        <v>7</v>
      </c>
      <c r="I554" s="6">
        <v>2358.65</v>
      </c>
      <c r="J554" s="6">
        <v>49531.65</v>
      </c>
      <c r="K554" s="5">
        <v>43546.958333333336</v>
      </c>
      <c r="L554" s="4" t="s">
        <v>973</v>
      </c>
      <c r="M554" t="s">
        <v>34</v>
      </c>
      <c r="N554" s="6">
        <v>47173</v>
      </c>
      <c r="O554">
        <v>4.7619047620000003</v>
      </c>
      <c r="P554" s="6">
        <v>2358.65</v>
      </c>
      <c r="Q554">
        <v>6.9</v>
      </c>
      <c r="R554" s="6">
        <f>RawSales[[#This Row],[Unit price]]*RawSales[[#This Row],[Quantity]]</f>
        <v>47173</v>
      </c>
      <c r="S554" s="6">
        <f>RawSales[[#This Row],[Subtotal]]*$B$1</f>
        <v>2358.65</v>
      </c>
      <c r="T554" s="6" t="b">
        <f>ROUND(RawSales[[#This Row],[Subtotal]],2)=ROUND(RawSales[[#This Row],[cogs]],2)</f>
        <v>1</v>
      </c>
      <c r="U554" s="6" t="b">
        <f>ROUND(RawSales[[#This Row],[cogs]]*0.05,2)=ROUND(RawSales[[#This Row],[Tax 5%]],2)</f>
        <v>1</v>
      </c>
      <c r="V554" s="6" t="b">
        <f>ROUND(RawSales[[#This Row],[cogs]]+RawSales[[#This Row],[Tax 5%]],2)=ROUND(RawSales[[#This Row],[Sales]],2)</f>
        <v>1</v>
      </c>
    </row>
    <row r="555" spans="1:22" x14ac:dyDescent="0.35">
      <c r="A555" s="4" t="s">
        <v>974</v>
      </c>
      <c r="B555" t="s">
        <v>38</v>
      </c>
      <c r="C555" t="s">
        <v>39</v>
      </c>
      <c r="D555" t="s">
        <v>22</v>
      </c>
      <c r="E555" t="s">
        <v>23</v>
      </c>
      <c r="F555" t="s">
        <v>32</v>
      </c>
      <c r="G555" s="6">
        <v>4738</v>
      </c>
      <c r="H555" s="7">
        <v>4</v>
      </c>
      <c r="I555" s="6">
        <v>947.6</v>
      </c>
      <c r="J555" s="6">
        <v>19899.599999999999</v>
      </c>
      <c r="K555" s="5">
        <v>43487.958333333336</v>
      </c>
      <c r="L555" s="4" t="s">
        <v>235</v>
      </c>
      <c r="M555" t="s">
        <v>26</v>
      </c>
      <c r="N555" s="6">
        <v>18952</v>
      </c>
      <c r="O555">
        <v>4.7619047620000003</v>
      </c>
      <c r="P555" s="6">
        <v>947.6</v>
      </c>
      <c r="Q555">
        <v>7.1</v>
      </c>
      <c r="R555" s="6">
        <f>RawSales[[#This Row],[Unit price]]*RawSales[[#This Row],[Quantity]]</f>
        <v>18952</v>
      </c>
      <c r="S555" s="6">
        <f>RawSales[[#This Row],[Subtotal]]*$B$1</f>
        <v>947.6</v>
      </c>
      <c r="T555" s="6" t="b">
        <f>ROUND(RawSales[[#This Row],[Subtotal]],2)=ROUND(RawSales[[#This Row],[cogs]],2)</f>
        <v>1</v>
      </c>
      <c r="U555" s="6" t="b">
        <f>ROUND(RawSales[[#This Row],[cogs]]*0.05,2)=ROUND(RawSales[[#This Row],[Tax 5%]],2)</f>
        <v>1</v>
      </c>
      <c r="V555" s="6" t="b">
        <f>ROUND(RawSales[[#This Row],[cogs]]+RawSales[[#This Row],[Tax 5%]],2)=ROUND(RawSales[[#This Row],[Sales]],2)</f>
        <v>1</v>
      </c>
    </row>
    <row r="556" spans="1:22" x14ac:dyDescent="0.35">
      <c r="A556" s="4" t="s">
        <v>975</v>
      </c>
      <c r="B556" t="s">
        <v>28</v>
      </c>
      <c r="C556" t="s">
        <v>29</v>
      </c>
      <c r="D556" t="s">
        <v>22</v>
      </c>
      <c r="E556" t="s">
        <v>31</v>
      </c>
      <c r="F556" t="s">
        <v>62</v>
      </c>
      <c r="G556" s="6">
        <v>9680</v>
      </c>
      <c r="H556" s="7">
        <v>3</v>
      </c>
      <c r="I556" s="6">
        <v>1452</v>
      </c>
      <c r="J556" s="6">
        <v>30492</v>
      </c>
      <c r="K556" s="5">
        <v>43538.958333333336</v>
      </c>
      <c r="L556" s="4" t="s">
        <v>602</v>
      </c>
      <c r="M556" t="s">
        <v>26</v>
      </c>
      <c r="N556" s="6">
        <v>29040</v>
      </c>
      <c r="O556">
        <v>4.7619047620000003</v>
      </c>
      <c r="P556" s="6">
        <v>1452</v>
      </c>
      <c r="Q556">
        <v>5.3</v>
      </c>
      <c r="R556" s="6">
        <f>RawSales[[#This Row],[Unit price]]*RawSales[[#This Row],[Quantity]]</f>
        <v>29040</v>
      </c>
      <c r="S556" s="6">
        <f>RawSales[[#This Row],[Subtotal]]*$B$1</f>
        <v>1452</v>
      </c>
      <c r="T556" s="6" t="b">
        <f>ROUND(RawSales[[#This Row],[Subtotal]],2)=ROUND(RawSales[[#This Row],[cogs]],2)</f>
        <v>1</v>
      </c>
      <c r="U556" s="6" t="b">
        <f>ROUND(RawSales[[#This Row],[cogs]]*0.05,2)=ROUND(RawSales[[#This Row],[Tax 5%]],2)</f>
        <v>1</v>
      </c>
      <c r="V556" s="6" t="b">
        <f>ROUND(RawSales[[#This Row],[cogs]]+RawSales[[#This Row],[Tax 5%]],2)=ROUND(RawSales[[#This Row],[Sales]],2)</f>
        <v>1</v>
      </c>
    </row>
    <row r="557" spans="1:22" x14ac:dyDescent="0.35">
      <c r="A557" s="4" t="s">
        <v>976</v>
      </c>
      <c r="B557" t="s">
        <v>28</v>
      </c>
      <c r="C557" t="s">
        <v>29</v>
      </c>
      <c r="D557" t="s">
        <v>30</v>
      </c>
      <c r="E557" t="s">
        <v>31</v>
      </c>
      <c r="F557" t="s">
        <v>40</v>
      </c>
      <c r="G557" s="6">
        <v>7588</v>
      </c>
      <c r="H557" s="7">
        <v>7</v>
      </c>
      <c r="I557" s="6">
        <v>2655.8</v>
      </c>
      <c r="J557" s="6">
        <v>55771.8</v>
      </c>
      <c r="K557" s="5">
        <v>43488.958333333336</v>
      </c>
      <c r="L557" s="4" t="s">
        <v>182</v>
      </c>
      <c r="M557" t="s">
        <v>34</v>
      </c>
      <c r="N557" s="6">
        <v>53116</v>
      </c>
      <c r="O557">
        <v>4.7619047620000003</v>
      </c>
      <c r="P557" s="6">
        <v>2655.8</v>
      </c>
      <c r="Q557">
        <v>8.9</v>
      </c>
      <c r="R557" s="6">
        <f>RawSales[[#This Row],[Unit price]]*RawSales[[#This Row],[Quantity]]</f>
        <v>53116</v>
      </c>
      <c r="S557" s="6">
        <f>RawSales[[#This Row],[Subtotal]]*$B$1</f>
        <v>2655.8</v>
      </c>
      <c r="T557" s="6" t="b">
        <f>ROUND(RawSales[[#This Row],[Subtotal]],2)=ROUND(RawSales[[#This Row],[cogs]],2)</f>
        <v>1</v>
      </c>
      <c r="U557" s="6" t="b">
        <f>ROUND(RawSales[[#This Row],[cogs]]*0.05,2)=ROUND(RawSales[[#This Row],[Tax 5%]],2)</f>
        <v>1</v>
      </c>
      <c r="V557" s="6" t="b">
        <f>ROUND(RawSales[[#This Row],[cogs]]+RawSales[[#This Row],[Tax 5%]],2)=ROUND(RawSales[[#This Row],[Sales]],2)</f>
        <v>1</v>
      </c>
    </row>
    <row r="558" spans="1:22" x14ac:dyDescent="0.35">
      <c r="A558" s="4" t="s">
        <v>977</v>
      </c>
      <c r="B558" t="s">
        <v>28</v>
      </c>
      <c r="C558" t="s">
        <v>29</v>
      </c>
      <c r="D558" t="s">
        <v>22</v>
      </c>
      <c r="E558" t="s">
        <v>23</v>
      </c>
      <c r="F558" t="s">
        <v>32</v>
      </c>
      <c r="G558" s="6">
        <v>1616</v>
      </c>
      <c r="H558" s="7">
        <v>2</v>
      </c>
      <c r="I558" s="6">
        <v>161.6</v>
      </c>
      <c r="J558" s="6">
        <v>3393.6</v>
      </c>
      <c r="K558" s="5">
        <v>43530.958333333336</v>
      </c>
      <c r="L558" s="4" t="s">
        <v>978</v>
      </c>
      <c r="M558" t="s">
        <v>34</v>
      </c>
      <c r="N558" s="6">
        <v>3232</v>
      </c>
      <c r="O558">
        <v>4.7619047620000003</v>
      </c>
      <c r="P558" s="6">
        <v>161.6</v>
      </c>
      <c r="Q558">
        <v>6.5</v>
      </c>
      <c r="R558" s="6">
        <f>RawSales[[#This Row],[Unit price]]*RawSales[[#This Row],[Quantity]]</f>
        <v>3232</v>
      </c>
      <c r="S558" s="6">
        <f>RawSales[[#This Row],[Subtotal]]*$B$1</f>
        <v>161.60000000000002</v>
      </c>
      <c r="T558" s="6" t="b">
        <f>ROUND(RawSales[[#This Row],[Subtotal]],2)=ROUND(RawSales[[#This Row],[cogs]],2)</f>
        <v>1</v>
      </c>
      <c r="U558" s="6" t="b">
        <f>ROUND(RawSales[[#This Row],[cogs]]*0.05,2)=ROUND(RawSales[[#This Row],[Tax 5%]],2)</f>
        <v>1</v>
      </c>
      <c r="V558" s="6" t="b">
        <f>ROUND(RawSales[[#This Row],[cogs]]+RawSales[[#This Row],[Tax 5%]],2)=ROUND(RawSales[[#This Row],[Sales]],2)</f>
        <v>1</v>
      </c>
    </row>
    <row r="559" spans="1:22" x14ac:dyDescent="0.35">
      <c r="A559" s="4" t="s">
        <v>979</v>
      </c>
      <c r="B559" t="s">
        <v>28</v>
      </c>
      <c r="C559" t="s">
        <v>29</v>
      </c>
      <c r="D559" t="s">
        <v>22</v>
      </c>
      <c r="E559" t="s">
        <v>23</v>
      </c>
      <c r="F559" t="s">
        <v>62</v>
      </c>
      <c r="G559" s="6">
        <v>2308</v>
      </c>
      <c r="H559" s="7">
        <v>6</v>
      </c>
      <c r="I559" s="6">
        <v>692.4</v>
      </c>
      <c r="J559" s="6">
        <v>14540.4</v>
      </c>
      <c r="K559" s="5">
        <v>43488.958333333336</v>
      </c>
      <c r="L559" s="4" t="s">
        <v>343</v>
      </c>
      <c r="M559" t="s">
        <v>34</v>
      </c>
      <c r="N559" s="6">
        <v>13848</v>
      </c>
      <c r="O559">
        <v>4.7619047620000003</v>
      </c>
      <c r="P559" s="6">
        <v>692.4</v>
      </c>
      <c r="Q559">
        <v>4.9000000000000004</v>
      </c>
      <c r="R559" s="6">
        <f>RawSales[[#This Row],[Unit price]]*RawSales[[#This Row],[Quantity]]</f>
        <v>13848</v>
      </c>
      <c r="S559" s="6">
        <f>RawSales[[#This Row],[Subtotal]]*$B$1</f>
        <v>692.40000000000009</v>
      </c>
      <c r="T559" s="6" t="b">
        <f>ROUND(RawSales[[#This Row],[Subtotal]],2)=ROUND(RawSales[[#This Row],[cogs]],2)</f>
        <v>1</v>
      </c>
      <c r="U559" s="6" t="b">
        <f>ROUND(RawSales[[#This Row],[cogs]]*0.05,2)=ROUND(RawSales[[#This Row],[Tax 5%]],2)</f>
        <v>1</v>
      </c>
      <c r="V559" s="6" t="b">
        <f>ROUND(RawSales[[#This Row],[cogs]]+RawSales[[#This Row],[Tax 5%]],2)=ROUND(RawSales[[#This Row],[Sales]],2)</f>
        <v>1</v>
      </c>
    </row>
    <row r="560" spans="1:22" x14ac:dyDescent="0.35">
      <c r="A560" s="4" t="s">
        <v>980</v>
      </c>
      <c r="B560" t="s">
        <v>28</v>
      </c>
      <c r="C560" t="s">
        <v>29</v>
      </c>
      <c r="D560" t="s">
        <v>30</v>
      </c>
      <c r="E560" t="s">
        <v>31</v>
      </c>
      <c r="F560" t="s">
        <v>40</v>
      </c>
      <c r="G560" s="6">
        <v>7939</v>
      </c>
      <c r="H560" s="7">
        <v>10</v>
      </c>
      <c r="I560" s="6">
        <v>3969.5</v>
      </c>
      <c r="J560" s="6">
        <v>83359.5</v>
      </c>
      <c r="K560" s="5">
        <v>43502.958333333336</v>
      </c>
      <c r="L560" s="4" t="s">
        <v>358</v>
      </c>
      <c r="M560" t="s">
        <v>26</v>
      </c>
      <c r="N560" s="6">
        <v>79390</v>
      </c>
      <c r="O560">
        <v>4.7619047620000003</v>
      </c>
      <c r="P560" s="6">
        <v>3969.5</v>
      </c>
      <c r="Q560">
        <v>6.2</v>
      </c>
      <c r="R560" s="6">
        <f>RawSales[[#This Row],[Unit price]]*RawSales[[#This Row],[Quantity]]</f>
        <v>79390</v>
      </c>
      <c r="S560" s="6">
        <f>RawSales[[#This Row],[Subtotal]]*$B$1</f>
        <v>3969.5</v>
      </c>
      <c r="T560" s="6" t="b">
        <f>ROUND(RawSales[[#This Row],[Subtotal]],2)=ROUND(RawSales[[#This Row],[cogs]],2)</f>
        <v>1</v>
      </c>
      <c r="U560" s="6" t="b">
        <f>ROUND(RawSales[[#This Row],[cogs]]*0.05,2)=ROUND(RawSales[[#This Row],[Tax 5%]],2)</f>
        <v>1</v>
      </c>
      <c r="V560" s="6" t="b">
        <f>ROUND(RawSales[[#This Row],[cogs]]+RawSales[[#This Row],[Tax 5%]],2)=ROUND(RawSales[[#This Row],[Sales]],2)</f>
        <v>1</v>
      </c>
    </row>
    <row r="561" spans="1:22" x14ac:dyDescent="0.35">
      <c r="A561" s="4" t="s">
        <v>981</v>
      </c>
      <c r="B561" t="s">
        <v>28</v>
      </c>
      <c r="C561" t="s">
        <v>29</v>
      </c>
      <c r="D561" t="s">
        <v>22</v>
      </c>
      <c r="E561" t="s">
        <v>23</v>
      </c>
      <c r="F561" t="s">
        <v>24</v>
      </c>
      <c r="G561" s="6">
        <v>2915</v>
      </c>
      <c r="H561" s="7">
        <v>3</v>
      </c>
      <c r="I561" s="6">
        <v>437.25</v>
      </c>
      <c r="J561" s="6">
        <v>9182.25</v>
      </c>
      <c r="K561" s="4" t="s">
        <v>390</v>
      </c>
      <c r="L561" s="4" t="s">
        <v>186</v>
      </c>
      <c r="M561" t="s">
        <v>51</v>
      </c>
      <c r="N561" s="6">
        <v>8745</v>
      </c>
      <c r="O561">
        <v>4.7619047620000003</v>
      </c>
      <c r="P561" s="6">
        <v>437.25</v>
      </c>
      <c r="Q561">
        <v>7.3</v>
      </c>
      <c r="R561" s="6">
        <f>RawSales[[#This Row],[Unit price]]*RawSales[[#This Row],[Quantity]]</f>
        <v>8745</v>
      </c>
      <c r="S561" s="6">
        <f>RawSales[[#This Row],[Subtotal]]*$B$1</f>
        <v>437.25</v>
      </c>
      <c r="T561" s="6" t="b">
        <f>ROUND(RawSales[[#This Row],[Subtotal]],2)=ROUND(RawSales[[#This Row],[cogs]],2)</f>
        <v>1</v>
      </c>
      <c r="U561" s="6" t="b">
        <f>ROUND(RawSales[[#This Row],[cogs]]*0.05,2)=ROUND(RawSales[[#This Row],[Tax 5%]],2)</f>
        <v>1</v>
      </c>
      <c r="V561" s="6" t="b">
        <f>ROUND(RawSales[[#This Row],[cogs]]+RawSales[[#This Row],[Tax 5%]],2)=ROUND(RawSales[[#This Row],[Sales]],2)</f>
        <v>1</v>
      </c>
    </row>
    <row r="562" spans="1:22" x14ac:dyDescent="0.35">
      <c r="A562" s="4" t="s">
        <v>982</v>
      </c>
      <c r="B562" t="s">
        <v>38</v>
      </c>
      <c r="C562" t="s">
        <v>39</v>
      </c>
      <c r="D562" t="s">
        <v>22</v>
      </c>
      <c r="E562" t="s">
        <v>23</v>
      </c>
      <c r="F562" t="s">
        <v>49</v>
      </c>
      <c r="G562" s="6">
        <v>3173</v>
      </c>
      <c r="H562" s="7">
        <v>9</v>
      </c>
      <c r="I562" s="6">
        <v>1427.85</v>
      </c>
      <c r="J562" s="6">
        <v>29984.85</v>
      </c>
      <c r="K562" s="5">
        <v>43472.958333333336</v>
      </c>
      <c r="L562" s="4" t="s">
        <v>983</v>
      </c>
      <c r="M562" t="s">
        <v>51</v>
      </c>
      <c r="N562" s="6">
        <v>28557</v>
      </c>
      <c r="O562">
        <v>4.7619047620000003</v>
      </c>
      <c r="P562" s="6">
        <v>1427.85</v>
      </c>
      <c r="Q562">
        <v>5.9</v>
      </c>
      <c r="R562" s="6">
        <f>RawSales[[#This Row],[Unit price]]*RawSales[[#This Row],[Quantity]]</f>
        <v>28557</v>
      </c>
      <c r="S562" s="6">
        <f>RawSales[[#This Row],[Subtotal]]*$B$1</f>
        <v>1427.8500000000001</v>
      </c>
      <c r="T562" s="6" t="b">
        <f>ROUND(RawSales[[#This Row],[Subtotal]],2)=ROUND(RawSales[[#This Row],[cogs]],2)</f>
        <v>1</v>
      </c>
      <c r="U562" s="6" t="b">
        <f>ROUND(RawSales[[#This Row],[cogs]]*0.05,2)=ROUND(RawSales[[#This Row],[Tax 5%]],2)</f>
        <v>1</v>
      </c>
      <c r="V562" s="6" t="b">
        <f>ROUND(RawSales[[#This Row],[cogs]]+RawSales[[#This Row],[Tax 5%]],2)=ROUND(RawSales[[#This Row],[Sales]],2)</f>
        <v>1</v>
      </c>
    </row>
    <row r="563" spans="1:22" x14ac:dyDescent="0.35">
      <c r="A563" s="4" t="s">
        <v>984</v>
      </c>
      <c r="B563" t="s">
        <v>38</v>
      </c>
      <c r="C563" t="s">
        <v>39</v>
      </c>
      <c r="D563" t="s">
        <v>22</v>
      </c>
      <c r="E563" t="s">
        <v>23</v>
      </c>
      <c r="F563" t="s">
        <v>40</v>
      </c>
      <c r="G563" s="6">
        <v>8197</v>
      </c>
      <c r="H563" s="7">
        <v>10</v>
      </c>
      <c r="I563" s="6">
        <v>4098.5</v>
      </c>
      <c r="J563" s="6">
        <v>86068.5</v>
      </c>
      <c r="K563" s="5">
        <v>43526.958333333336</v>
      </c>
      <c r="L563" s="4" t="s">
        <v>446</v>
      </c>
      <c r="M563" t="s">
        <v>26</v>
      </c>
      <c r="N563" s="6">
        <v>81970</v>
      </c>
      <c r="O563">
        <v>4.7619047620000003</v>
      </c>
      <c r="P563" s="6">
        <v>4098.5</v>
      </c>
      <c r="Q563">
        <v>9.1999999999999993</v>
      </c>
      <c r="R563" s="6">
        <f>RawSales[[#This Row],[Unit price]]*RawSales[[#This Row],[Quantity]]</f>
        <v>81970</v>
      </c>
      <c r="S563" s="6">
        <f>RawSales[[#This Row],[Subtotal]]*$B$1</f>
        <v>4098.5</v>
      </c>
      <c r="T563" s="6" t="b">
        <f>ROUND(RawSales[[#This Row],[Subtotal]],2)=ROUND(RawSales[[#This Row],[cogs]],2)</f>
        <v>1</v>
      </c>
      <c r="U563" s="6" t="b">
        <f>ROUND(RawSales[[#This Row],[cogs]]*0.05,2)=ROUND(RawSales[[#This Row],[Tax 5%]],2)</f>
        <v>1</v>
      </c>
      <c r="V563" s="6" t="b">
        <f>ROUND(RawSales[[#This Row],[cogs]]+RawSales[[#This Row],[Tax 5%]],2)=ROUND(RawSales[[#This Row],[Sales]],2)</f>
        <v>1</v>
      </c>
    </row>
    <row r="564" spans="1:22" x14ac:dyDescent="0.35">
      <c r="A564" s="4" t="s">
        <v>985</v>
      </c>
      <c r="B564" t="s">
        <v>38</v>
      </c>
      <c r="C564" t="s">
        <v>39</v>
      </c>
      <c r="D564" t="s">
        <v>22</v>
      </c>
      <c r="E564" t="s">
        <v>23</v>
      </c>
      <c r="F564" t="s">
        <v>62</v>
      </c>
      <c r="G564" s="6">
        <v>3698</v>
      </c>
      <c r="H564" s="7">
        <v>10</v>
      </c>
      <c r="I564" s="6">
        <v>1849</v>
      </c>
      <c r="J564" s="6">
        <v>38829</v>
      </c>
      <c r="K564" s="5">
        <v>43465.958333333336</v>
      </c>
      <c r="L564" s="4" t="s">
        <v>212</v>
      </c>
      <c r="M564" t="s">
        <v>51</v>
      </c>
      <c r="N564" s="6">
        <v>36980</v>
      </c>
      <c r="O564">
        <v>4.7619047620000003</v>
      </c>
      <c r="P564" s="6">
        <v>1849</v>
      </c>
      <c r="Q564">
        <v>7</v>
      </c>
      <c r="R564" s="6">
        <f>RawSales[[#This Row],[Unit price]]*RawSales[[#This Row],[Quantity]]</f>
        <v>36980</v>
      </c>
      <c r="S564" s="6">
        <f>RawSales[[#This Row],[Subtotal]]*$B$1</f>
        <v>1849</v>
      </c>
      <c r="T564" s="6" t="b">
        <f>ROUND(RawSales[[#This Row],[Subtotal]],2)=ROUND(RawSales[[#This Row],[cogs]],2)</f>
        <v>1</v>
      </c>
      <c r="U564" s="6" t="b">
        <f>ROUND(RawSales[[#This Row],[cogs]]*0.05,2)=ROUND(RawSales[[#This Row],[Tax 5%]],2)</f>
        <v>1</v>
      </c>
      <c r="V564" s="6" t="b">
        <f>ROUND(RawSales[[#This Row],[cogs]]+RawSales[[#This Row],[Tax 5%]],2)=ROUND(RawSales[[#This Row],[Sales]],2)</f>
        <v>1</v>
      </c>
    </row>
    <row r="565" spans="1:22" x14ac:dyDescent="0.35">
      <c r="A565" s="4" t="s">
        <v>986</v>
      </c>
      <c r="B565" t="s">
        <v>38</v>
      </c>
      <c r="C565" t="s">
        <v>39</v>
      </c>
      <c r="D565" t="s">
        <v>22</v>
      </c>
      <c r="E565" t="s">
        <v>23</v>
      </c>
      <c r="F565" t="s">
        <v>24</v>
      </c>
      <c r="G565" s="6">
        <v>9870</v>
      </c>
      <c r="H565" s="7">
        <v>8</v>
      </c>
      <c r="I565" s="6">
        <v>3948</v>
      </c>
      <c r="J565" s="6">
        <v>82908</v>
      </c>
      <c r="K565" s="5">
        <v>43527.958333333336</v>
      </c>
      <c r="L565" s="4" t="s">
        <v>987</v>
      </c>
      <c r="M565" t="s">
        <v>26</v>
      </c>
      <c r="N565" s="6">
        <v>78960</v>
      </c>
      <c r="O565">
        <v>4.7619047620000003</v>
      </c>
      <c r="P565" s="6">
        <v>3948</v>
      </c>
      <c r="Q565">
        <v>7.6</v>
      </c>
      <c r="R565" s="6">
        <f>RawSales[[#This Row],[Unit price]]*RawSales[[#This Row],[Quantity]]</f>
        <v>78960</v>
      </c>
      <c r="S565" s="6">
        <f>RawSales[[#This Row],[Subtotal]]*$B$1</f>
        <v>3948</v>
      </c>
      <c r="T565" s="6" t="b">
        <f>ROUND(RawSales[[#This Row],[Subtotal]],2)=ROUND(RawSales[[#This Row],[cogs]],2)</f>
        <v>1</v>
      </c>
      <c r="U565" s="6" t="b">
        <f>ROUND(RawSales[[#This Row],[cogs]]*0.05,2)=ROUND(RawSales[[#This Row],[Tax 5%]],2)</f>
        <v>1</v>
      </c>
      <c r="V565" s="6" t="b">
        <f>ROUND(RawSales[[#This Row],[cogs]]+RawSales[[#This Row],[Tax 5%]],2)=ROUND(RawSales[[#This Row],[Sales]],2)</f>
        <v>1</v>
      </c>
    </row>
    <row r="566" spans="1:22" x14ac:dyDescent="0.35">
      <c r="A566" s="4" t="s">
        <v>988</v>
      </c>
      <c r="B566" t="s">
        <v>38</v>
      </c>
      <c r="C566" t="s">
        <v>39</v>
      </c>
      <c r="D566" t="s">
        <v>22</v>
      </c>
      <c r="E566" t="s">
        <v>23</v>
      </c>
      <c r="F566" t="s">
        <v>49</v>
      </c>
      <c r="G566" s="6">
        <v>9721</v>
      </c>
      <c r="H566" s="7">
        <v>10</v>
      </c>
      <c r="I566" s="6">
        <v>4860.5</v>
      </c>
      <c r="J566" s="6">
        <v>102070.5</v>
      </c>
      <c r="K566" s="4" t="s">
        <v>989</v>
      </c>
      <c r="L566" s="4" t="s">
        <v>679</v>
      </c>
      <c r="M566" t="s">
        <v>51</v>
      </c>
      <c r="N566" s="6">
        <v>97210</v>
      </c>
      <c r="O566">
        <v>4.7619047620000003</v>
      </c>
      <c r="P566" s="6">
        <v>4860.5</v>
      </c>
      <c r="Q566">
        <v>8.6999999999999993</v>
      </c>
      <c r="R566" s="6">
        <f>RawSales[[#This Row],[Unit price]]*RawSales[[#This Row],[Quantity]]</f>
        <v>97210</v>
      </c>
      <c r="S566" s="6">
        <f>RawSales[[#This Row],[Subtotal]]*$B$1</f>
        <v>4860.5</v>
      </c>
      <c r="T566" s="6" t="b">
        <f>ROUND(RawSales[[#This Row],[Subtotal]],2)=ROUND(RawSales[[#This Row],[cogs]],2)</f>
        <v>1</v>
      </c>
      <c r="U566" s="6" t="b">
        <f>ROUND(RawSales[[#This Row],[cogs]]*0.05,2)=ROUND(RawSales[[#This Row],[Tax 5%]],2)</f>
        <v>1</v>
      </c>
      <c r="V566" s="6" t="b">
        <f>ROUND(RawSales[[#This Row],[cogs]]+RawSales[[#This Row],[Tax 5%]],2)=ROUND(RawSales[[#This Row],[Sales]],2)</f>
        <v>1</v>
      </c>
    </row>
    <row r="567" spans="1:22" x14ac:dyDescent="0.35">
      <c r="A567" s="4" t="s">
        <v>990</v>
      </c>
      <c r="B567" t="s">
        <v>28</v>
      </c>
      <c r="C567" t="s">
        <v>29</v>
      </c>
      <c r="D567" t="s">
        <v>22</v>
      </c>
      <c r="E567" t="s">
        <v>23</v>
      </c>
      <c r="F567" t="s">
        <v>239</v>
      </c>
      <c r="G567" s="6">
        <v>5875</v>
      </c>
      <c r="H567" s="7">
        <v>6</v>
      </c>
      <c r="I567" s="6">
        <v>1762.5</v>
      </c>
      <c r="J567" s="6">
        <v>37012.5</v>
      </c>
      <c r="K567" s="5">
        <v>43547.958333333336</v>
      </c>
      <c r="L567" s="4" t="s">
        <v>694</v>
      </c>
      <c r="M567" t="s">
        <v>51</v>
      </c>
      <c r="N567" s="6">
        <v>35250</v>
      </c>
      <c r="O567">
        <v>4.7619047620000003</v>
      </c>
      <c r="P567" s="6">
        <v>1762.5</v>
      </c>
      <c r="Q567">
        <v>5.9</v>
      </c>
      <c r="R567" s="6">
        <f>RawSales[[#This Row],[Unit price]]*RawSales[[#This Row],[Quantity]]</f>
        <v>35250</v>
      </c>
      <c r="S567" s="6">
        <f>RawSales[[#This Row],[Subtotal]]*$B$1</f>
        <v>1762.5</v>
      </c>
      <c r="T567" s="6" t="b">
        <f>ROUND(RawSales[[#This Row],[Subtotal]],2)=ROUND(RawSales[[#This Row],[cogs]],2)</f>
        <v>1</v>
      </c>
      <c r="U567" s="6" t="b">
        <f>ROUND(RawSales[[#This Row],[cogs]]*0.05,2)=ROUND(RawSales[[#This Row],[Tax 5%]],2)</f>
        <v>1</v>
      </c>
      <c r="V567" s="6" t="b">
        <f>ROUND(RawSales[[#This Row],[cogs]]+RawSales[[#This Row],[Tax 5%]],2)=ROUND(RawSales[[#This Row],[Sales]],2)</f>
        <v>1</v>
      </c>
    </row>
    <row r="568" spans="1:22" x14ac:dyDescent="0.35">
      <c r="A568" s="4" t="s">
        <v>991</v>
      </c>
      <c r="B568" t="s">
        <v>28</v>
      </c>
      <c r="C568" t="s">
        <v>29</v>
      </c>
      <c r="D568" t="s">
        <v>22</v>
      </c>
      <c r="E568" t="s">
        <v>23</v>
      </c>
      <c r="F568" t="s">
        <v>62</v>
      </c>
      <c r="G568" s="6">
        <v>6008</v>
      </c>
      <c r="H568" s="7">
        <v>7</v>
      </c>
      <c r="I568" s="6">
        <v>2102.8000000000002</v>
      </c>
      <c r="J568" s="6">
        <v>44158.8</v>
      </c>
      <c r="K568" s="5">
        <v>43509.958333333336</v>
      </c>
      <c r="L568" s="4" t="s">
        <v>416</v>
      </c>
      <c r="M568" t="s">
        <v>51</v>
      </c>
      <c r="N568" s="6">
        <v>42056</v>
      </c>
      <c r="O568">
        <v>4.7619047620000003</v>
      </c>
      <c r="P568" s="6">
        <v>2102.8000000000002</v>
      </c>
      <c r="Q568">
        <v>4.5</v>
      </c>
      <c r="R568" s="6">
        <f>RawSales[[#This Row],[Unit price]]*RawSales[[#This Row],[Quantity]]</f>
        <v>42056</v>
      </c>
      <c r="S568" s="6">
        <f>RawSales[[#This Row],[Subtotal]]*$B$1</f>
        <v>2102.8000000000002</v>
      </c>
      <c r="T568" s="6" t="b">
        <f>ROUND(RawSales[[#This Row],[Subtotal]],2)=ROUND(RawSales[[#This Row],[cogs]],2)</f>
        <v>1</v>
      </c>
      <c r="U568" s="6" t="b">
        <f>ROUND(RawSales[[#This Row],[cogs]]*0.05,2)=ROUND(RawSales[[#This Row],[Tax 5%]],2)</f>
        <v>1</v>
      </c>
      <c r="V568" s="6" t="b">
        <f>ROUND(RawSales[[#This Row],[cogs]]+RawSales[[#This Row],[Tax 5%]],2)=ROUND(RawSales[[#This Row],[Sales]],2)</f>
        <v>1</v>
      </c>
    </row>
    <row r="569" spans="1:22" x14ac:dyDescent="0.35">
      <c r="A569" s="4" t="s">
        <v>992</v>
      </c>
      <c r="B569" t="s">
        <v>20</v>
      </c>
      <c r="C569" t="s">
        <v>21</v>
      </c>
      <c r="D569" t="s">
        <v>30</v>
      </c>
      <c r="E569" t="s">
        <v>31</v>
      </c>
      <c r="F569" t="s">
        <v>40</v>
      </c>
      <c r="G569" s="6">
        <v>7458</v>
      </c>
      <c r="H569" s="7">
        <v>7</v>
      </c>
      <c r="I569" s="6">
        <v>2610.3000000000002</v>
      </c>
      <c r="J569" s="6">
        <v>54816.3</v>
      </c>
      <c r="K569" s="5">
        <v>43499.958333333336</v>
      </c>
      <c r="L569" s="4" t="s">
        <v>993</v>
      </c>
      <c r="M569" t="s">
        <v>51</v>
      </c>
      <c r="N569" s="6">
        <v>52206</v>
      </c>
      <c r="O569">
        <v>4.7619047620000003</v>
      </c>
      <c r="P569" s="6">
        <v>2610.3000000000002</v>
      </c>
      <c r="Q569">
        <v>9</v>
      </c>
      <c r="R569" s="6">
        <f>RawSales[[#This Row],[Unit price]]*RawSales[[#This Row],[Quantity]]</f>
        <v>52206</v>
      </c>
      <c r="S569" s="6">
        <f>RawSales[[#This Row],[Subtotal]]*$B$1</f>
        <v>2610.3000000000002</v>
      </c>
      <c r="T569" s="6" t="b">
        <f>ROUND(RawSales[[#This Row],[Subtotal]],2)=ROUND(RawSales[[#This Row],[cogs]],2)</f>
        <v>1</v>
      </c>
      <c r="U569" s="6" t="b">
        <f>ROUND(RawSales[[#This Row],[cogs]]*0.05,2)=ROUND(RawSales[[#This Row],[Tax 5%]],2)</f>
        <v>1</v>
      </c>
      <c r="V569" s="6" t="b">
        <f>ROUND(RawSales[[#This Row],[cogs]]+RawSales[[#This Row],[Tax 5%]],2)=ROUND(RawSales[[#This Row],[Sales]],2)</f>
        <v>1</v>
      </c>
    </row>
    <row r="570" spans="1:22" x14ac:dyDescent="0.35">
      <c r="A570" s="4" t="s">
        <v>994</v>
      </c>
      <c r="B570" t="s">
        <v>38</v>
      </c>
      <c r="C570" t="s">
        <v>39</v>
      </c>
      <c r="D570" t="s">
        <v>22</v>
      </c>
      <c r="E570" t="s">
        <v>23</v>
      </c>
      <c r="F570" t="s">
        <v>43</v>
      </c>
      <c r="G570" s="6">
        <v>4771</v>
      </c>
      <c r="H570" s="7">
        <v>6</v>
      </c>
      <c r="I570" s="6">
        <v>1431.3</v>
      </c>
      <c r="J570" s="6">
        <v>30057.3</v>
      </c>
      <c r="K570" s="5">
        <v>43511.958333333336</v>
      </c>
      <c r="L570" s="4" t="s">
        <v>204</v>
      </c>
      <c r="M570" t="s">
        <v>34</v>
      </c>
      <c r="N570" s="6">
        <v>28626</v>
      </c>
      <c r="O570">
        <v>4.7619047620000003</v>
      </c>
      <c r="P570" s="6">
        <v>1431.3</v>
      </c>
      <c r="Q570">
        <v>4.4000000000000004</v>
      </c>
      <c r="R570" s="6">
        <f>RawSales[[#This Row],[Unit price]]*RawSales[[#This Row],[Quantity]]</f>
        <v>28626</v>
      </c>
      <c r="S570" s="6">
        <f>RawSales[[#This Row],[Subtotal]]*$B$1</f>
        <v>1431.3000000000002</v>
      </c>
      <c r="T570" s="6" t="b">
        <f>ROUND(RawSales[[#This Row],[Subtotal]],2)=ROUND(RawSales[[#This Row],[cogs]],2)</f>
        <v>1</v>
      </c>
      <c r="U570" s="6" t="b">
        <f>ROUND(RawSales[[#This Row],[cogs]]*0.05,2)=ROUND(RawSales[[#This Row],[Tax 5%]],2)</f>
        <v>1</v>
      </c>
      <c r="V570" s="6" t="b">
        <f>ROUND(RawSales[[#This Row],[cogs]]+RawSales[[#This Row],[Tax 5%]],2)=ROUND(RawSales[[#This Row],[Sales]],2)</f>
        <v>1</v>
      </c>
    </row>
    <row r="571" spans="1:22" x14ac:dyDescent="0.35">
      <c r="A571" s="4" t="s">
        <v>995</v>
      </c>
      <c r="B571" t="s">
        <v>28</v>
      </c>
      <c r="C571" t="s">
        <v>29</v>
      </c>
      <c r="D571" t="s">
        <v>22</v>
      </c>
      <c r="E571" t="s">
        <v>31</v>
      </c>
      <c r="F571" t="s">
        <v>24</v>
      </c>
      <c r="G571" s="6">
        <v>5372</v>
      </c>
      <c r="H571" s="7">
        <v>1</v>
      </c>
      <c r="I571" s="6">
        <v>268.60000000000002</v>
      </c>
      <c r="J571" s="6">
        <v>5640.6</v>
      </c>
      <c r="K571" s="5">
        <v>43524.958333333336</v>
      </c>
      <c r="L571" s="4" t="s">
        <v>278</v>
      </c>
      <c r="M571" t="s">
        <v>34</v>
      </c>
      <c r="N571" s="6">
        <v>5372</v>
      </c>
      <c r="O571">
        <v>4.7619047620000003</v>
      </c>
      <c r="P571" s="6">
        <v>268.60000000000002</v>
      </c>
      <c r="Q571">
        <v>6.4</v>
      </c>
      <c r="R571" s="6">
        <f>RawSales[[#This Row],[Unit price]]*RawSales[[#This Row],[Quantity]]</f>
        <v>5372</v>
      </c>
      <c r="S571" s="6">
        <f>RawSales[[#This Row],[Subtotal]]*$B$1</f>
        <v>268.60000000000002</v>
      </c>
      <c r="T571" s="6" t="b">
        <f>ROUND(RawSales[[#This Row],[Subtotal]],2)=ROUND(RawSales[[#This Row],[cogs]],2)</f>
        <v>1</v>
      </c>
      <c r="U571" s="6" t="b">
        <f>ROUND(RawSales[[#This Row],[cogs]]*0.05,2)=ROUND(RawSales[[#This Row],[Tax 5%]],2)</f>
        <v>1</v>
      </c>
      <c r="V571" s="6" t="b">
        <f>ROUND(RawSales[[#This Row],[cogs]]+RawSales[[#This Row],[Tax 5%]],2)=ROUND(RawSales[[#This Row],[Sales]],2)</f>
        <v>1</v>
      </c>
    </row>
    <row r="572" spans="1:22" x14ac:dyDescent="0.35">
      <c r="A572" s="4" t="s">
        <v>996</v>
      </c>
      <c r="B572" t="s">
        <v>28</v>
      </c>
      <c r="C572" t="s">
        <v>29</v>
      </c>
      <c r="D572" t="s">
        <v>30</v>
      </c>
      <c r="E572" t="s">
        <v>23</v>
      </c>
      <c r="F572" t="s">
        <v>32</v>
      </c>
      <c r="G572" s="6">
        <v>1128</v>
      </c>
      <c r="H572" s="7">
        <v>9</v>
      </c>
      <c r="I572" s="6">
        <v>507.6</v>
      </c>
      <c r="J572" s="6">
        <v>10659.6</v>
      </c>
      <c r="K572" s="5">
        <v>43540.958333333336</v>
      </c>
      <c r="L572" s="4" t="s">
        <v>953</v>
      </c>
      <c r="M572" t="s">
        <v>51</v>
      </c>
      <c r="N572" s="6">
        <v>10152</v>
      </c>
      <c r="O572">
        <v>4.7619047620000003</v>
      </c>
      <c r="P572" s="6">
        <v>507.6</v>
      </c>
      <c r="Q572">
        <v>4.3</v>
      </c>
      <c r="R572" s="6">
        <f>RawSales[[#This Row],[Unit price]]*RawSales[[#This Row],[Quantity]]</f>
        <v>10152</v>
      </c>
      <c r="S572" s="6">
        <f>RawSales[[#This Row],[Subtotal]]*$B$1</f>
        <v>507.6</v>
      </c>
      <c r="T572" s="6" t="b">
        <f>ROUND(RawSales[[#This Row],[Subtotal]],2)=ROUND(RawSales[[#This Row],[cogs]],2)</f>
        <v>1</v>
      </c>
      <c r="U572" s="6" t="b">
        <f>ROUND(RawSales[[#This Row],[cogs]]*0.05,2)=ROUND(RawSales[[#This Row],[Tax 5%]],2)</f>
        <v>1</v>
      </c>
      <c r="V572" s="6" t="b">
        <f>ROUND(RawSales[[#This Row],[cogs]]+RawSales[[#This Row],[Tax 5%]],2)=ROUND(RawSales[[#This Row],[Sales]],2)</f>
        <v>1</v>
      </c>
    </row>
    <row r="573" spans="1:22" x14ac:dyDescent="0.35">
      <c r="A573" s="4" t="s">
        <v>997</v>
      </c>
      <c r="B573" t="s">
        <v>38</v>
      </c>
      <c r="C573" t="s">
        <v>39</v>
      </c>
      <c r="D573" t="s">
        <v>30</v>
      </c>
      <c r="E573" t="s">
        <v>23</v>
      </c>
      <c r="F573" t="s">
        <v>43</v>
      </c>
      <c r="G573" s="6">
        <v>4626</v>
      </c>
      <c r="H573" s="7">
        <v>6</v>
      </c>
      <c r="I573" s="6">
        <v>1387.8</v>
      </c>
      <c r="J573" s="6">
        <v>29143.8</v>
      </c>
      <c r="K573" s="5">
        <v>43531.958333333336</v>
      </c>
      <c r="L573" s="4" t="s">
        <v>998</v>
      </c>
      <c r="M573" t="s">
        <v>51</v>
      </c>
      <c r="N573" s="6">
        <v>27756</v>
      </c>
      <c r="O573">
        <v>4.7619047620000003</v>
      </c>
      <c r="P573" s="6">
        <v>1387.8</v>
      </c>
      <c r="Q573">
        <v>9.5</v>
      </c>
      <c r="R573" s="6">
        <f>RawSales[[#This Row],[Unit price]]*RawSales[[#This Row],[Quantity]]</f>
        <v>27756</v>
      </c>
      <c r="S573" s="6">
        <f>RawSales[[#This Row],[Subtotal]]*$B$1</f>
        <v>1387.8000000000002</v>
      </c>
      <c r="T573" s="6" t="b">
        <f>ROUND(RawSales[[#This Row],[Subtotal]],2)=ROUND(RawSales[[#This Row],[cogs]],2)</f>
        <v>1</v>
      </c>
      <c r="U573" s="6" t="b">
        <f>ROUND(RawSales[[#This Row],[cogs]]*0.05,2)=ROUND(RawSales[[#This Row],[Tax 5%]],2)</f>
        <v>1</v>
      </c>
      <c r="V573" s="6" t="b">
        <f>ROUND(RawSales[[#This Row],[cogs]]+RawSales[[#This Row],[Tax 5%]],2)=ROUND(RawSales[[#This Row],[Sales]],2)</f>
        <v>1</v>
      </c>
    </row>
    <row r="574" spans="1:22" x14ac:dyDescent="0.35">
      <c r="A574" s="4" t="s">
        <v>999</v>
      </c>
      <c r="B574" t="s">
        <v>38</v>
      </c>
      <c r="C574" t="s">
        <v>39</v>
      </c>
      <c r="D574" t="s">
        <v>22</v>
      </c>
      <c r="E574" t="s">
        <v>31</v>
      </c>
      <c r="F574" t="s">
        <v>40</v>
      </c>
      <c r="G574" s="6">
        <v>8425</v>
      </c>
      <c r="H574" s="7">
        <v>2</v>
      </c>
      <c r="I574" s="6">
        <v>842.5</v>
      </c>
      <c r="J574" s="6">
        <v>17692.5</v>
      </c>
      <c r="K574" s="5">
        <v>43549.958333333336</v>
      </c>
      <c r="L574" s="4" t="s">
        <v>1000</v>
      </c>
      <c r="M574" t="s">
        <v>51</v>
      </c>
      <c r="N574" s="6">
        <v>16850</v>
      </c>
      <c r="O574">
        <v>4.7619047620000003</v>
      </c>
      <c r="P574" s="6">
        <v>842.5</v>
      </c>
      <c r="Q574">
        <v>5.3</v>
      </c>
      <c r="R574" s="6">
        <f>RawSales[[#This Row],[Unit price]]*RawSales[[#This Row],[Quantity]]</f>
        <v>16850</v>
      </c>
      <c r="S574" s="6">
        <f>RawSales[[#This Row],[Subtotal]]*$B$1</f>
        <v>842.5</v>
      </c>
      <c r="T574" s="6" t="b">
        <f>ROUND(RawSales[[#This Row],[Subtotal]],2)=ROUND(RawSales[[#This Row],[cogs]],2)</f>
        <v>1</v>
      </c>
      <c r="U574" s="6" t="b">
        <f>ROUND(RawSales[[#This Row],[cogs]]*0.05,2)=ROUND(RawSales[[#This Row],[Tax 5%]],2)</f>
        <v>1</v>
      </c>
      <c r="V574" s="6" t="b">
        <f>ROUND(RawSales[[#This Row],[cogs]]+RawSales[[#This Row],[Tax 5%]],2)=ROUND(RawSales[[#This Row],[Sales]],2)</f>
        <v>1</v>
      </c>
    </row>
    <row r="575" spans="1:22" x14ac:dyDescent="0.35">
      <c r="A575" s="4" t="s">
        <v>1001</v>
      </c>
      <c r="B575" t="s">
        <v>28</v>
      </c>
      <c r="C575" t="s">
        <v>29</v>
      </c>
      <c r="D575" t="s">
        <v>30</v>
      </c>
      <c r="E575" t="s">
        <v>23</v>
      </c>
      <c r="F575" t="s">
        <v>43</v>
      </c>
      <c r="G575" s="6">
        <v>8288</v>
      </c>
      <c r="H575" s="7">
        <v>5</v>
      </c>
      <c r="I575" s="6">
        <v>2072</v>
      </c>
      <c r="J575" s="6">
        <v>43512</v>
      </c>
      <c r="K575" s="5">
        <v>43547.958333333336</v>
      </c>
      <c r="L575" s="4" t="s">
        <v>255</v>
      </c>
      <c r="M575" t="s">
        <v>51</v>
      </c>
      <c r="N575" s="6">
        <v>41440</v>
      </c>
      <c r="O575">
        <v>4.7619047620000003</v>
      </c>
      <c r="P575" s="6">
        <v>2072</v>
      </c>
      <c r="Q575">
        <v>6.6</v>
      </c>
      <c r="R575" s="6">
        <f>RawSales[[#This Row],[Unit price]]*RawSales[[#This Row],[Quantity]]</f>
        <v>41440</v>
      </c>
      <c r="S575" s="6">
        <f>RawSales[[#This Row],[Subtotal]]*$B$1</f>
        <v>2072</v>
      </c>
      <c r="T575" s="6" t="b">
        <f>ROUND(RawSales[[#This Row],[Subtotal]],2)=ROUND(RawSales[[#This Row],[cogs]],2)</f>
        <v>1</v>
      </c>
      <c r="U575" s="6" t="b">
        <f>ROUND(RawSales[[#This Row],[cogs]]*0.05,2)=ROUND(RawSales[[#This Row],[Tax 5%]],2)</f>
        <v>1</v>
      </c>
      <c r="V575" s="6" t="b">
        <f>ROUND(RawSales[[#This Row],[cogs]]+RawSales[[#This Row],[Tax 5%]],2)=ROUND(RawSales[[#This Row],[Sales]],2)</f>
        <v>1</v>
      </c>
    </row>
    <row r="576" spans="1:22" x14ac:dyDescent="0.35">
      <c r="A576" s="4" t="s">
        <v>1002</v>
      </c>
      <c r="B576" t="s">
        <v>38</v>
      </c>
      <c r="C576" t="s">
        <v>39</v>
      </c>
      <c r="D576" t="s">
        <v>22</v>
      </c>
      <c r="E576" t="s">
        <v>31</v>
      </c>
      <c r="F576" t="s">
        <v>62</v>
      </c>
      <c r="G576" s="6">
        <v>1017</v>
      </c>
      <c r="H576" s="7">
        <v>1</v>
      </c>
      <c r="I576" s="6">
        <v>50.85</v>
      </c>
      <c r="J576" s="6">
        <v>1067.8499999999999</v>
      </c>
      <c r="K576" s="5">
        <v>43502.958333333336</v>
      </c>
      <c r="L576" s="4" t="s">
        <v>330</v>
      </c>
      <c r="M576" t="s">
        <v>26</v>
      </c>
      <c r="N576" s="6">
        <v>1017</v>
      </c>
      <c r="O576">
        <v>4.7619047620000003</v>
      </c>
      <c r="P576" s="6">
        <v>50.85</v>
      </c>
      <c r="Q576">
        <v>5.9</v>
      </c>
      <c r="R576" s="6">
        <f>RawSales[[#This Row],[Unit price]]*RawSales[[#This Row],[Quantity]]</f>
        <v>1017</v>
      </c>
      <c r="S576" s="6">
        <f>RawSales[[#This Row],[Subtotal]]*$B$1</f>
        <v>50.85</v>
      </c>
      <c r="T576" s="6" t="b">
        <f>ROUND(RawSales[[#This Row],[Subtotal]],2)=ROUND(RawSales[[#This Row],[cogs]],2)</f>
        <v>1</v>
      </c>
      <c r="U576" s="6" t="b">
        <f>ROUND(RawSales[[#This Row],[cogs]]*0.05,2)=ROUND(RawSales[[#This Row],[Tax 5%]],2)</f>
        <v>1</v>
      </c>
      <c r="V576" s="6" t="b">
        <f>ROUND(RawSales[[#This Row],[cogs]]+RawSales[[#This Row],[Tax 5%]],2)=ROUND(RawSales[[#This Row],[Sales]],2)</f>
        <v>1</v>
      </c>
    </row>
    <row r="577" spans="1:22" x14ac:dyDescent="0.35">
      <c r="A577" s="4" t="s">
        <v>1003</v>
      </c>
      <c r="B577" t="s">
        <v>28</v>
      </c>
      <c r="C577" t="s">
        <v>29</v>
      </c>
      <c r="D577" t="s">
        <v>22</v>
      </c>
      <c r="E577" t="s">
        <v>31</v>
      </c>
      <c r="F577" t="s">
        <v>40</v>
      </c>
      <c r="G577" s="6">
        <v>5567</v>
      </c>
      <c r="H577" s="7">
        <v>2</v>
      </c>
      <c r="I577" s="6">
        <v>556.70000000000005</v>
      </c>
      <c r="J577" s="6">
        <v>11690.7</v>
      </c>
      <c r="K577" s="5">
        <v>43550.958333333336</v>
      </c>
      <c r="L577" s="4" t="s">
        <v>924</v>
      </c>
      <c r="M577" t="s">
        <v>34</v>
      </c>
      <c r="N577" s="6">
        <v>11134</v>
      </c>
      <c r="O577">
        <v>4.7619047620000003</v>
      </c>
      <c r="P577" s="6">
        <v>556.70000000000005</v>
      </c>
      <c r="Q577">
        <v>6</v>
      </c>
      <c r="R577" s="6">
        <f>RawSales[[#This Row],[Unit price]]*RawSales[[#This Row],[Quantity]]</f>
        <v>11134</v>
      </c>
      <c r="S577" s="6">
        <f>RawSales[[#This Row],[Subtotal]]*$B$1</f>
        <v>556.70000000000005</v>
      </c>
      <c r="T577" s="6" t="b">
        <f>ROUND(RawSales[[#This Row],[Subtotal]],2)=ROUND(RawSales[[#This Row],[cogs]],2)</f>
        <v>1</v>
      </c>
      <c r="U577" s="6" t="b">
        <f>ROUND(RawSales[[#This Row],[cogs]]*0.05,2)=ROUND(RawSales[[#This Row],[Tax 5%]],2)</f>
        <v>1</v>
      </c>
      <c r="V577" s="6" t="b">
        <f>ROUND(RawSales[[#This Row],[cogs]]+RawSales[[#This Row],[Tax 5%]],2)=ROUND(RawSales[[#This Row],[Sales]],2)</f>
        <v>1</v>
      </c>
    </row>
    <row r="578" spans="1:22" x14ac:dyDescent="0.35">
      <c r="A578" s="4" t="s">
        <v>1004</v>
      </c>
      <c r="B578" t="s">
        <v>20</v>
      </c>
      <c r="C578" t="s">
        <v>21</v>
      </c>
      <c r="D578" t="s">
        <v>22</v>
      </c>
      <c r="E578" t="s">
        <v>23</v>
      </c>
      <c r="F578" t="s">
        <v>32</v>
      </c>
      <c r="G578" s="6">
        <v>9488</v>
      </c>
      <c r="H578" s="7">
        <v>7</v>
      </c>
      <c r="I578" s="6">
        <v>3320.8</v>
      </c>
      <c r="J578" s="6">
        <v>69736.800000000003</v>
      </c>
      <c r="K578" s="5">
        <v>43498.958333333336</v>
      </c>
      <c r="L578" s="4" t="s">
        <v>147</v>
      </c>
      <c r="M578" t="s">
        <v>26</v>
      </c>
      <c r="N578" s="6">
        <v>66416</v>
      </c>
      <c r="O578">
        <v>4.7619047620000003</v>
      </c>
      <c r="P578" s="6">
        <v>3320.8</v>
      </c>
      <c r="Q578">
        <v>4.2</v>
      </c>
      <c r="R578" s="6">
        <f>RawSales[[#This Row],[Unit price]]*RawSales[[#This Row],[Quantity]]</f>
        <v>66416</v>
      </c>
      <c r="S578" s="6">
        <f>RawSales[[#This Row],[Subtotal]]*$B$1</f>
        <v>3320.8</v>
      </c>
      <c r="T578" s="6" t="b">
        <f>ROUND(RawSales[[#This Row],[Subtotal]],2)=ROUND(RawSales[[#This Row],[cogs]],2)</f>
        <v>1</v>
      </c>
      <c r="U578" s="6" t="b">
        <f>ROUND(RawSales[[#This Row],[cogs]]*0.05,2)=ROUND(RawSales[[#This Row],[Tax 5%]],2)</f>
        <v>1</v>
      </c>
      <c r="V578" s="6" t="b">
        <f>ROUND(RawSales[[#This Row],[cogs]]+RawSales[[#This Row],[Tax 5%]],2)=ROUND(RawSales[[#This Row],[Sales]],2)</f>
        <v>1</v>
      </c>
    </row>
    <row r="579" spans="1:22" x14ac:dyDescent="0.35">
      <c r="A579" s="4" t="s">
        <v>1005</v>
      </c>
      <c r="B579" t="s">
        <v>20</v>
      </c>
      <c r="C579" t="s">
        <v>21</v>
      </c>
      <c r="D579" t="s">
        <v>22</v>
      </c>
      <c r="E579" t="s">
        <v>31</v>
      </c>
      <c r="F579" t="s">
        <v>49</v>
      </c>
      <c r="G579" s="6">
        <v>2148</v>
      </c>
      <c r="H579" s="7">
        <v>2</v>
      </c>
      <c r="I579" s="6">
        <v>214.8</v>
      </c>
      <c r="J579" s="6">
        <v>4510.8</v>
      </c>
      <c r="K579" s="5">
        <v>43522.958333333336</v>
      </c>
      <c r="L579" s="4" t="s">
        <v>1006</v>
      </c>
      <c r="M579" t="s">
        <v>34</v>
      </c>
      <c r="N579" s="6">
        <v>4296</v>
      </c>
      <c r="O579">
        <v>4.7619047620000003</v>
      </c>
      <c r="P579" s="6">
        <v>214.8</v>
      </c>
      <c r="Q579">
        <v>6.6</v>
      </c>
      <c r="R579" s="6">
        <f>RawSales[[#This Row],[Unit price]]*RawSales[[#This Row],[Quantity]]</f>
        <v>4296</v>
      </c>
      <c r="S579" s="6">
        <f>RawSales[[#This Row],[Subtotal]]*$B$1</f>
        <v>214.8</v>
      </c>
      <c r="T579" s="6" t="b">
        <f>ROUND(RawSales[[#This Row],[Subtotal]],2)=ROUND(RawSales[[#This Row],[cogs]],2)</f>
        <v>1</v>
      </c>
      <c r="U579" s="6" t="b">
        <f>ROUND(RawSales[[#This Row],[cogs]]*0.05,2)=ROUND(RawSales[[#This Row],[Tax 5%]],2)</f>
        <v>1</v>
      </c>
      <c r="V579" s="6" t="b">
        <f>ROUND(RawSales[[#This Row],[cogs]]+RawSales[[#This Row],[Tax 5%]],2)=ROUND(RawSales[[#This Row],[Sales]],2)</f>
        <v>1</v>
      </c>
    </row>
    <row r="580" spans="1:22" x14ac:dyDescent="0.35">
      <c r="A580" s="4" t="s">
        <v>1007</v>
      </c>
      <c r="B580" t="s">
        <v>38</v>
      </c>
      <c r="C580" t="s">
        <v>39</v>
      </c>
      <c r="D580" t="s">
        <v>22</v>
      </c>
      <c r="E580" t="s">
        <v>31</v>
      </c>
      <c r="F580" t="s">
        <v>324</v>
      </c>
      <c r="G580" s="6">
        <v>9937</v>
      </c>
      <c r="H580" s="7">
        <v>2</v>
      </c>
      <c r="I580" s="6">
        <v>993.7</v>
      </c>
      <c r="J580" s="6">
        <v>20867.7</v>
      </c>
      <c r="K580" s="5">
        <v>43509.958333333336</v>
      </c>
      <c r="L580" s="4" t="s">
        <v>1008</v>
      </c>
      <c r="M580" t="s">
        <v>26</v>
      </c>
      <c r="N580" s="6">
        <v>19874</v>
      </c>
      <c r="O580">
        <v>4.7619047620000003</v>
      </c>
      <c r="P580" s="6">
        <v>993.7</v>
      </c>
      <c r="Q580">
        <v>5.2</v>
      </c>
      <c r="R580" s="6">
        <f>RawSales[[#This Row],[Unit price]]*RawSales[[#This Row],[Quantity]]</f>
        <v>19874</v>
      </c>
      <c r="S580" s="6">
        <f>RawSales[[#This Row],[Subtotal]]*$B$1</f>
        <v>993.7</v>
      </c>
      <c r="T580" s="6" t="b">
        <f>ROUND(RawSales[[#This Row],[Subtotal]],2)=ROUND(RawSales[[#This Row],[cogs]],2)</f>
        <v>1</v>
      </c>
      <c r="U580" s="6" t="b">
        <f>ROUND(RawSales[[#This Row],[cogs]]*0.05,2)=ROUND(RawSales[[#This Row],[Tax 5%]],2)</f>
        <v>1</v>
      </c>
      <c r="V580" s="6" t="b">
        <f>ROUND(RawSales[[#This Row],[cogs]]+RawSales[[#This Row],[Tax 5%]],2)=ROUND(RawSales[[#This Row],[Sales]],2)</f>
        <v>1</v>
      </c>
    </row>
    <row r="581" spans="1:22" x14ac:dyDescent="0.35">
      <c r="A581" s="4" t="s">
        <v>1009</v>
      </c>
      <c r="B581" t="s">
        <v>20</v>
      </c>
      <c r="C581" t="s">
        <v>21</v>
      </c>
      <c r="D581" t="s">
        <v>22</v>
      </c>
      <c r="E581" t="s">
        <v>23</v>
      </c>
      <c r="F581" t="s">
        <v>62</v>
      </c>
      <c r="G581" s="6">
        <v>4558</v>
      </c>
      <c r="H581" s="7">
        <v>1</v>
      </c>
      <c r="I581" s="6">
        <v>227.9</v>
      </c>
      <c r="J581" s="6">
        <v>4785.8999999999996</v>
      </c>
      <c r="K581" s="4" t="s">
        <v>601</v>
      </c>
      <c r="L581" s="4" t="s">
        <v>1000</v>
      </c>
      <c r="M581" t="s">
        <v>26</v>
      </c>
      <c r="N581" s="6">
        <v>4558</v>
      </c>
      <c r="O581">
        <v>4.7619047620000003</v>
      </c>
      <c r="P581" s="6">
        <v>227.9</v>
      </c>
      <c r="Q581">
        <v>9.8000000000000007</v>
      </c>
      <c r="R581" s="6">
        <f>RawSales[[#This Row],[Unit price]]*RawSales[[#This Row],[Quantity]]</f>
        <v>4558</v>
      </c>
      <c r="S581" s="6">
        <f>RawSales[[#This Row],[Subtotal]]*$B$1</f>
        <v>227.9</v>
      </c>
      <c r="T581" s="6" t="b">
        <f>ROUND(RawSales[[#This Row],[Subtotal]],2)=ROUND(RawSales[[#This Row],[cogs]],2)</f>
        <v>1</v>
      </c>
      <c r="U581" s="6" t="b">
        <f>ROUND(RawSales[[#This Row],[cogs]]*0.05,2)=ROUND(RawSales[[#This Row],[Tax 5%]],2)</f>
        <v>1</v>
      </c>
      <c r="V581" s="6" t="b">
        <f>ROUND(RawSales[[#This Row],[cogs]]+RawSales[[#This Row],[Tax 5%]],2)=ROUND(RawSales[[#This Row],[Sales]],2)</f>
        <v>1</v>
      </c>
    </row>
    <row r="582" spans="1:22" x14ac:dyDescent="0.35">
      <c r="A582" s="4" t="s">
        <v>1010</v>
      </c>
      <c r="B582" t="s">
        <v>38</v>
      </c>
      <c r="C582" t="s">
        <v>39</v>
      </c>
      <c r="D582" t="s">
        <v>30</v>
      </c>
      <c r="E582" t="s">
        <v>31</v>
      </c>
      <c r="F582" t="s">
        <v>24</v>
      </c>
      <c r="G582" s="6">
        <v>2158</v>
      </c>
      <c r="H582" s="7">
        <v>1</v>
      </c>
      <c r="I582" s="6">
        <v>107.9</v>
      </c>
      <c r="J582" s="6">
        <v>2265.9</v>
      </c>
      <c r="K582" s="5">
        <v>43504.958333333336</v>
      </c>
      <c r="L582" s="4" t="s">
        <v>47</v>
      </c>
      <c r="M582" t="s">
        <v>34</v>
      </c>
      <c r="N582" s="6">
        <v>2158</v>
      </c>
      <c r="O582">
        <v>4.7619047620000003</v>
      </c>
      <c r="P582" s="6">
        <v>107.9</v>
      </c>
      <c r="Q582">
        <v>7.2</v>
      </c>
      <c r="R582" s="6">
        <f>RawSales[[#This Row],[Unit price]]*RawSales[[#This Row],[Quantity]]</f>
        <v>2158</v>
      </c>
      <c r="S582" s="6">
        <f>RawSales[[#This Row],[Subtotal]]*$B$1</f>
        <v>107.9</v>
      </c>
      <c r="T582" s="6" t="b">
        <f>ROUND(RawSales[[#This Row],[Subtotal]],2)=ROUND(RawSales[[#This Row],[cogs]],2)</f>
        <v>1</v>
      </c>
      <c r="U582" s="6" t="b">
        <f>ROUND(RawSales[[#This Row],[cogs]]*0.05,2)=ROUND(RawSales[[#This Row],[Tax 5%]],2)</f>
        <v>1</v>
      </c>
      <c r="V582" s="6" t="b">
        <f>ROUND(RawSales[[#This Row],[cogs]]+RawSales[[#This Row],[Tax 5%]],2)=ROUND(RawSales[[#This Row],[Sales]],2)</f>
        <v>1</v>
      </c>
    </row>
    <row r="583" spans="1:22" x14ac:dyDescent="0.35">
      <c r="A583" s="4" t="s">
        <v>1011</v>
      </c>
      <c r="B583" t="s">
        <v>20</v>
      </c>
      <c r="C583" t="s">
        <v>21</v>
      </c>
      <c r="D583" t="s">
        <v>22</v>
      </c>
      <c r="E583" t="s">
        <v>23</v>
      </c>
      <c r="F583" t="s">
        <v>24</v>
      </c>
      <c r="G583" s="6">
        <v>5275</v>
      </c>
      <c r="H583" s="7">
        <v>3</v>
      </c>
      <c r="I583" s="6">
        <v>791.25</v>
      </c>
      <c r="J583" s="6">
        <v>16616.25</v>
      </c>
      <c r="K583" s="5">
        <v>43546.958333333336</v>
      </c>
      <c r="L583" s="4" t="s">
        <v>1012</v>
      </c>
      <c r="M583" t="s">
        <v>34</v>
      </c>
      <c r="N583" s="6">
        <v>15825</v>
      </c>
      <c r="O583">
        <v>4.7619047620000003</v>
      </c>
      <c r="P583" s="6">
        <v>791.25</v>
      </c>
      <c r="Q583">
        <v>9.3000000000000007</v>
      </c>
      <c r="R583" s="6">
        <f>RawSales[[#This Row],[Unit price]]*RawSales[[#This Row],[Quantity]]</f>
        <v>15825</v>
      </c>
      <c r="S583" s="6">
        <f>RawSales[[#This Row],[Subtotal]]*$B$1</f>
        <v>791.25</v>
      </c>
      <c r="T583" s="6" t="b">
        <f>ROUND(RawSales[[#This Row],[Subtotal]],2)=ROUND(RawSales[[#This Row],[cogs]],2)</f>
        <v>1</v>
      </c>
      <c r="U583" s="6" t="b">
        <f>ROUND(RawSales[[#This Row],[cogs]]*0.05,2)=ROUND(RawSales[[#This Row],[Tax 5%]],2)</f>
        <v>1</v>
      </c>
      <c r="V583" s="6" t="b">
        <f>ROUND(RawSales[[#This Row],[cogs]]+RawSales[[#This Row],[Tax 5%]],2)=ROUND(RawSales[[#This Row],[Sales]],2)</f>
        <v>1</v>
      </c>
    </row>
    <row r="584" spans="1:22" x14ac:dyDescent="0.35">
      <c r="A584" s="4" t="s">
        <v>1013</v>
      </c>
      <c r="B584" t="s">
        <v>28</v>
      </c>
      <c r="C584" t="s">
        <v>29</v>
      </c>
      <c r="D584" t="s">
        <v>22</v>
      </c>
      <c r="E584" t="s">
        <v>31</v>
      </c>
      <c r="F584" t="s">
        <v>100</v>
      </c>
      <c r="G584" s="6">
        <v>6937</v>
      </c>
      <c r="H584" s="7">
        <v>9</v>
      </c>
      <c r="I584" s="6">
        <v>3121.65</v>
      </c>
      <c r="J584" s="6">
        <v>65554.649999999994</v>
      </c>
      <c r="K584" s="5">
        <v>43490.958333333336</v>
      </c>
      <c r="L584" s="4" t="s">
        <v>133</v>
      </c>
      <c r="M584" t="s">
        <v>34</v>
      </c>
      <c r="N584" s="6">
        <v>62433</v>
      </c>
      <c r="O584">
        <v>4.7619047620000003</v>
      </c>
      <c r="P584" s="6">
        <v>3121.65</v>
      </c>
      <c r="Q584">
        <v>4</v>
      </c>
      <c r="R584" s="6">
        <f>RawSales[[#This Row],[Unit price]]*RawSales[[#This Row],[Quantity]]</f>
        <v>62433</v>
      </c>
      <c r="S584" s="6">
        <f>RawSales[[#This Row],[Subtotal]]*$B$1</f>
        <v>3121.65</v>
      </c>
      <c r="T584" s="6" t="b">
        <f>ROUND(RawSales[[#This Row],[Subtotal]],2)=ROUND(RawSales[[#This Row],[cogs]],2)</f>
        <v>1</v>
      </c>
      <c r="U584" s="6" t="b">
        <f>ROUND(RawSales[[#This Row],[cogs]]*0.05,2)=ROUND(RawSales[[#This Row],[Tax 5%]],2)</f>
        <v>1</v>
      </c>
      <c r="V584" s="6" t="b">
        <f>ROUND(RawSales[[#This Row],[cogs]]+RawSales[[#This Row],[Tax 5%]],2)=ROUND(RawSales[[#This Row],[Sales]],2)</f>
        <v>1</v>
      </c>
    </row>
    <row r="585" spans="1:22" x14ac:dyDescent="0.35">
      <c r="A585" s="4" t="s">
        <v>1014</v>
      </c>
      <c r="B585" t="s">
        <v>28</v>
      </c>
      <c r="C585" t="s">
        <v>29</v>
      </c>
      <c r="D585" t="s">
        <v>30</v>
      </c>
      <c r="E585" t="s">
        <v>23</v>
      </c>
      <c r="F585" t="s">
        <v>40</v>
      </c>
      <c r="G585" s="6">
        <v>7471</v>
      </c>
      <c r="H585" s="7">
        <v>6</v>
      </c>
      <c r="I585" s="6">
        <v>2241.3000000000002</v>
      </c>
      <c r="J585" s="6">
        <v>47067.3</v>
      </c>
      <c r="K585" s="5">
        <v>43465.958333333336</v>
      </c>
      <c r="L585" s="4" t="s">
        <v>232</v>
      </c>
      <c r="M585" t="s">
        <v>26</v>
      </c>
      <c r="N585" s="6">
        <v>44826</v>
      </c>
      <c r="O585">
        <v>4.7619047620000003</v>
      </c>
      <c r="P585" s="6">
        <v>2241.3000000000002</v>
      </c>
      <c r="Q585">
        <v>6.7</v>
      </c>
      <c r="R585" s="6">
        <f>RawSales[[#This Row],[Unit price]]*RawSales[[#This Row],[Quantity]]</f>
        <v>44826</v>
      </c>
      <c r="S585" s="6">
        <f>RawSales[[#This Row],[Subtotal]]*$B$1</f>
        <v>2241.3000000000002</v>
      </c>
      <c r="T585" s="6" t="b">
        <f>ROUND(RawSales[[#This Row],[Subtotal]],2)=ROUND(RawSales[[#This Row],[cogs]],2)</f>
        <v>1</v>
      </c>
      <c r="U585" s="6" t="b">
        <f>ROUND(RawSales[[#This Row],[cogs]]*0.05,2)=ROUND(RawSales[[#This Row],[Tax 5%]],2)</f>
        <v>1</v>
      </c>
      <c r="V585" s="6" t="b">
        <f>ROUND(RawSales[[#This Row],[cogs]]+RawSales[[#This Row],[Tax 5%]],2)=ROUND(RawSales[[#This Row],[Sales]],2)</f>
        <v>1</v>
      </c>
    </row>
    <row r="586" spans="1:22" x14ac:dyDescent="0.35">
      <c r="A586" s="4" t="s">
        <v>1015</v>
      </c>
      <c r="B586" t="s">
        <v>38</v>
      </c>
      <c r="C586" t="s">
        <v>39</v>
      </c>
      <c r="D586" t="s">
        <v>30</v>
      </c>
      <c r="E586" t="s">
        <v>23</v>
      </c>
      <c r="F586" t="s">
        <v>40</v>
      </c>
      <c r="G586" s="6">
        <v>2661</v>
      </c>
      <c r="H586" s="7">
        <v>2</v>
      </c>
      <c r="I586" s="6">
        <v>266.10000000000002</v>
      </c>
      <c r="J586" s="6">
        <v>5588.1</v>
      </c>
      <c r="K586" s="5">
        <v>43542.958333333336</v>
      </c>
      <c r="L586" s="4" t="s">
        <v>635</v>
      </c>
      <c r="M586" t="s">
        <v>26</v>
      </c>
      <c r="N586" s="6">
        <v>5322</v>
      </c>
      <c r="O586">
        <v>4.7619047620000003</v>
      </c>
      <c r="P586" s="6">
        <v>266.10000000000002</v>
      </c>
      <c r="Q586">
        <v>4.2</v>
      </c>
      <c r="R586" s="6">
        <f>RawSales[[#This Row],[Unit price]]*RawSales[[#This Row],[Quantity]]</f>
        <v>5322</v>
      </c>
      <c r="S586" s="6">
        <f>RawSales[[#This Row],[Subtotal]]*$B$1</f>
        <v>266.10000000000002</v>
      </c>
      <c r="T586" s="6" t="b">
        <f>ROUND(RawSales[[#This Row],[Subtotal]],2)=ROUND(RawSales[[#This Row],[cogs]],2)</f>
        <v>1</v>
      </c>
      <c r="U586" s="6" t="b">
        <f>ROUND(RawSales[[#This Row],[cogs]]*0.05,2)=ROUND(RawSales[[#This Row],[Tax 5%]],2)</f>
        <v>1</v>
      </c>
      <c r="V586" s="6" t="b">
        <f>ROUND(RawSales[[#This Row],[cogs]]+RawSales[[#This Row],[Tax 5%]],2)=ROUND(RawSales[[#This Row],[Sales]],2)</f>
        <v>1</v>
      </c>
    </row>
    <row r="587" spans="1:22" x14ac:dyDescent="0.35">
      <c r="A587" s="4" t="s">
        <v>1016</v>
      </c>
      <c r="B587" t="s">
        <v>20</v>
      </c>
      <c r="C587" t="s">
        <v>21</v>
      </c>
      <c r="D587" t="s">
        <v>30</v>
      </c>
      <c r="E587" t="s">
        <v>31</v>
      </c>
      <c r="F587" t="s">
        <v>62</v>
      </c>
      <c r="G587" s="6">
        <v>5891</v>
      </c>
      <c r="H587" s="7">
        <v>7</v>
      </c>
      <c r="I587" s="6">
        <v>2061.85</v>
      </c>
      <c r="J587" s="6">
        <v>43298.85</v>
      </c>
      <c r="K587" s="5">
        <v>43481.958333333336</v>
      </c>
      <c r="L587" s="4" t="s">
        <v>1017</v>
      </c>
      <c r="M587" t="s">
        <v>34</v>
      </c>
      <c r="N587" s="6">
        <v>41237</v>
      </c>
      <c r="O587">
        <v>4.7619047620000003</v>
      </c>
      <c r="P587" s="6">
        <v>2061.85</v>
      </c>
      <c r="Q587">
        <v>9.6999999999999993</v>
      </c>
      <c r="R587" s="6">
        <f>RawSales[[#This Row],[Unit price]]*RawSales[[#This Row],[Quantity]]</f>
        <v>41237</v>
      </c>
      <c r="S587" s="6">
        <f>RawSales[[#This Row],[Subtotal]]*$B$1</f>
        <v>2061.85</v>
      </c>
      <c r="T587" s="6" t="b">
        <f>ROUND(RawSales[[#This Row],[Subtotal]],2)=ROUND(RawSales[[#This Row],[cogs]],2)</f>
        <v>1</v>
      </c>
      <c r="U587" s="6" t="b">
        <f>ROUND(RawSales[[#This Row],[cogs]]*0.05,2)=ROUND(RawSales[[#This Row],[Tax 5%]],2)</f>
        <v>1</v>
      </c>
      <c r="V587" s="6" t="b">
        <f>ROUND(RawSales[[#This Row],[cogs]]+RawSales[[#This Row],[Tax 5%]],2)=ROUND(RawSales[[#This Row],[Sales]],2)</f>
        <v>1</v>
      </c>
    </row>
    <row r="588" spans="1:22" x14ac:dyDescent="0.35">
      <c r="A588" s="4" t="s">
        <v>1018</v>
      </c>
      <c r="B588" t="s">
        <v>28</v>
      </c>
      <c r="C588" t="s">
        <v>29</v>
      </c>
      <c r="D588" t="s">
        <v>22</v>
      </c>
      <c r="E588" t="s">
        <v>23</v>
      </c>
      <c r="F588" t="s">
        <v>24</v>
      </c>
      <c r="G588" s="6">
        <v>7305</v>
      </c>
      <c r="H588" s="7">
        <v>10</v>
      </c>
      <c r="I588" s="6">
        <v>3652.5</v>
      </c>
      <c r="J588" s="6">
        <v>76702.5</v>
      </c>
      <c r="K588" s="5">
        <v>43526.958333333336</v>
      </c>
      <c r="L588" s="4" t="s">
        <v>1019</v>
      </c>
      <c r="M588" t="s">
        <v>51</v>
      </c>
      <c r="N588" s="6">
        <v>73050</v>
      </c>
      <c r="O588">
        <v>4.7619047620000003</v>
      </c>
      <c r="P588" s="6">
        <v>3652.5</v>
      </c>
      <c r="Q588">
        <v>8.6999999999999993</v>
      </c>
      <c r="R588" s="6">
        <f>RawSales[[#This Row],[Unit price]]*RawSales[[#This Row],[Quantity]]</f>
        <v>73050</v>
      </c>
      <c r="S588" s="6">
        <f>RawSales[[#This Row],[Subtotal]]*$B$1</f>
        <v>3652.5</v>
      </c>
      <c r="T588" s="6" t="b">
        <f>ROUND(RawSales[[#This Row],[Subtotal]],2)=ROUND(RawSales[[#This Row],[cogs]],2)</f>
        <v>1</v>
      </c>
      <c r="U588" s="6" t="b">
        <f>ROUND(RawSales[[#This Row],[cogs]]*0.05,2)=ROUND(RawSales[[#This Row],[Tax 5%]],2)</f>
        <v>1</v>
      </c>
      <c r="V588" s="6" t="b">
        <f>ROUND(RawSales[[#This Row],[cogs]]+RawSales[[#This Row],[Tax 5%]],2)=ROUND(RawSales[[#This Row],[Sales]],2)</f>
        <v>1</v>
      </c>
    </row>
    <row r="589" spans="1:22" x14ac:dyDescent="0.35">
      <c r="A589" s="4" t="s">
        <v>1020</v>
      </c>
      <c r="B589" t="s">
        <v>38</v>
      </c>
      <c r="C589" t="s">
        <v>39</v>
      </c>
      <c r="D589" t="s">
        <v>22</v>
      </c>
      <c r="E589" t="s">
        <v>23</v>
      </c>
      <c r="F589" t="s">
        <v>32</v>
      </c>
      <c r="G589" s="6">
        <v>1273</v>
      </c>
      <c r="H589" s="7">
        <v>2</v>
      </c>
      <c r="I589" s="6">
        <v>127.3</v>
      </c>
      <c r="J589" s="6">
        <v>2673.3</v>
      </c>
      <c r="K589" s="5">
        <v>43517.958333333336</v>
      </c>
      <c r="L589" s="4" t="s">
        <v>356</v>
      </c>
      <c r="M589" t="s">
        <v>51</v>
      </c>
      <c r="N589" s="6">
        <v>2546</v>
      </c>
      <c r="O589">
        <v>4.7619047620000003</v>
      </c>
      <c r="P589" s="6">
        <v>127.3</v>
      </c>
      <c r="Q589">
        <v>5.2</v>
      </c>
      <c r="R589" s="6">
        <f>RawSales[[#This Row],[Unit price]]*RawSales[[#This Row],[Quantity]]</f>
        <v>2546</v>
      </c>
      <c r="S589" s="6">
        <f>RawSales[[#This Row],[Subtotal]]*$B$1</f>
        <v>127.30000000000001</v>
      </c>
      <c r="T589" s="6" t="b">
        <f>ROUND(RawSales[[#This Row],[Subtotal]],2)=ROUND(RawSales[[#This Row],[cogs]],2)</f>
        <v>1</v>
      </c>
      <c r="U589" s="6" t="b">
        <f>ROUND(RawSales[[#This Row],[cogs]]*0.05,2)=ROUND(RawSales[[#This Row],[Tax 5%]],2)</f>
        <v>1</v>
      </c>
      <c r="V589" s="6" t="b">
        <f>ROUND(RawSales[[#This Row],[cogs]]+RawSales[[#This Row],[Tax 5%]],2)=ROUND(RawSales[[#This Row],[Sales]],2)</f>
        <v>1</v>
      </c>
    </row>
    <row r="590" spans="1:22" x14ac:dyDescent="0.35">
      <c r="A590" s="4" t="s">
        <v>1021</v>
      </c>
      <c r="B590" t="s">
        <v>38</v>
      </c>
      <c r="C590" t="s">
        <v>39</v>
      </c>
      <c r="D590" t="s">
        <v>30</v>
      </c>
      <c r="E590" t="s">
        <v>23</v>
      </c>
      <c r="F590" t="s">
        <v>49</v>
      </c>
      <c r="G590" s="6">
        <v>9542</v>
      </c>
      <c r="H590" s="7">
        <v>4</v>
      </c>
      <c r="I590" s="6">
        <v>1908.4</v>
      </c>
      <c r="J590" s="6">
        <v>40076.400000000001</v>
      </c>
      <c r="K590" s="5">
        <v>43497.958333333336</v>
      </c>
      <c r="L590" s="4" t="s">
        <v>973</v>
      </c>
      <c r="M590" t="s">
        <v>34</v>
      </c>
      <c r="N590" s="6">
        <v>38168</v>
      </c>
      <c r="O590">
        <v>4.7619047620000003</v>
      </c>
      <c r="P590" s="6">
        <v>1908.4</v>
      </c>
      <c r="Q590">
        <v>6.4</v>
      </c>
      <c r="R590" s="6">
        <f>RawSales[[#This Row],[Unit price]]*RawSales[[#This Row],[Quantity]]</f>
        <v>38168</v>
      </c>
      <c r="S590" s="6">
        <f>RawSales[[#This Row],[Subtotal]]*$B$1</f>
        <v>1908.4</v>
      </c>
      <c r="T590" s="6" t="b">
        <f>ROUND(RawSales[[#This Row],[Subtotal]],2)=ROUND(RawSales[[#This Row],[cogs]],2)</f>
        <v>1</v>
      </c>
      <c r="U590" s="6" t="b">
        <f>ROUND(RawSales[[#This Row],[cogs]]*0.05,2)=ROUND(RawSales[[#This Row],[Tax 5%]],2)</f>
        <v>1</v>
      </c>
      <c r="V590" s="6" t="b">
        <f>ROUND(RawSales[[#This Row],[cogs]]+RawSales[[#This Row],[Tax 5%]],2)=ROUND(RawSales[[#This Row],[Sales]],2)</f>
        <v>1</v>
      </c>
    </row>
    <row r="591" spans="1:22" x14ac:dyDescent="0.35">
      <c r="A591" s="4" t="s">
        <v>1022</v>
      </c>
      <c r="B591" t="s">
        <v>38</v>
      </c>
      <c r="C591" t="s">
        <v>39</v>
      </c>
      <c r="D591" t="s">
        <v>30</v>
      </c>
      <c r="E591" t="s">
        <v>23</v>
      </c>
      <c r="F591" t="s">
        <v>43</v>
      </c>
      <c r="G591" s="6">
        <v>3942</v>
      </c>
      <c r="H591" s="7">
        <v>1</v>
      </c>
      <c r="I591" s="6">
        <v>197.1</v>
      </c>
      <c r="J591" s="6">
        <v>4139.1000000000004</v>
      </c>
      <c r="K591" s="5">
        <v>43482.958333333336</v>
      </c>
      <c r="L591" s="4" t="s">
        <v>924</v>
      </c>
      <c r="M591" t="s">
        <v>26</v>
      </c>
      <c r="N591" s="6">
        <v>3942</v>
      </c>
      <c r="O591">
        <v>4.7619047620000003</v>
      </c>
      <c r="P591" s="6">
        <v>197.1</v>
      </c>
      <c r="Q591">
        <v>8.4</v>
      </c>
      <c r="R591" s="6">
        <f>RawSales[[#This Row],[Unit price]]*RawSales[[#This Row],[Quantity]]</f>
        <v>3942</v>
      </c>
      <c r="S591" s="6">
        <f>RawSales[[#This Row],[Subtotal]]*$B$1</f>
        <v>197.10000000000002</v>
      </c>
      <c r="T591" s="6" t="b">
        <f>ROUND(RawSales[[#This Row],[Subtotal]],2)=ROUND(RawSales[[#This Row],[cogs]],2)</f>
        <v>1</v>
      </c>
      <c r="U591" s="6" t="b">
        <f>ROUND(RawSales[[#This Row],[cogs]]*0.05,2)=ROUND(RawSales[[#This Row],[Tax 5%]],2)</f>
        <v>1</v>
      </c>
      <c r="V591" s="6" t="b">
        <f>ROUND(RawSales[[#This Row],[cogs]]+RawSales[[#This Row],[Tax 5%]],2)=ROUND(RawSales[[#This Row],[Sales]],2)</f>
        <v>1</v>
      </c>
    </row>
    <row r="592" spans="1:22" x14ac:dyDescent="0.35">
      <c r="A592" s="4" t="s">
        <v>1023</v>
      </c>
      <c r="B592" t="s">
        <v>20</v>
      </c>
      <c r="C592" t="s">
        <v>21</v>
      </c>
      <c r="D592" t="s">
        <v>22</v>
      </c>
      <c r="E592" t="s">
        <v>31</v>
      </c>
      <c r="F592" t="s">
        <v>62</v>
      </c>
      <c r="G592" s="6">
        <v>1276</v>
      </c>
      <c r="H592" s="7">
        <v>2</v>
      </c>
      <c r="I592" s="6">
        <v>127.6</v>
      </c>
      <c r="J592" s="6">
        <v>2679.6</v>
      </c>
      <c r="K592" s="5">
        <v>43472.958333333336</v>
      </c>
      <c r="L592" s="4" t="s">
        <v>532</v>
      </c>
      <c r="M592" t="s">
        <v>34</v>
      </c>
      <c r="N592" s="6">
        <v>2552</v>
      </c>
      <c r="O592">
        <v>4.7619047620000003</v>
      </c>
      <c r="P592" s="6">
        <v>127.6</v>
      </c>
      <c r="Q592">
        <v>7.8</v>
      </c>
      <c r="R592" s="6">
        <f>RawSales[[#This Row],[Unit price]]*RawSales[[#This Row],[Quantity]]</f>
        <v>2552</v>
      </c>
      <c r="S592" s="6">
        <f>RawSales[[#This Row],[Subtotal]]*$B$1</f>
        <v>127.60000000000001</v>
      </c>
      <c r="T592" s="6" t="b">
        <f>ROUND(RawSales[[#This Row],[Subtotal]],2)=ROUND(RawSales[[#This Row],[cogs]],2)</f>
        <v>1</v>
      </c>
      <c r="U592" s="6" t="b">
        <f>ROUND(RawSales[[#This Row],[cogs]]*0.05,2)=ROUND(RawSales[[#This Row],[Tax 5%]],2)</f>
        <v>1</v>
      </c>
      <c r="V592" s="6" t="b">
        <f>ROUND(RawSales[[#This Row],[cogs]]+RawSales[[#This Row],[Tax 5%]],2)=ROUND(RawSales[[#This Row],[Sales]],2)</f>
        <v>1</v>
      </c>
    </row>
    <row r="593" spans="1:22" x14ac:dyDescent="0.35">
      <c r="A593" s="4" t="s">
        <v>1024</v>
      </c>
      <c r="B593" t="s">
        <v>38</v>
      </c>
      <c r="C593" t="s">
        <v>39</v>
      </c>
      <c r="D593" t="s">
        <v>22</v>
      </c>
      <c r="E593" t="s">
        <v>23</v>
      </c>
      <c r="F593" t="s">
        <v>32</v>
      </c>
      <c r="G593" s="6">
        <v>8120</v>
      </c>
      <c r="H593" s="7">
        <v>7</v>
      </c>
      <c r="I593" s="6">
        <v>2842</v>
      </c>
      <c r="J593" s="6">
        <v>59682</v>
      </c>
      <c r="K593" s="5">
        <v>43546.958333333336</v>
      </c>
      <c r="L593" s="4" t="s">
        <v>1025</v>
      </c>
      <c r="M593" t="s">
        <v>51</v>
      </c>
      <c r="N593" s="6">
        <v>56840</v>
      </c>
      <c r="O593">
        <v>4.7619047620000003</v>
      </c>
      <c r="P593" s="6">
        <v>2842</v>
      </c>
      <c r="Q593">
        <v>8.1</v>
      </c>
      <c r="R593" s="6">
        <f>RawSales[[#This Row],[Unit price]]*RawSales[[#This Row],[Quantity]]</f>
        <v>56840</v>
      </c>
      <c r="S593" s="6">
        <f>RawSales[[#This Row],[Subtotal]]*$B$1</f>
        <v>2842</v>
      </c>
      <c r="T593" s="6" t="b">
        <f>ROUND(RawSales[[#This Row],[Subtotal]],2)=ROUND(RawSales[[#This Row],[cogs]],2)</f>
        <v>1</v>
      </c>
      <c r="U593" s="6" t="b">
        <f>ROUND(RawSales[[#This Row],[cogs]]*0.05,2)=ROUND(RawSales[[#This Row],[Tax 5%]],2)</f>
        <v>1</v>
      </c>
      <c r="V593" s="6" t="b">
        <f>ROUND(RawSales[[#This Row],[cogs]]+RawSales[[#This Row],[Tax 5%]],2)=ROUND(RawSales[[#This Row],[Sales]],2)</f>
        <v>1</v>
      </c>
    </row>
    <row r="594" spans="1:22" x14ac:dyDescent="0.35">
      <c r="A594" s="4" t="s">
        <v>1026</v>
      </c>
      <c r="B594" t="s">
        <v>28</v>
      </c>
      <c r="C594" t="s">
        <v>29</v>
      </c>
      <c r="D594" t="s">
        <v>22</v>
      </c>
      <c r="E594" t="s">
        <v>31</v>
      </c>
      <c r="F594" t="s">
        <v>32</v>
      </c>
      <c r="G594" s="6">
        <v>6038</v>
      </c>
      <c r="H594" s="7">
        <v>10</v>
      </c>
      <c r="I594" s="6">
        <v>3019</v>
      </c>
      <c r="J594" s="6">
        <v>63399</v>
      </c>
      <c r="K594" s="5">
        <v>43507.958333333336</v>
      </c>
      <c r="L594" s="4" t="s">
        <v>470</v>
      </c>
      <c r="M594" t="s">
        <v>26</v>
      </c>
      <c r="N594" s="6">
        <v>60380</v>
      </c>
      <c r="O594">
        <v>4.7619047620000003</v>
      </c>
      <c r="P594" s="6">
        <v>3019</v>
      </c>
      <c r="Q594">
        <v>6</v>
      </c>
      <c r="R594" s="6">
        <f>RawSales[[#This Row],[Unit price]]*RawSales[[#This Row],[Quantity]]</f>
        <v>60380</v>
      </c>
      <c r="S594" s="6">
        <f>RawSales[[#This Row],[Subtotal]]*$B$1</f>
        <v>3019</v>
      </c>
      <c r="T594" s="6" t="b">
        <f>ROUND(RawSales[[#This Row],[Subtotal]],2)=ROUND(RawSales[[#This Row],[cogs]],2)</f>
        <v>1</v>
      </c>
      <c r="U594" s="6" t="b">
        <f>ROUND(RawSales[[#This Row],[cogs]]*0.05,2)=ROUND(RawSales[[#This Row],[Tax 5%]],2)</f>
        <v>1</v>
      </c>
      <c r="V594" s="6" t="b">
        <f>ROUND(RawSales[[#This Row],[cogs]]+RawSales[[#This Row],[Tax 5%]],2)=ROUND(RawSales[[#This Row],[Sales]],2)</f>
        <v>1</v>
      </c>
    </row>
    <row r="595" spans="1:22" x14ac:dyDescent="0.35">
      <c r="A595" s="4" t="s">
        <v>1027</v>
      </c>
      <c r="B595" t="s">
        <v>20</v>
      </c>
      <c r="C595" t="s">
        <v>21</v>
      </c>
      <c r="D595" t="s">
        <v>22</v>
      </c>
      <c r="E595" t="s">
        <v>23</v>
      </c>
      <c r="F595" t="s">
        <v>32</v>
      </c>
      <c r="G595" s="6">
        <v>8921</v>
      </c>
      <c r="H595" s="7">
        <v>9</v>
      </c>
      <c r="I595" s="6">
        <v>4014.45</v>
      </c>
      <c r="J595" s="6">
        <v>84303.45</v>
      </c>
      <c r="K595" s="5">
        <v>43479.958333333336</v>
      </c>
      <c r="L595" s="4" t="s">
        <v>404</v>
      </c>
      <c r="M595" t="s">
        <v>51</v>
      </c>
      <c r="N595" s="6">
        <v>80289</v>
      </c>
      <c r="O595">
        <v>4.7619047620000003</v>
      </c>
      <c r="P595" s="6">
        <v>4014.45</v>
      </c>
      <c r="Q595">
        <v>6.5</v>
      </c>
      <c r="R595" s="6">
        <f>RawSales[[#This Row],[Unit price]]*RawSales[[#This Row],[Quantity]]</f>
        <v>80289</v>
      </c>
      <c r="S595" s="6">
        <f>RawSales[[#This Row],[Subtotal]]*$B$1</f>
        <v>4014.4500000000003</v>
      </c>
      <c r="T595" s="6" t="b">
        <f>ROUND(RawSales[[#This Row],[Subtotal]],2)=ROUND(RawSales[[#This Row],[cogs]],2)</f>
        <v>1</v>
      </c>
      <c r="U595" s="6" t="b">
        <f>ROUND(RawSales[[#This Row],[cogs]]*0.05,2)=ROUND(RawSales[[#This Row],[Tax 5%]],2)</f>
        <v>1</v>
      </c>
      <c r="V595" s="6" t="b">
        <f>ROUND(RawSales[[#This Row],[cogs]]+RawSales[[#This Row],[Tax 5%]],2)=ROUND(RawSales[[#This Row],[Sales]],2)</f>
        <v>1</v>
      </c>
    </row>
    <row r="596" spans="1:22" x14ac:dyDescent="0.35">
      <c r="A596" s="4" t="s">
        <v>1028</v>
      </c>
      <c r="B596" t="s">
        <v>28</v>
      </c>
      <c r="C596" t="s">
        <v>29</v>
      </c>
      <c r="D596" t="s">
        <v>30</v>
      </c>
      <c r="E596" t="s">
        <v>23</v>
      </c>
      <c r="F596" t="s">
        <v>62</v>
      </c>
      <c r="G596" s="6">
        <v>9331</v>
      </c>
      <c r="H596" s="7">
        <v>2</v>
      </c>
      <c r="I596" s="6">
        <v>933.1</v>
      </c>
      <c r="J596" s="6">
        <v>19595.099999999999</v>
      </c>
      <c r="K596" s="5">
        <v>43548.958333333336</v>
      </c>
      <c r="L596" s="4" t="s">
        <v>1029</v>
      </c>
      <c r="M596" t="s">
        <v>26</v>
      </c>
      <c r="N596" s="6">
        <v>18662</v>
      </c>
      <c r="O596">
        <v>4.7619047620000003</v>
      </c>
      <c r="P596" s="6">
        <v>933.1</v>
      </c>
      <c r="Q596">
        <v>6.3</v>
      </c>
      <c r="R596" s="6">
        <f>RawSales[[#This Row],[Unit price]]*RawSales[[#This Row],[Quantity]]</f>
        <v>18662</v>
      </c>
      <c r="S596" s="6">
        <f>RawSales[[#This Row],[Subtotal]]*$B$1</f>
        <v>933.1</v>
      </c>
      <c r="T596" s="6" t="b">
        <f>ROUND(RawSales[[#This Row],[Subtotal]],2)=ROUND(RawSales[[#This Row],[cogs]],2)</f>
        <v>1</v>
      </c>
      <c r="U596" s="6" t="b">
        <f>ROUND(RawSales[[#This Row],[cogs]]*0.05,2)=ROUND(RawSales[[#This Row],[Tax 5%]],2)</f>
        <v>1</v>
      </c>
      <c r="V596" s="6" t="b">
        <f>ROUND(RawSales[[#This Row],[cogs]]+RawSales[[#This Row],[Tax 5%]],2)=ROUND(RawSales[[#This Row],[Sales]],2)</f>
        <v>1</v>
      </c>
    </row>
    <row r="597" spans="1:22" x14ac:dyDescent="0.35">
      <c r="A597" s="4" t="s">
        <v>1030</v>
      </c>
      <c r="B597" t="s">
        <v>38</v>
      </c>
      <c r="C597" t="s">
        <v>39</v>
      </c>
      <c r="D597" t="s">
        <v>22</v>
      </c>
      <c r="E597" t="s">
        <v>23</v>
      </c>
      <c r="F597" t="s">
        <v>49</v>
      </c>
      <c r="G597" s="6">
        <v>9298</v>
      </c>
      <c r="H597" s="7">
        <v>2</v>
      </c>
      <c r="I597" s="6">
        <v>929.8</v>
      </c>
      <c r="J597" s="6">
        <v>19525.8</v>
      </c>
      <c r="K597" s="4" t="s">
        <v>1031</v>
      </c>
      <c r="L597" s="4" t="s">
        <v>858</v>
      </c>
      <c r="M597" t="s">
        <v>51</v>
      </c>
      <c r="N597" s="6">
        <v>18596</v>
      </c>
      <c r="O597">
        <v>4.7619047620000003</v>
      </c>
      <c r="P597" s="6">
        <v>929.8</v>
      </c>
      <c r="Q597">
        <v>8</v>
      </c>
      <c r="R597" s="6">
        <f>RawSales[[#This Row],[Unit price]]*RawSales[[#This Row],[Quantity]]</f>
        <v>18596</v>
      </c>
      <c r="S597" s="6">
        <f>RawSales[[#This Row],[Subtotal]]*$B$1</f>
        <v>929.80000000000007</v>
      </c>
      <c r="T597" s="6" t="b">
        <f>ROUND(RawSales[[#This Row],[Subtotal]],2)=ROUND(RawSales[[#This Row],[cogs]],2)</f>
        <v>1</v>
      </c>
      <c r="U597" s="6" t="b">
        <f>ROUND(RawSales[[#This Row],[cogs]]*0.05,2)=ROUND(RawSales[[#This Row],[Tax 5%]],2)</f>
        <v>1</v>
      </c>
      <c r="V597" s="6" t="b">
        <f>ROUND(RawSales[[#This Row],[cogs]]+RawSales[[#This Row],[Tax 5%]],2)=ROUND(RawSales[[#This Row],[Sales]],2)</f>
        <v>1</v>
      </c>
    </row>
    <row r="598" spans="1:22" x14ac:dyDescent="0.35">
      <c r="A598" s="4" t="s">
        <v>1032</v>
      </c>
      <c r="B598" t="s">
        <v>20</v>
      </c>
      <c r="C598" t="s">
        <v>21</v>
      </c>
      <c r="D598" t="s">
        <v>30</v>
      </c>
      <c r="E598" t="s">
        <v>23</v>
      </c>
      <c r="F598" t="s">
        <v>49</v>
      </c>
      <c r="G598" s="6">
        <v>4863</v>
      </c>
      <c r="H598" s="7">
        <v>4</v>
      </c>
      <c r="I598" s="6">
        <v>972.6</v>
      </c>
      <c r="J598" s="6">
        <v>20424.599999999999</v>
      </c>
      <c r="K598" s="5">
        <v>43499.958333333336</v>
      </c>
      <c r="L598" s="4" t="s">
        <v>386</v>
      </c>
      <c r="M598" t="s">
        <v>34</v>
      </c>
      <c r="N598" s="6">
        <v>19452</v>
      </c>
      <c r="O598">
        <v>4.7619047620000003</v>
      </c>
      <c r="P598" s="6">
        <v>972.6</v>
      </c>
      <c r="Q598">
        <v>7.6</v>
      </c>
      <c r="R598" s="6">
        <f>RawSales[[#This Row],[Unit price]]*RawSales[[#This Row],[Quantity]]</f>
        <v>19452</v>
      </c>
      <c r="S598" s="6">
        <f>RawSales[[#This Row],[Subtotal]]*$B$1</f>
        <v>972.6</v>
      </c>
      <c r="T598" s="6" t="b">
        <f>ROUND(RawSales[[#This Row],[Subtotal]],2)=ROUND(RawSales[[#This Row],[cogs]],2)</f>
        <v>1</v>
      </c>
      <c r="U598" s="6" t="b">
        <f>ROUND(RawSales[[#This Row],[cogs]]*0.05,2)=ROUND(RawSales[[#This Row],[Tax 5%]],2)</f>
        <v>1</v>
      </c>
      <c r="V598" s="6" t="b">
        <f>ROUND(RawSales[[#This Row],[cogs]]+RawSales[[#This Row],[Tax 5%]],2)=ROUND(RawSales[[#This Row],[Sales]],2)</f>
        <v>1</v>
      </c>
    </row>
    <row r="599" spans="1:22" x14ac:dyDescent="0.35">
      <c r="A599" s="4" t="s">
        <v>1033</v>
      </c>
      <c r="B599" t="s">
        <v>38</v>
      </c>
      <c r="C599" t="s">
        <v>39</v>
      </c>
      <c r="D599" t="s">
        <v>22</v>
      </c>
      <c r="E599" t="s">
        <v>31</v>
      </c>
      <c r="F599" t="s">
        <v>140</v>
      </c>
      <c r="G599" s="6">
        <v>1205</v>
      </c>
      <c r="H599" s="7">
        <v>5</v>
      </c>
      <c r="I599" s="6">
        <v>301.25</v>
      </c>
      <c r="J599" s="6">
        <v>6326.25</v>
      </c>
      <c r="K599" s="5">
        <v>43511.958333333336</v>
      </c>
      <c r="L599" s="4" t="s">
        <v>214</v>
      </c>
      <c r="M599" t="s">
        <v>34</v>
      </c>
      <c r="N599" s="6">
        <v>6025</v>
      </c>
      <c r="O599">
        <v>4.7619047620000003</v>
      </c>
      <c r="P599" s="6">
        <v>301.25</v>
      </c>
      <c r="Q599">
        <v>5.5</v>
      </c>
      <c r="R599" s="6">
        <f>RawSales[[#This Row],[Unit price]]*RawSales[[#This Row],[Quantity]]</f>
        <v>6025</v>
      </c>
      <c r="S599" s="6">
        <f>RawSales[[#This Row],[Subtotal]]*$B$1</f>
        <v>301.25</v>
      </c>
      <c r="T599" s="6" t="b">
        <f>ROUND(RawSales[[#This Row],[Subtotal]],2)=ROUND(RawSales[[#This Row],[cogs]],2)</f>
        <v>1</v>
      </c>
      <c r="U599" s="6" t="b">
        <f>ROUND(RawSales[[#This Row],[cogs]]*0.05,2)=ROUND(RawSales[[#This Row],[Tax 5%]],2)</f>
        <v>1</v>
      </c>
      <c r="V599" s="6" t="b">
        <f>ROUND(RawSales[[#This Row],[cogs]]+RawSales[[#This Row],[Tax 5%]],2)=ROUND(RawSales[[#This Row],[Sales]],2)</f>
        <v>1</v>
      </c>
    </row>
    <row r="600" spans="1:22" x14ac:dyDescent="0.35">
      <c r="A600" s="4" t="s">
        <v>1034</v>
      </c>
      <c r="B600" t="s">
        <v>28</v>
      </c>
      <c r="C600" t="s">
        <v>29</v>
      </c>
      <c r="D600" t="s">
        <v>30</v>
      </c>
      <c r="E600" t="s">
        <v>31</v>
      </c>
      <c r="F600" t="s">
        <v>324</v>
      </c>
      <c r="G600" s="6">
        <v>6030</v>
      </c>
      <c r="H600" s="7">
        <v>4</v>
      </c>
      <c r="I600" s="6">
        <v>1206</v>
      </c>
      <c r="J600" s="6">
        <v>25326</v>
      </c>
      <c r="K600" s="5">
        <v>43515.958333333336</v>
      </c>
      <c r="L600" s="4" t="s">
        <v>1035</v>
      </c>
      <c r="M600" t="s">
        <v>26</v>
      </c>
      <c r="N600" s="6">
        <v>24120</v>
      </c>
      <c r="O600">
        <v>4.7619047620000003</v>
      </c>
      <c r="P600" s="6">
        <v>1206</v>
      </c>
      <c r="Q600">
        <v>5.8</v>
      </c>
      <c r="R600" s="6">
        <f>RawSales[[#This Row],[Unit price]]*RawSales[[#This Row],[Quantity]]</f>
        <v>24120</v>
      </c>
      <c r="S600" s="6">
        <f>RawSales[[#This Row],[Subtotal]]*$B$1</f>
        <v>1206</v>
      </c>
      <c r="T600" s="6" t="b">
        <f>ROUND(RawSales[[#This Row],[Subtotal]],2)=ROUND(RawSales[[#This Row],[cogs]],2)</f>
        <v>1</v>
      </c>
      <c r="U600" s="6" t="b">
        <f>ROUND(RawSales[[#This Row],[cogs]]*0.05,2)=ROUND(RawSales[[#This Row],[Tax 5%]],2)</f>
        <v>1</v>
      </c>
      <c r="V600" s="6" t="b">
        <f>ROUND(RawSales[[#This Row],[cogs]]+RawSales[[#This Row],[Tax 5%]],2)=ROUND(RawSales[[#This Row],[Sales]],2)</f>
        <v>1</v>
      </c>
    </row>
    <row r="601" spans="1:22" x14ac:dyDescent="0.35">
      <c r="A601" s="4" t="s">
        <v>1036</v>
      </c>
      <c r="B601" t="s">
        <v>20</v>
      </c>
      <c r="C601" t="s">
        <v>21</v>
      </c>
      <c r="D601" t="s">
        <v>22</v>
      </c>
      <c r="E601" t="s">
        <v>31</v>
      </c>
      <c r="F601" t="s">
        <v>32</v>
      </c>
      <c r="G601" s="6">
        <v>7278</v>
      </c>
      <c r="H601" s="7">
        <v>10</v>
      </c>
      <c r="I601" s="6">
        <v>3639</v>
      </c>
      <c r="J601" s="6">
        <v>76419</v>
      </c>
      <c r="K601" s="5">
        <v>43498.958333333336</v>
      </c>
      <c r="L601" s="4" t="s">
        <v>947</v>
      </c>
      <c r="M601" t="s">
        <v>26</v>
      </c>
      <c r="N601" s="6">
        <v>72780</v>
      </c>
      <c r="O601">
        <v>4.7619047620000003</v>
      </c>
      <c r="P601" s="6">
        <v>3639</v>
      </c>
      <c r="Q601">
        <v>7.3</v>
      </c>
      <c r="R601" s="6">
        <f>RawSales[[#This Row],[Unit price]]*RawSales[[#This Row],[Quantity]]</f>
        <v>72780</v>
      </c>
      <c r="S601" s="6">
        <f>RawSales[[#This Row],[Subtotal]]*$B$1</f>
        <v>3639</v>
      </c>
      <c r="T601" s="6" t="b">
        <f>ROUND(RawSales[[#This Row],[Subtotal]],2)=ROUND(RawSales[[#This Row],[cogs]],2)</f>
        <v>1</v>
      </c>
      <c r="U601" s="6" t="b">
        <f>ROUND(RawSales[[#This Row],[cogs]]*0.05,2)=ROUND(RawSales[[#This Row],[Tax 5%]],2)</f>
        <v>1</v>
      </c>
      <c r="V601" s="6" t="b">
        <f>ROUND(RawSales[[#This Row],[cogs]]+RawSales[[#This Row],[Tax 5%]],2)=ROUND(RawSales[[#This Row],[Sales]],2)</f>
        <v>1</v>
      </c>
    </row>
    <row r="602" spans="1:22" x14ac:dyDescent="0.35">
      <c r="A602" s="4" t="s">
        <v>1037</v>
      </c>
      <c r="B602" t="s">
        <v>28</v>
      </c>
      <c r="C602" t="s">
        <v>29</v>
      </c>
      <c r="D602" t="s">
        <v>22</v>
      </c>
      <c r="E602" t="s">
        <v>31</v>
      </c>
      <c r="F602" t="s">
        <v>62</v>
      </c>
      <c r="G602" s="6">
        <v>8831</v>
      </c>
      <c r="H602" s="7">
        <v>1</v>
      </c>
      <c r="I602" s="6">
        <v>441.55</v>
      </c>
      <c r="J602" s="6">
        <v>9272.5499999999993</v>
      </c>
      <c r="K602" s="5">
        <v>43510.958333333336</v>
      </c>
      <c r="L602" s="4" t="s">
        <v>138</v>
      </c>
      <c r="M602" t="s">
        <v>51</v>
      </c>
      <c r="N602" s="6">
        <v>8831</v>
      </c>
      <c r="O602">
        <v>4.7619047620000003</v>
      </c>
      <c r="P602" s="6">
        <v>441.55</v>
      </c>
      <c r="Q602">
        <v>5.2</v>
      </c>
      <c r="R602" s="6">
        <f>RawSales[[#This Row],[Unit price]]*RawSales[[#This Row],[Quantity]]</f>
        <v>8831</v>
      </c>
      <c r="S602" s="6">
        <f>RawSales[[#This Row],[Subtotal]]*$B$1</f>
        <v>441.55</v>
      </c>
      <c r="T602" s="6" t="b">
        <f>ROUND(RawSales[[#This Row],[Subtotal]],2)=ROUND(RawSales[[#This Row],[cogs]],2)</f>
        <v>1</v>
      </c>
      <c r="U602" s="6" t="b">
        <f>ROUND(RawSales[[#This Row],[cogs]]*0.05,2)=ROUND(RawSales[[#This Row],[Tax 5%]],2)</f>
        <v>1</v>
      </c>
      <c r="V602" s="6" t="b">
        <f>ROUND(RawSales[[#This Row],[cogs]]+RawSales[[#This Row],[Tax 5%]],2)=ROUND(RawSales[[#This Row],[Sales]],2)</f>
        <v>1</v>
      </c>
    </row>
    <row r="603" spans="1:22" x14ac:dyDescent="0.35">
      <c r="A603" s="4" t="s">
        <v>1038</v>
      </c>
      <c r="B603" t="s">
        <v>28</v>
      </c>
      <c r="C603" t="s">
        <v>29</v>
      </c>
      <c r="D603" t="s">
        <v>30</v>
      </c>
      <c r="E603" t="s">
        <v>23</v>
      </c>
      <c r="F603" t="s">
        <v>43</v>
      </c>
      <c r="G603" s="6">
        <v>1797</v>
      </c>
      <c r="H603" s="7">
        <v>4</v>
      </c>
      <c r="I603" s="6">
        <v>359.4</v>
      </c>
      <c r="J603" s="6">
        <v>7547.4</v>
      </c>
      <c r="K603" s="5">
        <v>43518.958333333336</v>
      </c>
      <c r="L603" s="4" t="s">
        <v>1039</v>
      </c>
      <c r="M603" t="s">
        <v>34</v>
      </c>
      <c r="N603" s="6">
        <v>7188</v>
      </c>
      <c r="O603">
        <v>4.7619047620000003</v>
      </c>
      <c r="P603" s="6">
        <v>359.4</v>
      </c>
      <c r="Q603">
        <v>6.4</v>
      </c>
      <c r="R603" s="6">
        <f>RawSales[[#This Row],[Unit price]]*RawSales[[#This Row],[Quantity]]</f>
        <v>7188</v>
      </c>
      <c r="S603" s="6">
        <f>RawSales[[#This Row],[Subtotal]]*$B$1</f>
        <v>359.40000000000003</v>
      </c>
      <c r="T603" s="6" t="b">
        <f>ROUND(RawSales[[#This Row],[Subtotal]],2)=ROUND(RawSales[[#This Row],[cogs]],2)</f>
        <v>1</v>
      </c>
      <c r="U603" s="6" t="b">
        <f>ROUND(RawSales[[#This Row],[cogs]]*0.05,2)=ROUND(RawSales[[#This Row],[Tax 5%]],2)</f>
        <v>1</v>
      </c>
      <c r="V603" s="6" t="b">
        <f>ROUND(RawSales[[#This Row],[cogs]]+RawSales[[#This Row],[Tax 5%]],2)=ROUND(RawSales[[#This Row],[Sales]],2)</f>
        <v>1</v>
      </c>
    </row>
    <row r="604" spans="1:22" x14ac:dyDescent="0.35">
      <c r="A604" s="4" t="s">
        <v>1040</v>
      </c>
      <c r="B604" t="s">
        <v>20</v>
      </c>
      <c r="C604" t="s">
        <v>21</v>
      </c>
      <c r="D604" t="s">
        <v>30</v>
      </c>
      <c r="E604" t="s">
        <v>31</v>
      </c>
      <c r="F604" t="s">
        <v>49</v>
      </c>
      <c r="G604" s="6">
        <v>3061</v>
      </c>
      <c r="H604" s="7">
        <v>1</v>
      </c>
      <c r="I604" s="6">
        <v>153.05000000000001</v>
      </c>
      <c r="J604" s="6">
        <v>3214.05</v>
      </c>
      <c r="K604" s="5">
        <v>43487.958333333336</v>
      </c>
      <c r="L604" s="4" t="s">
        <v>605</v>
      </c>
      <c r="M604" t="s">
        <v>34</v>
      </c>
      <c r="N604" s="6">
        <v>3061</v>
      </c>
      <c r="O604">
        <v>4.7619047620000003</v>
      </c>
      <c r="P604" s="6">
        <v>153.05000000000001</v>
      </c>
      <c r="Q604">
        <v>5.2</v>
      </c>
      <c r="R604" s="6">
        <f>RawSales[[#This Row],[Unit price]]*RawSales[[#This Row],[Quantity]]</f>
        <v>3061</v>
      </c>
      <c r="S604" s="6">
        <f>RawSales[[#This Row],[Subtotal]]*$B$1</f>
        <v>153.05000000000001</v>
      </c>
      <c r="T604" s="6" t="b">
        <f>ROUND(RawSales[[#This Row],[Subtotal]],2)=ROUND(RawSales[[#This Row],[cogs]],2)</f>
        <v>1</v>
      </c>
      <c r="U604" s="6" t="b">
        <f>ROUND(RawSales[[#This Row],[cogs]]*0.05,2)=ROUND(RawSales[[#This Row],[Tax 5%]],2)</f>
        <v>1</v>
      </c>
      <c r="V604" s="6" t="b">
        <f>ROUND(RawSales[[#This Row],[cogs]]+RawSales[[#This Row],[Tax 5%]],2)=ROUND(RawSales[[#This Row],[Sales]],2)</f>
        <v>1</v>
      </c>
    </row>
    <row r="605" spans="1:22" x14ac:dyDescent="0.35">
      <c r="A605" s="4" t="s">
        <v>1041</v>
      </c>
      <c r="B605" t="s">
        <v>20</v>
      </c>
      <c r="C605" t="s">
        <v>21</v>
      </c>
      <c r="D605" t="s">
        <v>30</v>
      </c>
      <c r="E605" t="s">
        <v>31</v>
      </c>
      <c r="F605" t="s">
        <v>32</v>
      </c>
      <c r="G605" s="6">
        <v>7407</v>
      </c>
      <c r="H605" s="7">
        <v>1</v>
      </c>
      <c r="I605" s="6">
        <v>370.35</v>
      </c>
      <c r="J605" s="6">
        <v>7777.35</v>
      </c>
      <c r="K605" s="5">
        <v>43505.958333333336</v>
      </c>
      <c r="L605" s="4" t="s">
        <v>157</v>
      </c>
      <c r="M605" t="s">
        <v>34</v>
      </c>
      <c r="N605" s="6">
        <v>7407</v>
      </c>
      <c r="O605">
        <v>4.7619047620000003</v>
      </c>
      <c r="P605" s="6">
        <v>370.35</v>
      </c>
      <c r="Q605">
        <v>9.9</v>
      </c>
      <c r="R605" s="6">
        <f>RawSales[[#This Row],[Unit price]]*RawSales[[#This Row],[Quantity]]</f>
        <v>7407</v>
      </c>
      <c r="S605" s="6">
        <f>RawSales[[#This Row],[Subtotal]]*$B$1</f>
        <v>370.35</v>
      </c>
      <c r="T605" s="6" t="b">
        <f>ROUND(RawSales[[#This Row],[Subtotal]],2)=ROUND(RawSales[[#This Row],[cogs]],2)</f>
        <v>1</v>
      </c>
      <c r="U605" s="6" t="b">
        <f>ROUND(RawSales[[#This Row],[cogs]]*0.05,2)=ROUND(RawSales[[#This Row],[Tax 5%]],2)</f>
        <v>1</v>
      </c>
      <c r="V605" s="6" t="b">
        <f>ROUND(RawSales[[#This Row],[cogs]]+RawSales[[#This Row],[Tax 5%]],2)=ROUND(RawSales[[#This Row],[Sales]],2)</f>
        <v>1</v>
      </c>
    </row>
    <row r="606" spans="1:22" x14ac:dyDescent="0.35">
      <c r="A606" s="4" t="s">
        <v>1042</v>
      </c>
      <c r="B606" t="s">
        <v>20</v>
      </c>
      <c r="C606" t="s">
        <v>21</v>
      </c>
      <c r="D606" t="s">
        <v>30</v>
      </c>
      <c r="E606" t="s">
        <v>31</v>
      </c>
      <c r="F606" t="s">
        <v>40</v>
      </c>
      <c r="G606" s="6">
        <v>9515</v>
      </c>
      <c r="H606" s="7">
        <v>1</v>
      </c>
      <c r="I606" s="6">
        <v>475.75</v>
      </c>
      <c r="J606" s="6">
        <v>9990.75</v>
      </c>
      <c r="K606" s="5">
        <v>43545.958333333336</v>
      </c>
      <c r="L606" s="4" t="s">
        <v>1043</v>
      </c>
      <c r="M606" t="s">
        <v>26</v>
      </c>
      <c r="N606" s="6">
        <v>9515</v>
      </c>
      <c r="O606">
        <v>4.7619047620000003</v>
      </c>
      <c r="P606" s="6">
        <v>475.75</v>
      </c>
      <c r="Q606">
        <v>6</v>
      </c>
      <c r="R606" s="6">
        <f>RawSales[[#This Row],[Unit price]]*RawSales[[#This Row],[Quantity]]</f>
        <v>9515</v>
      </c>
      <c r="S606" s="6">
        <f>RawSales[[#This Row],[Subtotal]]*$B$1</f>
        <v>475.75</v>
      </c>
      <c r="T606" s="6" t="b">
        <f>ROUND(RawSales[[#This Row],[Subtotal]],2)=ROUND(RawSales[[#This Row],[cogs]],2)</f>
        <v>1</v>
      </c>
      <c r="U606" s="6" t="b">
        <f>ROUND(RawSales[[#This Row],[cogs]]*0.05,2)=ROUND(RawSales[[#This Row],[Tax 5%]],2)</f>
        <v>1</v>
      </c>
      <c r="V606" s="6" t="b">
        <f>ROUND(RawSales[[#This Row],[cogs]]+RawSales[[#This Row],[Tax 5%]],2)=ROUND(RawSales[[#This Row],[Sales]],2)</f>
        <v>1</v>
      </c>
    </row>
    <row r="607" spans="1:22" x14ac:dyDescent="0.35">
      <c r="A607" s="4" t="s">
        <v>1044</v>
      </c>
      <c r="B607" t="s">
        <v>28</v>
      </c>
      <c r="C607" t="s">
        <v>29</v>
      </c>
      <c r="D607" t="s">
        <v>30</v>
      </c>
      <c r="E607" t="s">
        <v>23</v>
      </c>
      <c r="F607" t="s">
        <v>49</v>
      </c>
      <c r="G607" s="6">
        <v>3470</v>
      </c>
      <c r="H607" s="7">
        <v>2</v>
      </c>
      <c r="I607" s="6">
        <v>347</v>
      </c>
      <c r="J607" s="6">
        <v>7287</v>
      </c>
      <c r="K607" s="5">
        <v>43536.958333333336</v>
      </c>
      <c r="L607" s="4" t="s">
        <v>212</v>
      </c>
      <c r="M607" t="s">
        <v>34</v>
      </c>
      <c r="N607" s="6">
        <v>6940</v>
      </c>
      <c r="O607">
        <v>4.7619047620000003</v>
      </c>
      <c r="P607" s="6">
        <v>347</v>
      </c>
      <c r="Q607">
        <v>8.1999999999999993</v>
      </c>
      <c r="R607" s="6">
        <f>RawSales[[#This Row],[Unit price]]*RawSales[[#This Row],[Quantity]]</f>
        <v>6940</v>
      </c>
      <c r="S607" s="6">
        <f>RawSales[[#This Row],[Subtotal]]*$B$1</f>
        <v>347</v>
      </c>
      <c r="T607" s="6" t="b">
        <f>ROUND(RawSales[[#This Row],[Subtotal]],2)=ROUND(RawSales[[#This Row],[cogs]],2)</f>
        <v>1</v>
      </c>
      <c r="U607" s="6" t="b">
        <f>ROUND(RawSales[[#This Row],[cogs]]*0.05,2)=ROUND(RawSales[[#This Row],[Tax 5%]],2)</f>
        <v>1</v>
      </c>
      <c r="V607" s="6" t="b">
        <f>ROUND(RawSales[[#This Row],[cogs]]+RawSales[[#This Row],[Tax 5%]],2)=ROUND(RawSales[[#This Row],[Sales]],2)</f>
        <v>1</v>
      </c>
    </row>
    <row r="608" spans="1:22" x14ac:dyDescent="0.35">
      <c r="A608" s="4" t="s">
        <v>1045</v>
      </c>
      <c r="B608" t="s">
        <v>38</v>
      </c>
      <c r="C608" t="s">
        <v>39</v>
      </c>
      <c r="D608" t="s">
        <v>22</v>
      </c>
      <c r="E608" t="s">
        <v>31</v>
      </c>
      <c r="F608" t="s">
        <v>46</v>
      </c>
      <c r="G608" s="6">
        <v>4285</v>
      </c>
      <c r="H608" s="7">
        <v>1</v>
      </c>
      <c r="I608" s="6">
        <v>214.25</v>
      </c>
      <c r="J608" s="6">
        <v>4499.25</v>
      </c>
      <c r="K608" s="5">
        <v>43537.958333333336</v>
      </c>
      <c r="L608" s="4" t="s">
        <v>762</v>
      </c>
      <c r="M608" t="s">
        <v>51</v>
      </c>
      <c r="N608" s="6">
        <v>4285</v>
      </c>
      <c r="O608">
        <v>4.7619047620000003</v>
      </c>
      <c r="P608" s="6">
        <v>214.25</v>
      </c>
      <c r="Q608">
        <v>9.3000000000000007</v>
      </c>
      <c r="R608" s="6">
        <f>RawSales[[#This Row],[Unit price]]*RawSales[[#This Row],[Quantity]]</f>
        <v>4285</v>
      </c>
      <c r="S608" s="6">
        <f>RawSales[[#This Row],[Subtotal]]*$B$1</f>
        <v>214.25</v>
      </c>
      <c r="T608" s="6" t="b">
        <f>ROUND(RawSales[[#This Row],[Subtotal]],2)=ROUND(RawSales[[#This Row],[cogs]],2)</f>
        <v>1</v>
      </c>
      <c r="U608" s="6" t="b">
        <f>ROUND(RawSales[[#This Row],[cogs]]*0.05,2)=ROUND(RawSales[[#This Row],[Tax 5%]],2)</f>
        <v>1</v>
      </c>
      <c r="V608" s="6" t="b">
        <f>ROUND(RawSales[[#This Row],[cogs]]+RawSales[[#This Row],[Tax 5%]],2)=ROUND(RawSales[[#This Row],[Sales]],2)</f>
        <v>1</v>
      </c>
    </row>
    <row r="609" spans="1:22" x14ac:dyDescent="0.35">
      <c r="A609" s="4" t="s">
        <v>1046</v>
      </c>
      <c r="B609" t="s">
        <v>28</v>
      </c>
      <c r="C609" t="s">
        <v>29</v>
      </c>
      <c r="D609" t="s">
        <v>22</v>
      </c>
      <c r="E609" t="s">
        <v>23</v>
      </c>
      <c r="F609" t="s">
        <v>62</v>
      </c>
      <c r="G609" s="6">
        <v>9996</v>
      </c>
      <c r="H609" s="7">
        <v>9</v>
      </c>
      <c r="I609" s="6">
        <v>4498.2</v>
      </c>
      <c r="J609" s="6">
        <v>94462.2</v>
      </c>
      <c r="K609" s="5">
        <v>43532.958333333336</v>
      </c>
      <c r="L609" s="4" t="s">
        <v>1047</v>
      </c>
      <c r="M609" t="s">
        <v>51</v>
      </c>
      <c r="N609" s="6">
        <v>89964</v>
      </c>
      <c r="O609">
        <v>4.7619047620000003</v>
      </c>
      <c r="P609" s="6">
        <v>4498.2</v>
      </c>
      <c r="Q609">
        <v>4.2</v>
      </c>
      <c r="R609" s="6">
        <f>RawSales[[#This Row],[Unit price]]*RawSales[[#This Row],[Quantity]]</f>
        <v>89964</v>
      </c>
      <c r="S609" s="6">
        <f>RawSales[[#This Row],[Subtotal]]*$B$1</f>
        <v>4498.2</v>
      </c>
      <c r="T609" s="6" t="b">
        <f>ROUND(RawSales[[#This Row],[Subtotal]],2)=ROUND(RawSales[[#This Row],[cogs]],2)</f>
        <v>1</v>
      </c>
      <c r="U609" s="6" t="b">
        <f>ROUND(RawSales[[#This Row],[cogs]]*0.05,2)=ROUND(RawSales[[#This Row],[Tax 5%]],2)</f>
        <v>1</v>
      </c>
      <c r="V609" s="6" t="b">
        <f>ROUND(RawSales[[#This Row],[cogs]]+RawSales[[#This Row],[Tax 5%]],2)=ROUND(RawSales[[#This Row],[Sales]],2)</f>
        <v>1</v>
      </c>
    </row>
    <row r="610" spans="1:22" x14ac:dyDescent="0.35">
      <c r="A610" s="4" t="s">
        <v>1048</v>
      </c>
      <c r="B610" t="s">
        <v>28</v>
      </c>
      <c r="C610" t="s">
        <v>29</v>
      </c>
      <c r="D610" t="s">
        <v>22</v>
      </c>
      <c r="E610" t="s">
        <v>23</v>
      </c>
      <c r="F610" t="s">
        <v>24</v>
      </c>
      <c r="G610" s="6">
        <v>5484</v>
      </c>
      <c r="H610" s="7">
        <v>3</v>
      </c>
      <c r="I610" s="6">
        <v>822.6</v>
      </c>
      <c r="J610" s="6">
        <v>17274.599999999999</v>
      </c>
      <c r="K610" s="5">
        <v>43515.958333333336</v>
      </c>
      <c r="L610" s="4" t="s">
        <v>1049</v>
      </c>
      <c r="M610" t="s">
        <v>51</v>
      </c>
      <c r="N610" s="6">
        <v>16452</v>
      </c>
      <c r="O610">
        <v>4.7619047620000003</v>
      </c>
      <c r="P610" s="6">
        <v>822.6</v>
      </c>
      <c r="Q610">
        <v>5.9</v>
      </c>
      <c r="R610" s="6">
        <f>RawSales[[#This Row],[Unit price]]*RawSales[[#This Row],[Quantity]]</f>
        <v>16452</v>
      </c>
      <c r="S610" s="6">
        <f>RawSales[[#This Row],[Subtotal]]*$B$1</f>
        <v>822.6</v>
      </c>
      <c r="T610" s="6" t="b">
        <f>ROUND(RawSales[[#This Row],[Subtotal]],2)=ROUND(RawSales[[#This Row],[cogs]],2)</f>
        <v>1</v>
      </c>
      <c r="U610" s="6" t="b">
        <f>ROUND(RawSales[[#This Row],[cogs]]*0.05,2)=ROUND(RawSales[[#This Row],[Tax 5%]],2)</f>
        <v>1</v>
      </c>
      <c r="V610" s="6" t="b">
        <f>ROUND(RawSales[[#This Row],[cogs]]+RawSales[[#This Row],[Tax 5%]],2)=ROUND(RawSales[[#This Row],[Sales]],2)</f>
        <v>1</v>
      </c>
    </row>
    <row r="611" spans="1:22" x14ac:dyDescent="0.35">
      <c r="A611" s="4" t="s">
        <v>1050</v>
      </c>
      <c r="B611" t="s">
        <v>38</v>
      </c>
      <c r="C611" t="s">
        <v>39</v>
      </c>
      <c r="D611" t="s">
        <v>22</v>
      </c>
      <c r="E611" t="s">
        <v>23</v>
      </c>
      <c r="F611" t="s">
        <v>24</v>
      </c>
      <c r="G611" s="6">
        <v>3677</v>
      </c>
      <c r="H611" s="7">
        <v>7</v>
      </c>
      <c r="I611" s="6">
        <v>1286.95</v>
      </c>
      <c r="J611" s="6">
        <v>27025.95</v>
      </c>
      <c r="K611" s="5">
        <v>43475.958333333336</v>
      </c>
      <c r="L611" s="4" t="s">
        <v>1051</v>
      </c>
      <c r="M611" t="s">
        <v>26</v>
      </c>
      <c r="N611" s="6">
        <v>25739</v>
      </c>
      <c r="O611">
        <v>4.7619047620000003</v>
      </c>
      <c r="P611" s="6">
        <v>1286.95</v>
      </c>
      <c r="Q611">
        <v>7.4</v>
      </c>
      <c r="R611" s="6">
        <f>RawSales[[#This Row],[Unit price]]*RawSales[[#This Row],[Quantity]]</f>
        <v>25739</v>
      </c>
      <c r="S611" s="6">
        <f>RawSales[[#This Row],[Subtotal]]*$B$1</f>
        <v>1286.95</v>
      </c>
      <c r="T611" s="6" t="b">
        <f>ROUND(RawSales[[#This Row],[Subtotal]],2)=ROUND(RawSales[[#This Row],[cogs]],2)</f>
        <v>1</v>
      </c>
      <c r="U611" s="6" t="b">
        <f>ROUND(RawSales[[#This Row],[cogs]]*0.05,2)=ROUND(RawSales[[#This Row],[Tax 5%]],2)</f>
        <v>1</v>
      </c>
      <c r="V611" s="6" t="b">
        <f>ROUND(RawSales[[#This Row],[cogs]]+RawSales[[#This Row],[Tax 5%]],2)=ROUND(RawSales[[#This Row],[Sales]],2)</f>
        <v>1</v>
      </c>
    </row>
    <row r="612" spans="1:22" x14ac:dyDescent="0.35">
      <c r="A612" s="4" t="s">
        <v>1052</v>
      </c>
      <c r="B612" t="s">
        <v>28</v>
      </c>
      <c r="C612" t="s">
        <v>29</v>
      </c>
      <c r="D612" t="s">
        <v>30</v>
      </c>
      <c r="E612" t="s">
        <v>31</v>
      </c>
      <c r="F612" t="s">
        <v>324</v>
      </c>
      <c r="G612" s="6">
        <v>3990</v>
      </c>
      <c r="H612" s="7">
        <v>10</v>
      </c>
      <c r="I612" s="6">
        <v>1995</v>
      </c>
      <c r="J612" s="6">
        <v>41895</v>
      </c>
      <c r="K612" s="5">
        <v>43515.958333333336</v>
      </c>
      <c r="L612" s="4" t="s">
        <v>1053</v>
      </c>
      <c r="M612" t="s">
        <v>51</v>
      </c>
      <c r="N612" s="6">
        <v>39900</v>
      </c>
      <c r="O612">
        <v>4.7619047620000003</v>
      </c>
      <c r="P612" s="6">
        <v>1995</v>
      </c>
      <c r="Q612">
        <v>5.9</v>
      </c>
      <c r="R612" s="6">
        <f>RawSales[[#This Row],[Unit price]]*RawSales[[#This Row],[Quantity]]</f>
        <v>39900</v>
      </c>
      <c r="S612" s="6">
        <f>RawSales[[#This Row],[Subtotal]]*$B$1</f>
        <v>1995</v>
      </c>
      <c r="T612" s="6" t="b">
        <f>ROUND(RawSales[[#This Row],[Subtotal]],2)=ROUND(RawSales[[#This Row],[cogs]],2)</f>
        <v>1</v>
      </c>
      <c r="U612" s="6" t="b">
        <f>ROUND(RawSales[[#This Row],[cogs]]*0.05,2)=ROUND(RawSales[[#This Row],[Tax 5%]],2)</f>
        <v>1</v>
      </c>
      <c r="V612" s="6" t="b">
        <f>ROUND(RawSales[[#This Row],[cogs]]+RawSales[[#This Row],[Tax 5%]],2)=ROUND(RawSales[[#This Row],[Sales]],2)</f>
        <v>1</v>
      </c>
    </row>
    <row r="613" spans="1:22" x14ac:dyDescent="0.35">
      <c r="A613" s="4" t="s">
        <v>1054</v>
      </c>
      <c r="B613" t="s">
        <v>38</v>
      </c>
      <c r="C613" t="s">
        <v>39</v>
      </c>
      <c r="D613" t="s">
        <v>22</v>
      </c>
      <c r="E613" t="s">
        <v>23</v>
      </c>
      <c r="F613" t="s">
        <v>49</v>
      </c>
      <c r="G613" s="6">
        <v>7855</v>
      </c>
      <c r="H613" s="7">
        <v>9</v>
      </c>
      <c r="I613" s="6">
        <v>3534.75</v>
      </c>
      <c r="J613" s="6">
        <v>74229.75</v>
      </c>
      <c r="K613" s="5">
        <v>43524.958333333336</v>
      </c>
      <c r="L613" s="4" t="s">
        <v>782</v>
      </c>
      <c r="M613" t="s">
        <v>26</v>
      </c>
      <c r="N613" s="6">
        <v>70695</v>
      </c>
      <c r="O613">
        <v>4.7619047620000003</v>
      </c>
      <c r="P613" s="6">
        <v>3534.75</v>
      </c>
      <c r="Q613">
        <v>7.2</v>
      </c>
      <c r="R613" s="6">
        <f>RawSales[[#This Row],[Unit price]]*RawSales[[#This Row],[Quantity]]</f>
        <v>70695</v>
      </c>
      <c r="S613" s="6">
        <f>RawSales[[#This Row],[Subtotal]]*$B$1</f>
        <v>3534.75</v>
      </c>
      <c r="T613" s="6" t="b">
        <f>ROUND(RawSales[[#This Row],[Subtotal]],2)=ROUND(RawSales[[#This Row],[cogs]],2)</f>
        <v>1</v>
      </c>
      <c r="U613" s="6" t="b">
        <f>ROUND(RawSales[[#This Row],[cogs]]*0.05,2)=ROUND(RawSales[[#This Row],[Tax 5%]],2)</f>
        <v>1</v>
      </c>
      <c r="V613" s="6" t="b">
        <f>ROUND(RawSales[[#This Row],[cogs]]+RawSales[[#This Row],[Tax 5%]],2)=ROUND(RawSales[[#This Row],[Sales]],2)</f>
        <v>1</v>
      </c>
    </row>
    <row r="614" spans="1:22" x14ac:dyDescent="0.35">
      <c r="A614" s="4" t="s">
        <v>1055</v>
      </c>
      <c r="B614" t="s">
        <v>20</v>
      </c>
      <c r="C614" t="s">
        <v>21</v>
      </c>
      <c r="D614" t="s">
        <v>22</v>
      </c>
      <c r="E614" t="s">
        <v>31</v>
      </c>
      <c r="F614" t="s">
        <v>43</v>
      </c>
      <c r="G614" s="6">
        <v>9130</v>
      </c>
      <c r="H614" s="7">
        <v>1</v>
      </c>
      <c r="I614" s="6">
        <v>456.5</v>
      </c>
      <c r="J614" s="6">
        <v>9586.5</v>
      </c>
      <c r="K614" s="5">
        <v>43509.958333333336</v>
      </c>
      <c r="L614" s="4" t="s">
        <v>381</v>
      </c>
      <c r="M614" t="s">
        <v>34</v>
      </c>
      <c r="N614" s="6">
        <v>9130</v>
      </c>
      <c r="O614">
        <v>4.7619047620000003</v>
      </c>
      <c r="P614" s="6">
        <v>456.5</v>
      </c>
      <c r="Q614">
        <v>9.1999999999999993</v>
      </c>
      <c r="R614" s="6">
        <f>RawSales[[#This Row],[Unit price]]*RawSales[[#This Row],[Quantity]]</f>
        <v>9130</v>
      </c>
      <c r="S614" s="6">
        <f>RawSales[[#This Row],[Subtotal]]*$B$1</f>
        <v>456.5</v>
      </c>
      <c r="T614" s="6" t="b">
        <f>ROUND(RawSales[[#This Row],[Subtotal]],2)=ROUND(RawSales[[#This Row],[cogs]],2)</f>
        <v>1</v>
      </c>
      <c r="U614" s="6" t="b">
        <f>ROUND(RawSales[[#This Row],[cogs]]*0.05,2)=ROUND(RawSales[[#This Row],[Tax 5%]],2)</f>
        <v>1</v>
      </c>
      <c r="V614" s="6" t="b">
        <f>ROUND(RawSales[[#This Row],[cogs]]+RawSales[[#This Row],[Tax 5%]],2)=ROUND(RawSales[[#This Row],[Sales]],2)</f>
        <v>1</v>
      </c>
    </row>
    <row r="615" spans="1:22" x14ac:dyDescent="0.35">
      <c r="A615" s="4" t="s">
        <v>1056</v>
      </c>
      <c r="B615" t="s">
        <v>20</v>
      </c>
      <c r="C615" t="s">
        <v>21</v>
      </c>
      <c r="D615" t="s">
        <v>30</v>
      </c>
      <c r="E615" t="s">
        <v>31</v>
      </c>
      <c r="F615" t="s">
        <v>40</v>
      </c>
      <c r="G615" s="6">
        <v>5169</v>
      </c>
      <c r="H615" s="7">
        <v>7</v>
      </c>
      <c r="I615" s="6">
        <v>1809.15</v>
      </c>
      <c r="J615" s="6">
        <v>37992.15</v>
      </c>
      <c r="K615" s="5">
        <v>43490.958333333336</v>
      </c>
      <c r="L615" s="4" t="s">
        <v>674</v>
      </c>
      <c r="M615" t="s">
        <v>26</v>
      </c>
      <c r="N615" s="6">
        <v>36183</v>
      </c>
      <c r="O615">
        <v>4.7619047620000003</v>
      </c>
      <c r="P615" s="6">
        <v>1809.15</v>
      </c>
      <c r="Q615">
        <v>5.5</v>
      </c>
      <c r="R615" s="6">
        <f>RawSales[[#This Row],[Unit price]]*RawSales[[#This Row],[Quantity]]</f>
        <v>36183</v>
      </c>
      <c r="S615" s="6">
        <f>RawSales[[#This Row],[Subtotal]]*$B$1</f>
        <v>1809.15</v>
      </c>
      <c r="T615" s="6" t="b">
        <f>ROUND(RawSales[[#This Row],[Subtotal]],2)=ROUND(RawSales[[#This Row],[cogs]],2)</f>
        <v>1</v>
      </c>
      <c r="U615" s="6" t="b">
        <f>ROUND(RawSales[[#This Row],[cogs]]*0.05,2)=ROUND(RawSales[[#This Row],[Tax 5%]],2)</f>
        <v>1</v>
      </c>
      <c r="V615" s="6" t="b">
        <f>ROUND(RawSales[[#This Row],[cogs]]+RawSales[[#This Row],[Tax 5%]],2)=ROUND(RawSales[[#This Row],[Sales]],2)</f>
        <v>1</v>
      </c>
    </row>
    <row r="616" spans="1:22" x14ac:dyDescent="0.35">
      <c r="A616" s="4" t="s">
        <v>1057</v>
      </c>
      <c r="B616" t="s">
        <v>38</v>
      </c>
      <c r="C616" t="s">
        <v>39</v>
      </c>
      <c r="D616" t="s">
        <v>30</v>
      </c>
      <c r="E616" t="s">
        <v>31</v>
      </c>
      <c r="F616" t="s">
        <v>49</v>
      </c>
      <c r="G616" s="6">
        <v>4208</v>
      </c>
      <c r="H616" s="7">
        <v>6</v>
      </c>
      <c r="I616" s="6">
        <v>1262.4000000000001</v>
      </c>
      <c r="J616" s="6">
        <v>26510.400000000001</v>
      </c>
      <c r="K616" s="5">
        <v>43493.958333333336</v>
      </c>
      <c r="L616" s="4" t="s">
        <v>1019</v>
      </c>
      <c r="M616" t="s">
        <v>26</v>
      </c>
      <c r="N616" s="6">
        <v>25248</v>
      </c>
      <c r="O616">
        <v>4.7619047620000003</v>
      </c>
      <c r="P616" s="6">
        <v>1262.4000000000001</v>
      </c>
      <c r="Q616">
        <v>8.9</v>
      </c>
      <c r="R616" s="6">
        <f>RawSales[[#This Row],[Unit price]]*RawSales[[#This Row],[Quantity]]</f>
        <v>25248</v>
      </c>
      <c r="S616" s="6">
        <f>RawSales[[#This Row],[Subtotal]]*$B$1</f>
        <v>1262.4000000000001</v>
      </c>
      <c r="T616" s="6" t="b">
        <f>ROUND(RawSales[[#This Row],[Subtotal]],2)=ROUND(RawSales[[#This Row],[cogs]],2)</f>
        <v>1</v>
      </c>
      <c r="U616" s="6" t="b">
        <f>ROUND(RawSales[[#This Row],[cogs]]*0.05,2)=ROUND(RawSales[[#This Row],[Tax 5%]],2)</f>
        <v>1</v>
      </c>
      <c r="V616" s="6" t="b">
        <f>ROUND(RawSales[[#This Row],[cogs]]+RawSales[[#This Row],[Tax 5%]],2)=ROUND(RawSales[[#This Row],[Sales]],2)</f>
        <v>1</v>
      </c>
    </row>
    <row r="617" spans="1:22" x14ac:dyDescent="0.35">
      <c r="A617" s="4" t="s">
        <v>1058</v>
      </c>
      <c r="B617" t="s">
        <v>28</v>
      </c>
      <c r="C617" t="s">
        <v>29</v>
      </c>
      <c r="D617" t="s">
        <v>22</v>
      </c>
      <c r="E617" t="s">
        <v>31</v>
      </c>
      <c r="F617" t="s">
        <v>62</v>
      </c>
      <c r="G617" s="6">
        <v>2667</v>
      </c>
      <c r="H617" s="7">
        <v>10</v>
      </c>
      <c r="I617" s="6">
        <v>1333.5</v>
      </c>
      <c r="J617" s="6">
        <v>28003.5</v>
      </c>
      <c r="K617" s="4" t="s">
        <v>439</v>
      </c>
      <c r="L617" s="4" t="s">
        <v>210</v>
      </c>
      <c r="M617" t="s">
        <v>26</v>
      </c>
      <c r="N617" s="6">
        <v>26670</v>
      </c>
      <c r="O617">
        <v>4.7619047620000003</v>
      </c>
      <c r="P617" s="6">
        <v>1333.5</v>
      </c>
      <c r="Q617">
        <v>8.6</v>
      </c>
      <c r="R617" s="6">
        <f>RawSales[[#This Row],[Unit price]]*RawSales[[#This Row],[Quantity]]</f>
        <v>26670</v>
      </c>
      <c r="S617" s="6">
        <f>RawSales[[#This Row],[Subtotal]]*$B$1</f>
        <v>1333.5</v>
      </c>
      <c r="T617" s="6" t="b">
        <f>ROUND(RawSales[[#This Row],[Subtotal]],2)=ROUND(RawSales[[#This Row],[cogs]],2)</f>
        <v>1</v>
      </c>
      <c r="U617" s="6" t="b">
        <f>ROUND(RawSales[[#This Row],[cogs]]*0.05,2)=ROUND(RawSales[[#This Row],[Tax 5%]],2)</f>
        <v>1</v>
      </c>
      <c r="V617" s="6" t="b">
        <f>ROUND(RawSales[[#This Row],[cogs]]+RawSales[[#This Row],[Tax 5%]],2)=ROUND(RawSales[[#This Row],[Sales]],2)</f>
        <v>1</v>
      </c>
    </row>
    <row r="618" spans="1:22" x14ac:dyDescent="0.35">
      <c r="A618" s="4" t="s">
        <v>1059</v>
      </c>
      <c r="B618" t="s">
        <v>28</v>
      </c>
      <c r="C618" t="s">
        <v>29</v>
      </c>
      <c r="D618" t="s">
        <v>30</v>
      </c>
      <c r="E618" t="s">
        <v>31</v>
      </c>
      <c r="F618" t="s">
        <v>40</v>
      </c>
      <c r="G618" s="6">
        <v>2158</v>
      </c>
      <c r="H618" s="7">
        <v>9</v>
      </c>
      <c r="I618" s="6">
        <v>971.1</v>
      </c>
      <c r="J618" s="6">
        <v>20393.099999999999</v>
      </c>
      <c r="K618" s="5">
        <v>43537.958333333336</v>
      </c>
      <c r="L618" s="4" t="s">
        <v>1060</v>
      </c>
      <c r="M618" t="s">
        <v>26</v>
      </c>
      <c r="N618" s="6">
        <v>19422</v>
      </c>
      <c r="O618">
        <v>4.7619047620000003</v>
      </c>
      <c r="P618" s="6">
        <v>971.1</v>
      </c>
      <c r="Q618">
        <v>7.3</v>
      </c>
      <c r="R618" s="6">
        <f>RawSales[[#This Row],[Unit price]]*RawSales[[#This Row],[Quantity]]</f>
        <v>19422</v>
      </c>
      <c r="S618" s="6">
        <f>RawSales[[#This Row],[Subtotal]]*$B$1</f>
        <v>971.1</v>
      </c>
      <c r="T618" s="6" t="b">
        <f>ROUND(RawSales[[#This Row],[Subtotal]],2)=ROUND(RawSales[[#This Row],[cogs]],2)</f>
        <v>1</v>
      </c>
      <c r="U618" s="6" t="b">
        <f>ROUND(RawSales[[#This Row],[cogs]]*0.05,2)=ROUND(RawSales[[#This Row],[Tax 5%]],2)</f>
        <v>1</v>
      </c>
      <c r="V618" s="6" t="b">
        <f>ROUND(RawSales[[#This Row],[cogs]]+RawSales[[#This Row],[Tax 5%]],2)=ROUND(RawSales[[#This Row],[Sales]],2)</f>
        <v>1</v>
      </c>
    </row>
    <row r="619" spans="1:22" x14ac:dyDescent="0.35">
      <c r="A619" s="4" t="s">
        <v>1061</v>
      </c>
      <c r="B619" t="s">
        <v>28</v>
      </c>
      <c r="C619" t="s">
        <v>29</v>
      </c>
      <c r="D619" t="s">
        <v>30</v>
      </c>
      <c r="E619" t="s">
        <v>31</v>
      </c>
      <c r="F619" t="s">
        <v>100</v>
      </c>
      <c r="G619" s="6">
        <v>9916</v>
      </c>
      <c r="H619" s="7">
        <v>8</v>
      </c>
      <c r="I619" s="6">
        <v>3966.4</v>
      </c>
      <c r="J619" s="6">
        <v>83294.399999999994</v>
      </c>
      <c r="K619" s="5">
        <v>43492.958333333336</v>
      </c>
      <c r="L619" s="4" t="s">
        <v>153</v>
      </c>
      <c r="M619" t="s">
        <v>51</v>
      </c>
      <c r="N619" s="6">
        <v>79328</v>
      </c>
      <c r="O619">
        <v>4.7619047620000003</v>
      </c>
      <c r="P619" s="6">
        <v>3966.4</v>
      </c>
      <c r="Q619">
        <v>4.2</v>
      </c>
      <c r="R619" s="6">
        <f>RawSales[[#This Row],[Unit price]]*RawSales[[#This Row],[Quantity]]</f>
        <v>79328</v>
      </c>
      <c r="S619" s="6">
        <f>RawSales[[#This Row],[Subtotal]]*$B$1</f>
        <v>3966.4</v>
      </c>
      <c r="T619" s="6" t="b">
        <f>ROUND(RawSales[[#This Row],[Subtotal]],2)=ROUND(RawSales[[#This Row],[cogs]],2)</f>
        <v>1</v>
      </c>
      <c r="U619" s="6" t="b">
        <f>ROUND(RawSales[[#This Row],[cogs]]*0.05,2)=ROUND(RawSales[[#This Row],[Tax 5%]],2)</f>
        <v>1</v>
      </c>
      <c r="V619" s="6" t="b">
        <f>ROUND(RawSales[[#This Row],[cogs]]+RawSales[[#This Row],[Tax 5%]],2)=ROUND(RawSales[[#This Row],[Sales]],2)</f>
        <v>1</v>
      </c>
    </row>
    <row r="620" spans="1:22" x14ac:dyDescent="0.35">
      <c r="A620" s="4" t="s">
        <v>1062</v>
      </c>
      <c r="B620" t="s">
        <v>38</v>
      </c>
      <c r="C620" t="s">
        <v>39</v>
      </c>
      <c r="D620" t="s">
        <v>30</v>
      </c>
      <c r="E620" t="s">
        <v>31</v>
      </c>
      <c r="F620" t="s">
        <v>49</v>
      </c>
      <c r="G620" s="6">
        <v>5650</v>
      </c>
      <c r="H620" s="7">
        <v>1</v>
      </c>
      <c r="I620" s="6">
        <v>282.5</v>
      </c>
      <c r="J620" s="6">
        <v>5932.5</v>
      </c>
      <c r="K620" s="5">
        <v>43536.958333333336</v>
      </c>
      <c r="L620" s="4" t="s">
        <v>1063</v>
      </c>
      <c r="M620" t="s">
        <v>34</v>
      </c>
      <c r="N620" s="6">
        <v>5650</v>
      </c>
      <c r="O620">
        <v>4.7619047620000003</v>
      </c>
      <c r="P620" s="6">
        <v>282.5</v>
      </c>
      <c r="Q620">
        <v>9.6</v>
      </c>
      <c r="R620" s="6">
        <f>RawSales[[#This Row],[Unit price]]*RawSales[[#This Row],[Quantity]]</f>
        <v>5650</v>
      </c>
      <c r="S620" s="6">
        <f>RawSales[[#This Row],[Subtotal]]*$B$1</f>
        <v>282.5</v>
      </c>
      <c r="T620" s="6" t="b">
        <f>ROUND(RawSales[[#This Row],[Subtotal]],2)=ROUND(RawSales[[#This Row],[cogs]],2)</f>
        <v>1</v>
      </c>
      <c r="U620" s="6" t="b">
        <f>ROUND(RawSales[[#This Row],[cogs]]*0.05,2)=ROUND(RawSales[[#This Row],[Tax 5%]],2)</f>
        <v>1</v>
      </c>
      <c r="V620" s="6" t="b">
        <f>ROUND(RawSales[[#This Row],[cogs]]+RawSales[[#This Row],[Tax 5%]],2)=ROUND(RawSales[[#This Row],[Sales]],2)</f>
        <v>1</v>
      </c>
    </row>
    <row r="621" spans="1:22" x14ac:dyDescent="0.35">
      <c r="A621" s="4" t="s">
        <v>1064</v>
      </c>
      <c r="B621" t="s">
        <v>20</v>
      </c>
      <c r="C621" t="s">
        <v>21</v>
      </c>
      <c r="D621" t="s">
        <v>30</v>
      </c>
      <c r="E621" t="s">
        <v>31</v>
      </c>
      <c r="F621" t="s">
        <v>239</v>
      </c>
      <c r="G621" s="6">
        <v>8969</v>
      </c>
      <c r="H621" s="7">
        <v>1</v>
      </c>
      <c r="I621" s="6">
        <v>448.45</v>
      </c>
      <c r="J621" s="6">
        <v>9417.4500000000007</v>
      </c>
      <c r="K621" s="5">
        <v>43475.958333333336</v>
      </c>
      <c r="L621" s="4" t="s">
        <v>1065</v>
      </c>
      <c r="M621" t="s">
        <v>34</v>
      </c>
      <c r="N621" s="6">
        <v>8969</v>
      </c>
      <c r="O621">
        <v>4.7619047620000003</v>
      </c>
      <c r="P621" s="6">
        <v>448.45</v>
      </c>
      <c r="Q621">
        <v>4.9000000000000004</v>
      </c>
      <c r="R621" s="6">
        <f>RawSales[[#This Row],[Unit price]]*RawSales[[#This Row],[Quantity]]</f>
        <v>8969</v>
      </c>
      <c r="S621" s="6">
        <f>RawSales[[#This Row],[Subtotal]]*$B$1</f>
        <v>448.45000000000005</v>
      </c>
      <c r="T621" s="6" t="b">
        <f>ROUND(RawSales[[#This Row],[Subtotal]],2)=ROUND(RawSales[[#This Row],[cogs]],2)</f>
        <v>1</v>
      </c>
      <c r="U621" s="6" t="b">
        <f>ROUND(RawSales[[#This Row],[cogs]]*0.05,2)=ROUND(RawSales[[#This Row],[Tax 5%]],2)</f>
        <v>1</v>
      </c>
      <c r="V621" s="6" t="b">
        <f>ROUND(RawSales[[#This Row],[cogs]]+RawSales[[#This Row],[Tax 5%]],2)=ROUND(RawSales[[#This Row],[Sales]],2)</f>
        <v>1</v>
      </c>
    </row>
    <row r="622" spans="1:22" x14ac:dyDescent="0.35">
      <c r="A622" s="4" t="s">
        <v>1066</v>
      </c>
      <c r="B622" t="s">
        <v>28</v>
      </c>
      <c r="C622" t="s">
        <v>29</v>
      </c>
      <c r="D622" t="s">
        <v>30</v>
      </c>
      <c r="E622" t="s">
        <v>23</v>
      </c>
      <c r="F622" t="s">
        <v>324</v>
      </c>
      <c r="G622" s="6">
        <v>2643</v>
      </c>
      <c r="H622" s="7">
        <v>8</v>
      </c>
      <c r="I622" s="6">
        <v>1057.2</v>
      </c>
      <c r="J622" s="6">
        <v>22201.200000000001</v>
      </c>
      <c r="K622" s="5">
        <v>43519.958333333336</v>
      </c>
      <c r="L622" s="4" t="s">
        <v>90</v>
      </c>
      <c r="M622" t="s">
        <v>34</v>
      </c>
      <c r="N622" s="6">
        <v>21144</v>
      </c>
      <c r="O622">
        <v>4.7619047620000003</v>
      </c>
      <c r="P622" s="6">
        <v>1057.2</v>
      </c>
      <c r="Q622">
        <v>8.9</v>
      </c>
      <c r="R622" s="6">
        <f>RawSales[[#This Row],[Unit price]]*RawSales[[#This Row],[Quantity]]</f>
        <v>21144</v>
      </c>
      <c r="S622" s="6">
        <f>RawSales[[#This Row],[Subtotal]]*$B$1</f>
        <v>1057.2</v>
      </c>
      <c r="T622" s="6" t="b">
        <f>ROUND(RawSales[[#This Row],[Subtotal]],2)=ROUND(RawSales[[#This Row],[cogs]],2)</f>
        <v>1</v>
      </c>
      <c r="U622" s="6" t="b">
        <f>ROUND(RawSales[[#This Row],[cogs]]*0.05,2)=ROUND(RawSales[[#This Row],[Tax 5%]],2)</f>
        <v>1</v>
      </c>
      <c r="V622" s="6" t="b">
        <f>ROUND(RawSales[[#This Row],[cogs]]+RawSales[[#This Row],[Tax 5%]],2)=ROUND(RawSales[[#This Row],[Sales]],2)</f>
        <v>1</v>
      </c>
    </row>
    <row r="623" spans="1:22" x14ac:dyDescent="0.35">
      <c r="A623" s="4" t="s">
        <v>916</v>
      </c>
      <c r="B623" t="s">
        <v>38</v>
      </c>
      <c r="C623" t="s">
        <v>39</v>
      </c>
      <c r="D623" t="s">
        <v>22</v>
      </c>
      <c r="E623" t="s">
        <v>23</v>
      </c>
      <c r="F623" t="s">
        <v>49</v>
      </c>
      <c r="G623" s="6">
        <v>4904</v>
      </c>
      <c r="H623" s="7">
        <v>9</v>
      </c>
      <c r="I623" s="6">
        <v>2206.8000000000002</v>
      </c>
      <c r="J623" s="6">
        <v>46342.8</v>
      </c>
      <c r="K623" s="5">
        <v>43473.958333333336</v>
      </c>
      <c r="L623" s="4" t="s">
        <v>917</v>
      </c>
      <c r="M623" t="s">
        <v>51</v>
      </c>
      <c r="N623" s="6">
        <v>44136</v>
      </c>
      <c r="O623">
        <v>4.7619047620000003</v>
      </c>
      <c r="P623" s="6">
        <v>2206.8000000000002</v>
      </c>
      <c r="R623" s="6">
        <f>RawSales[[#This Row],[Unit price]]*RawSales[[#This Row],[Quantity]]</f>
        <v>44136</v>
      </c>
      <c r="S623" s="6">
        <f>RawSales[[#This Row],[Subtotal]]*$B$1</f>
        <v>2206.8000000000002</v>
      </c>
      <c r="T623" s="6" t="b">
        <f>ROUND(RawSales[[#This Row],[Subtotal]],2)=ROUND(RawSales[[#This Row],[cogs]],2)</f>
        <v>1</v>
      </c>
      <c r="U623" s="6" t="b">
        <f>ROUND(RawSales[[#This Row],[cogs]]*0.05,2)=ROUND(RawSales[[#This Row],[Tax 5%]],2)</f>
        <v>1</v>
      </c>
      <c r="V623" s="6" t="b">
        <f>ROUND(RawSales[[#This Row],[cogs]]+RawSales[[#This Row],[Tax 5%]],2)=ROUND(RawSales[[#This Row],[Sales]],2)</f>
        <v>1</v>
      </c>
    </row>
    <row r="624" spans="1:22" x14ac:dyDescent="0.35">
      <c r="A624" s="4" t="s">
        <v>1067</v>
      </c>
      <c r="B624" t="s">
        <v>38</v>
      </c>
      <c r="C624" t="s">
        <v>39</v>
      </c>
      <c r="D624" t="s">
        <v>22</v>
      </c>
      <c r="E624" t="s">
        <v>23</v>
      </c>
      <c r="F624" t="s">
        <v>49</v>
      </c>
      <c r="G624" s="6">
        <v>1254</v>
      </c>
      <c r="H624" s="7">
        <v>1</v>
      </c>
      <c r="I624" s="6">
        <v>62.7</v>
      </c>
      <c r="J624" s="6">
        <v>1316.7</v>
      </c>
      <c r="K624" s="5">
        <v>43516.958333333336</v>
      </c>
      <c r="L624" s="4" t="s">
        <v>412</v>
      </c>
      <c r="M624" t="s">
        <v>26</v>
      </c>
      <c r="N624" s="6">
        <v>1254</v>
      </c>
      <c r="O624">
        <v>4.7619047620000003</v>
      </c>
      <c r="P624" s="6">
        <v>62.7</v>
      </c>
      <c r="Q624">
        <v>8.1999999999999993</v>
      </c>
      <c r="R624" s="6">
        <f>RawSales[[#This Row],[Unit price]]*RawSales[[#This Row],[Quantity]]</f>
        <v>1254</v>
      </c>
      <c r="S624" s="6">
        <f>RawSales[[#This Row],[Subtotal]]*$B$1</f>
        <v>62.7</v>
      </c>
      <c r="T624" s="6" t="b">
        <f>ROUND(RawSales[[#This Row],[Subtotal]],2)=ROUND(RawSales[[#This Row],[cogs]],2)</f>
        <v>1</v>
      </c>
      <c r="U624" s="6" t="b">
        <f>ROUND(RawSales[[#This Row],[cogs]]*0.05,2)=ROUND(RawSales[[#This Row],[Tax 5%]],2)</f>
        <v>1</v>
      </c>
      <c r="V624" s="6" t="b">
        <f>ROUND(RawSales[[#This Row],[cogs]]+RawSales[[#This Row],[Tax 5%]],2)=ROUND(RawSales[[#This Row],[Sales]],2)</f>
        <v>1</v>
      </c>
    </row>
    <row r="625" spans="1:22" x14ac:dyDescent="0.35">
      <c r="A625" s="4" t="s">
        <v>1068</v>
      </c>
      <c r="B625" t="s">
        <v>28</v>
      </c>
      <c r="C625" t="s">
        <v>29</v>
      </c>
      <c r="D625" t="s">
        <v>22</v>
      </c>
      <c r="E625" t="s">
        <v>23</v>
      </c>
      <c r="F625" t="s">
        <v>40</v>
      </c>
      <c r="G625" s="6">
        <v>3948</v>
      </c>
      <c r="H625" s="7">
        <v>1</v>
      </c>
      <c r="I625" s="6">
        <v>197.4</v>
      </c>
      <c r="J625" s="6">
        <v>4145.3999999999996</v>
      </c>
      <c r="K625" s="5">
        <v>43507.958333333336</v>
      </c>
      <c r="L625" s="4" t="s">
        <v>178</v>
      </c>
      <c r="M625" t="s">
        <v>26</v>
      </c>
      <c r="N625" s="6">
        <v>3948</v>
      </c>
      <c r="O625">
        <v>4.7619047620000003</v>
      </c>
      <c r="P625" s="6">
        <v>197.4</v>
      </c>
      <c r="Q625">
        <v>6.5</v>
      </c>
      <c r="R625" s="6">
        <f>RawSales[[#This Row],[Unit price]]*RawSales[[#This Row],[Quantity]]</f>
        <v>3948</v>
      </c>
      <c r="S625" s="6">
        <f>RawSales[[#This Row],[Subtotal]]*$B$1</f>
        <v>197.4</v>
      </c>
      <c r="T625" s="6" t="b">
        <f>ROUND(RawSales[[#This Row],[Subtotal]],2)=ROUND(RawSales[[#This Row],[cogs]],2)</f>
        <v>1</v>
      </c>
      <c r="U625" s="6" t="b">
        <f>ROUND(RawSales[[#This Row],[cogs]]*0.05,2)=ROUND(RawSales[[#This Row],[Tax 5%]],2)</f>
        <v>1</v>
      </c>
      <c r="V625" s="6" t="b">
        <f>ROUND(RawSales[[#This Row],[cogs]]+RawSales[[#This Row],[Tax 5%]],2)=ROUND(RawSales[[#This Row],[Sales]],2)</f>
        <v>1</v>
      </c>
    </row>
    <row r="626" spans="1:22" x14ac:dyDescent="0.35">
      <c r="A626" s="4" t="s">
        <v>1069</v>
      </c>
      <c r="B626" t="s">
        <v>20</v>
      </c>
      <c r="C626" t="s">
        <v>21</v>
      </c>
      <c r="D626" t="s">
        <v>30</v>
      </c>
      <c r="E626" t="s">
        <v>31</v>
      </c>
      <c r="F626" t="s">
        <v>32</v>
      </c>
      <c r="G626" s="6">
        <v>3473</v>
      </c>
      <c r="H626" s="7">
        <v>2</v>
      </c>
      <c r="I626" s="6">
        <v>347.3</v>
      </c>
      <c r="J626" s="6">
        <v>7293.3</v>
      </c>
      <c r="K626" s="5">
        <v>43524.958333333336</v>
      </c>
      <c r="L626" s="4" t="s">
        <v>694</v>
      </c>
      <c r="M626" t="s">
        <v>34</v>
      </c>
      <c r="N626" s="6">
        <v>6946</v>
      </c>
      <c r="O626">
        <v>4.7619047620000003</v>
      </c>
      <c r="P626" s="6">
        <v>347.3</v>
      </c>
      <c r="Q626">
        <v>9.6999999999999993</v>
      </c>
      <c r="R626" s="6">
        <f>RawSales[[#This Row],[Unit price]]*RawSales[[#This Row],[Quantity]]</f>
        <v>6946</v>
      </c>
      <c r="S626" s="6">
        <f>RawSales[[#This Row],[Subtotal]]*$B$1</f>
        <v>347.3</v>
      </c>
      <c r="T626" s="6" t="b">
        <f>ROUND(RawSales[[#This Row],[Subtotal]],2)=ROUND(RawSales[[#This Row],[cogs]],2)</f>
        <v>1</v>
      </c>
      <c r="U626" s="6" t="b">
        <f>ROUND(RawSales[[#This Row],[cogs]]*0.05,2)=ROUND(RawSales[[#This Row],[Tax 5%]],2)</f>
        <v>1</v>
      </c>
      <c r="V626" s="6" t="b">
        <f>ROUND(RawSales[[#This Row],[cogs]]+RawSales[[#This Row],[Tax 5%]],2)=ROUND(RawSales[[#This Row],[Sales]],2)</f>
        <v>1</v>
      </c>
    </row>
    <row r="627" spans="1:22" x14ac:dyDescent="0.35">
      <c r="A627" s="4" t="s">
        <v>1070</v>
      </c>
      <c r="B627" t="s">
        <v>38</v>
      </c>
      <c r="C627" t="s">
        <v>39</v>
      </c>
      <c r="D627" t="s">
        <v>22</v>
      </c>
      <c r="E627" t="s">
        <v>31</v>
      </c>
      <c r="F627" t="s">
        <v>43</v>
      </c>
      <c r="G627" s="6">
        <v>8560</v>
      </c>
      <c r="H627" s="7">
        <v>7</v>
      </c>
      <c r="I627" s="6">
        <v>2996</v>
      </c>
      <c r="J627" s="6">
        <v>62916</v>
      </c>
      <c r="K627" s="5">
        <v>43525.958333333336</v>
      </c>
      <c r="L627" s="4" t="s">
        <v>1071</v>
      </c>
      <c r="M627" t="s">
        <v>26</v>
      </c>
      <c r="N627" s="6">
        <v>59920</v>
      </c>
      <c r="O627">
        <v>4.7619047620000003</v>
      </c>
      <c r="P627" s="6">
        <v>2996</v>
      </c>
      <c r="Q627">
        <v>5.3</v>
      </c>
      <c r="R627" s="6">
        <f>RawSales[[#This Row],[Unit price]]*RawSales[[#This Row],[Quantity]]</f>
        <v>59920</v>
      </c>
      <c r="S627" s="6">
        <f>RawSales[[#This Row],[Subtotal]]*$B$1</f>
        <v>2996</v>
      </c>
      <c r="T627" s="6" t="b">
        <f>ROUND(RawSales[[#This Row],[Subtotal]],2)=ROUND(RawSales[[#This Row],[cogs]],2)</f>
        <v>1</v>
      </c>
      <c r="U627" s="6" t="b">
        <f>ROUND(RawSales[[#This Row],[cogs]]*0.05,2)=ROUND(RawSales[[#This Row],[Tax 5%]],2)</f>
        <v>1</v>
      </c>
      <c r="V627" s="6" t="b">
        <f>ROUND(RawSales[[#This Row],[cogs]]+RawSales[[#This Row],[Tax 5%]],2)=ROUND(RawSales[[#This Row],[Sales]],2)</f>
        <v>1</v>
      </c>
    </row>
    <row r="628" spans="1:22" x14ac:dyDescent="0.35">
      <c r="A628" s="4" t="s">
        <v>1072</v>
      </c>
      <c r="B628" t="s">
        <v>38</v>
      </c>
      <c r="C628" t="s">
        <v>39</v>
      </c>
      <c r="D628" t="s">
        <v>30</v>
      </c>
      <c r="E628" t="s">
        <v>31</v>
      </c>
      <c r="F628" t="s">
        <v>24</v>
      </c>
      <c r="G628" s="6">
        <v>4052</v>
      </c>
      <c r="H628" s="7">
        <v>5</v>
      </c>
      <c r="I628" s="6">
        <v>1013</v>
      </c>
      <c r="J628" s="6">
        <v>21273</v>
      </c>
      <c r="K628" s="5">
        <v>43498.958333333336</v>
      </c>
      <c r="L628" s="4" t="s">
        <v>853</v>
      </c>
      <c r="M628" t="s">
        <v>26</v>
      </c>
      <c r="N628" s="6">
        <v>20260</v>
      </c>
      <c r="O628">
        <v>4.7619047620000003</v>
      </c>
      <c r="P628" s="6">
        <v>1013</v>
      </c>
      <c r="Q628">
        <v>4.5</v>
      </c>
      <c r="R628" s="6">
        <f>RawSales[[#This Row],[Unit price]]*RawSales[[#This Row],[Quantity]]</f>
        <v>20260</v>
      </c>
      <c r="S628" s="6">
        <f>RawSales[[#This Row],[Subtotal]]*$B$1</f>
        <v>1013</v>
      </c>
      <c r="T628" s="6" t="b">
        <f>ROUND(RawSales[[#This Row],[Subtotal]],2)=ROUND(RawSales[[#This Row],[cogs]],2)</f>
        <v>1</v>
      </c>
      <c r="U628" s="6" t="b">
        <f>ROUND(RawSales[[#This Row],[cogs]]*0.05,2)=ROUND(RawSales[[#This Row],[Tax 5%]],2)</f>
        <v>1</v>
      </c>
      <c r="V628" s="6" t="b">
        <f>ROUND(RawSales[[#This Row],[cogs]]+RawSales[[#This Row],[Tax 5%]],2)=ROUND(RawSales[[#This Row],[Sales]],2)</f>
        <v>1</v>
      </c>
    </row>
    <row r="629" spans="1:22" x14ac:dyDescent="0.35">
      <c r="A629" s="4" t="s">
        <v>1073</v>
      </c>
      <c r="B629" t="s">
        <v>38</v>
      </c>
      <c r="C629" t="s">
        <v>39</v>
      </c>
      <c r="D629" t="s">
        <v>22</v>
      </c>
      <c r="E629" t="s">
        <v>31</v>
      </c>
      <c r="F629" t="s">
        <v>239</v>
      </c>
      <c r="G629" s="6">
        <v>6933</v>
      </c>
      <c r="H629" s="7">
        <v>2</v>
      </c>
      <c r="I629" s="6">
        <v>693.3</v>
      </c>
      <c r="J629" s="6">
        <v>14559.3</v>
      </c>
      <c r="K629" s="5">
        <v>43500.958333333336</v>
      </c>
      <c r="L629" s="4" t="s">
        <v>1074</v>
      </c>
      <c r="M629" t="s">
        <v>34</v>
      </c>
      <c r="N629" s="6">
        <v>13866</v>
      </c>
      <c r="O629">
        <v>4.7619047620000003</v>
      </c>
      <c r="P629" s="6">
        <v>693.3</v>
      </c>
      <c r="Q629">
        <v>9.6999999999999993</v>
      </c>
      <c r="R629" s="6">
        <f>RawSales[[#This Row],[Unit price]]*RawSales[[#This Row],[Quantity]]</f>
        <v>13866</v>
      </c>
      <c r="S629" s="6">
        <f>RawSales[[#This Row],[Subtotal]]*$B$1</f>
        <v>693.30000000000007</v>
      </c>
      <c r="T629" s="6" t="b">
        <f>ROUND(RawSales[[#This Row],[Subtotal]],2)=ROUND(RawSales[[#This Row],[cogs]],2)</f>
        <v>1</v>
      </c>
      <c r="U629" s="6" t="b">
        <f>ROUND(RawSales[[#This Row],[cogs]]*0.05,2)=ROUND(RawSales[[#This Row],[Tax 5%]],2)</f>
        <v>1</v>
      </c>
      <c r="V629" s="6" t="b">
        <f>ROUND(RawSales[[#This Row],[cogs]]+RawSales[[#This Row],[Tax 5%]],2)=ROUND(RawSales[[#This Row],[Sales]],2)</f>
        <v>1</v>
      </c>
    </row>
    <row r="630" spans="1:22" x14ac:dyDescent="0.35">
      <c r="A630" s="4" t="s">
        <v>1075</v>
      </c>
      <c r="B630" t="s">
        <v>20</v>
      </c>
      <c r="C630" t="s">
        <v>21</v>
      </c>
      <c r="D630" t="s">
        <v>22</v>
      </c>
      <c r="E630" t="s">
        <v>23</v>
      </c>
      <c r="F630" t="s">
        <v>24</v>
      </c>
      <c r="G630" s="6">
        <v>5467</v>
      </c>
      <c r="H630" s="7">
        <v>3</v>
      </c>
      <c r="I630" s="6">
        <v>820.05</v>
      </c>
      <c r="J630" s="6">
        <v>17221.05</v>
      </c>
      <c r="K630" s="5">
        <v>43485.958333333336</v>
      </c>
      <c r="L630" s="4" t="s">
        <v>650</v>
      </c>
      <c r="M630" t="s">
        <v>51</v>
      </c>
      <c r="N630" s="6">
        <v>16401</v>
      </c>
      <c r="O630">
        <v>4.7619047620000003</v>
      </c>
      <c r="P630" s="6">
        <v>820.05</v>
      </c>
      <c r="Q630">
        <v>8.6</v>
      </c>
      <c r="R630" s="6">
        <f>RawSales[[#This Row],[Unit price]]*RawSales[[#This Row],[Quantity]]</f>
        <v>16401</v>
      </c>
      <c r="S630" s="6">
        <f>RawSales[[#This Row],[Subtotal]]*$B$1</f>
        <v>820.05000000000007</v>
      </c>
      <c r="T630" s="6" t="b">
        <f>ROUND(RawSales[[#This Row],[Subtotal]],2)=ROUND(RawSales[[#This Row],[cogs]],2)</f>
        <v>1</v>
      </c>
      <c r="U630" s="6" t="b">
        <f>ROUND(RawSales[[#This Row],[cogs]]*0.05,2)=ROUND(RawSales[[#This Row],[Tax 5%]],2)</f>
        <v>1</v>
      </c>
      <c r="V630" s="6" t="b">
        <f>ROUND(RawSales[[#This Row],[cogs]]+RawSales[[#This Row],[Tax 5%]],2)=ROUND(RawSales[[#This Row],[Sales]],2)</f>
        <v>1</v>
      </c>
    </row>
    <row r="631" spans="1:22" x14ac:dyDescent="0.35">
      <c r="A631" s="4" t="s">
        <v>1076</v>
      </c>
      <c r="B631" t="s">
        <v>28</v>
      </c>
      <c r="C631" t="s">
        <v>29</v>
      </c>
      <c r="D631" t="s">
        <v>30</v>
      </c>
      <c r="E631" t="s">
        <v>23</v>
      </c>
      <c r="F631" t="s">
        <v>49</v>
      </c>
      <c r="G631" s="6">
        <v>7352</v>
      </c>
      <c r="H631" s="7">
        <v>2</v>
      </c>
      <c r="I631" s="6">
        <v>735.2</v>
      </c>
      <c r="J631" s="6">
        <v>15439.2</v>
      </c>
      <c r="K631" s="5">
        <v>43479.958333333336</v>
      </c>
      <c r="L631" s="4" t="s">
        <v>60</v>
      </c>
      <c r="M631" t="s">
        <v>34</v>
      </c>
      <c r="N631" s="6">
        <v>14704</v>
      </c>
      <c r="O631">
        <v>4.7619047620000003</v>
      </c>
      <c r="P631" s="6">
        <v>735.2</v>
      </c>
      <c r="Q631">
        <v>4.5999999999999996</v>
      </c>
      <c r="R631" s="6">
        <f>RawSales[[#This Row],[Unit price]]*RawSales[[#This Row],[Quantity]]</f>
        <v>14704</v>
      </c>
      <c r="S631" s="6">
        <f>RawSales[[#This Row],[Subtotal]]*$B$1</f>
        <v>735.2</v>
      </c>
      <c r="T631" s="6" t="b">
        <f>ROUND(RawSales[[#This Row],[Subtotal]],2)=ROUND(RawSales[[#This Row],[cogs]],2)</f>
        <v>1</v>
      </c>
      <c r="U631" s="6" t="b">
        <f>ROUND(RawSales[[#This Row],[cogs]]*0.05,2)=ROUND(RawSales[[#This Row],[Tax 5%]],2)</f>
        <v>1</v>
      </c>
      <c r="V631" s="6" t="b">
        <f>ROUND(RawSales[[#This Row],[cogs]]+RawSales[[#This Row],[Tax 5%]],2)=ROUND(RawSales[[#This Row],[Sales]],2)</f>
        <v>1</v>
      </c>
    </row>
    <row r="632" spans="1:22" x14ac:dyDescent="0.35">
      <c r="A632" s="4" t="s">
        <v>1077</v>
      </c>
      <c r="B632" t="s">
        <v>20</v>
      </c>
      <c r="C632" t="s">
        <v>21</v>
      </c>
      <c r="D632" t="s">
        <v>30</v>
      </c>
      <c r="E632" t="s">
        <v>31</v>
      </c>
      <c r="F632" t="s">
        <v>62</v>
      </c>
      <c r="G632" s="6">
        <v>2584</v>
      </c>
      <c r="H632" s="7">
        <v>3</v>
      </c>
      <c r="I632" s="6">
        <v>387.6</v>
      </c>
      <c r="J632" s="6">
        <v>8139.6</v>
      </c>
      <c r="K632" s="5">
        <v>43533.958333333336</v>
      </c>
      <c r="L632" s="4" t="s">
        <v>1078</v>
      </c>
      <c r="M632" t="s">
        <v>34</v>
      </c>
      <c r="N632" s="6">
        <v>7752</v>
      </c>
      <c r="O632">
        <v>4.7619047620000003</v>
      </c>
      <c r="P632" s="6">
        <v>387.6</v>
      </c>
      <c r="Q632">
        <v>6.6</v>
      </c>
      <c r="R632" s="6">
        <f>RawSales[[#This Row],[Unit price]]*RawSales[[#This Row],[Quantity]]</f>
        <v>7752</v>
      </c>
      <c r="S632" s="6">
        <f>RawSales[[#This Row],[Subtotal]]*$B$1</f>
        <v>387.6</v>
      </c>
      <c r="T632" s="6" t="b">
        <f>ROUND(RawSales[[#This Row],[Subtotal]],2)=ROUND(RawSales[[#This Row],[cogs]],2)</f>
        <v>1</v>
      </c>
      <c r="U632" s="6" t="b">
        <f>ROUND(RawSales[[#This Row],[cogs]]*0.05,2)=ROUND(RawSales[[#This Row],[Tax 5%]],2)</f>
        <v>1</v>
      </c>
      <c r="V632" s="6" t="b">
        <f>ROUND(RawSales[[#This Row],[cogs]]+RawSales[[#This Row],[Tax 5%]],2)=ROUND(RawSales[[#This Row],[Sales]],2)</f>
        <v>1</v>
      </c>
    </row>
    <row r="633" spans="1:22" x14ac:dyDescent="0.35">
      <c r="A633" s="4" t="s">
        <v>1079</v>
      </c>
      <c r="B633" t="s">
        <v>38</v>
      </c>
      <c r="C633" t="s">
        <v>39</v>
      </c>
      <c r="D633" t="s">
        <v>22</v>
      </c>
      <c r="E633" t="s">
        <v>23</v>
      </c>
      <c r="F633" t="s">
        <v>24</v>
      </c>
      <c r="G633" s="6">
        <v>1487</v>
      </c>
      <c r="H633" s="7">
        <v>2</v>
      </c>
      <c r="I633" s="6">
        <v>148.69999999999999</v>
      </c>
      <c r="J633" s="6">
        <v>3122.7</v>
      </c>
      <c r="K633" s="5">
        <v>43508.958333333336</v>
      </c>
      <c r="L633" s="4" t="s">
        <v>964</v>
      </c>
      <c r="M633" t="s">
        <v>51</v>
      </c>
      <c r="N633" s="6">
        <v>2974</v>
      </c>
      <c r="O633">
        <v>4.7619047620000003</v>
      </c>
      <c r="P633" s="6">
        <v>148.69999999999999</v>
      </c>
      <c r="Q633">
        <v>8.9</v>
      </c>
      <c r="R633" s="6">
        <f>RawSales[[#This Row],[Unit price]]*RawSales[[#This Row],[Quantity]]</f>
        <v>2974</v>
      </c>
      <c r="S633" s="6">
        <f>RawSales[[#This Row],[Subtotal]]*$B$1</f>
        <v>148.70000000000002</v>
      </c>
      <c r="T633" s="6" t="b">
        <f>ROUND(RawSales[[#This Row],[Subtotal]],2)=ROUND(RawSales[[#This Row],[cogs]],2)</f>
        <v>1</v>
      </c>
      <c r="U633" s="6" t="b">
        <f>ROUND(RawSales[[#This Row],[cogs]]*0.05,2)=ROUND(RawSales[[#This Row],[Tax 5%]],2)</f>
        <v>1</v>
      </c>
      <c r="V633" s="6" t="b">
        <f>ROUND(RawSales[[#This Row],[cogs]]+RawSales[[#This Row],[Tax 5%]],2)=ROUND(RawSales[[#This Row],[Sales]],2)</f>
        <v>1</v>
      </c>
    </row>
    <row r="634" spans="1:22" x14ac:dyDescent="0.35">
      <c r="A634" s="4" t="s">
        <v>1080</v>
      </c>
      <c r="B634" t="s">
        <v>20</v>
      </c>
      <c r="C634" t="s">
        <v>21</v>
      </c>
      <c r="D634" t="s">
        <v>30</v>
      </c>
      <c r="E634" t="s">
        <v>31</v>
      </c>
      <c r="F634" t="s">
        <v>239</v>
      </c>
      <c r="G634" s="6">
        <v>2132</v>
      </c>
      <c r="H634" s="7">
        <v>1</v>
      </c>
      <c r="I634" s="6">
        <v>106.6</v>
      </c>
      <c r="J634" s="6">
        <v>2238.6</v>
      </c>
      <c r="K634" s="5">
        <v>43490.958333333336</v>
      </c>
      <c r="L634" s="4" t="s">
        <v>325</v>
      </c>
      <c r="M634" t="s">
        <v>26</v>
      </c>
      <c r="N634" s="6">
        <v>2132</v>
      </c>
      <c r="O634">
        <v>4.7619047620000003</v>
      </c>
      <c r="P634" s="6">
        <v>106.6</v>
      </c>
      <c r="Q634">
        <v>5.9</v>
      </c>
      <c r="R634" s="6">
        <f>RawSales[[#This Row],[Unit price]]*RawSales[[#This Row],[Quantity]]</f>
        <v>2132</v>
      </c>
      <c r="S634" s="6">
        <f>RawSales[[#This Row],[Subtotal]]*$B$1</f>
        <v>106.60000000000001</v>
      </c>
      <c r="T634" s="6" t="b">
        <f>ROUND(RawSales[[#This Row],[Subtotal]],2)=ROUND(RawSales[[#This Row],[cogs]],2)</f>
        <v>1</v>
      </c>
      <c r="U634" s="6" t="b">
        <f>ROUND(RawSales[[#This Row],[cogs]]*0.05,2)=ROUND(RawSales[[#This Row],[Tax 5%]],2)</f>
        <v>1</v>
      </c>
      <c r="V634" s="6" t="b">
        <f>ROUND(RawSales[[#This Row],[cogs]]+RawSales[[#This Row],[Tax 5%]],2)=ROUND(RawSales[[#This Row],[Sales]],2)</f>
        <v>1</v>
      </c>
    </row>
    <row r="635" spans="1:22" x14ac:dyDescent="0.35">
      <c r="A635" s="4" t="s">
        <v>222</v>
      </c>
      <c r="B635" t="s">
        <v>20</v>
      </c>
      <c r="C635" t="s">
        <v>21</v>
      </c>
      <c r="D635" t="s">
        <v>30</v>
      </c>
      <c r="E635" t="s">
        <v>23</v>
      </c>
      <c r="F635" t="s">
        <v>32</v>
      </c>
      <c r="G635" s="6">
        <v>6996</v>
      </c>
      <c r="H635" s="7">
        <v>8</v>
      </c>
      <c r="I635" s="6">
        <v>2798.4</v>
      </c>
      <c r="J635" s="6">
        <v>58766.400000000001</v>
      </c>
      <c r="K635" s="5">
        <v>43510.958333333336</v>
      </c>
      <c r="L635" s="4" t="s">
        <v>223</v>
      </c>
      <c r="M635" t="s">
        <v>51</v>
      </c>
      <c r="N635" s="6">
        <v>55968</v>
      </c>
      <c r="O635">
        <v>4.7619047620000003</v>
      </c>
      <c r="P635" s="6">
        <v>2798.4</v>
      </c>
      <c r="Q635">
        <v>6.4</v>
      </c>
      <c r="R635" s="6">
        <f>RawSales[[#This Row],[Unit price]]*RawSales[[#This Row],[Quantity]]</f>
        <v>55968</v>
      </c>
      <c r="S635" s="6">
        <f>RawSales[[#This Row],[Subtotal]]*$B$1</f>
        <v>2798.4</v>
      </c>
      <c r="T635" s="6" t="b">
        <f>ROUND(RawSales[[#This Row],[Subtotal]],2)=ROUND(RawSales[[#This Row],[cogs]],2)</f>
        <v>1</v>
      </c>
      <c r="U635" s="6" t="b">
        <f>ROUND(RawSales[[#This Row],[cogs]]*0.05,2)=ROUND(RawSales[[#This Row],[Tax 5%]],2)</f>
        <v>1</v>
      </c>
      <c r="V635" s="6" t="b">
        <f>ROUND(RawSales[[#This Row],[cogs]]+RawSales[[#This Row],[Tax 5%]],2)=ROUND(RawSales[[#This Row],[Sales]],2)</f>
        <v>1</v>
      </c>
    </row>
    <row r="636" spans="1:22" x14ac:dyDescent="0.35">
      <c r="A636" s="4" t="s">
        <v>1081</v>
      </c>
      <c r="B636" t="s">
        <v>20</v>
      </c>
      <c r="C636" t="s">
        <v>21</v>
      </c>
      <c r="D636" t="s">
        <v>22</v>
      </c>
      <c r="E636" t="s">
        <v>23</v>
      </c>
      <c r="F636" t="s">
        <v>62</v>
      </c>
      <c r="G636" s="6">
        <v>5152</v>
      </c>
      <c r="H636" s="7">
        <v>8</v>
      </c>
      <c r="I636" s="6">
        <v>2060.8000000000002</v>
      </c>
      <c r="J636" s="6">
        <v>43276.800000000003</v>
      </c>
      <c r="K636" s="5">
        <v>43497.958333333336</v>
      </c>
      <c r="L636" s="4" t="s">
        <v>961</v>
      </c>
      <c r="M636" t="s">
        <v>26</v>
      </c>
      <c r="N636" s="6">
        <v>41216</v>
      </c>
      <c r="O636">
        <v>4.7619047620000003</v>
      </c>
      <c r="P636" s="6">
        <v>2060.8000000000002</v>
      </c>
      <c r="Q636">
        <v>9.6</v>
      </c>
      <c r="R636" s="6">
        <f>RawSales[[#This Row],[Unit price]]*RawSales[[#This Row],[Quantity]]</f>
        <v>41216</v>
      </c>
      <c r="S636" s="6">
        <f>RawSales[[#This Row],[Subtotal]]*$B$1</f>
        <v>2060.8000000000002</v>
      </c>
      <c r="T636" s="6" t="b">
        <f>ROUND(RawSales[[#This Row],[Subtotal]],2)=ROUND(RawSales[[#This Row],[cogs]],2)</f>
        <v>1</v>
      </c>
      <c r="U636" s="6" t="b">
        <f>ROUND(RawSales[[#This Row],[cogs]]*0.05,2)=ROUND(RawSales[[#This Row],[Tax 5%]],2)</f>
        <v>1</v>
      </c>
      <c r="V636" s="6" t="b">
        <f>ROUND(RawSales[[#This Row],[cogs]]+RawSales[[#This Row],[Tax 5%]],2)=ROUND(RawSales[[#This Row],[Sales]],2)</f>
        <v>1</v>
      </c>
    </row>
    <row r="637" spans="1:22" x14ac:dyDescent="0.35">
      <c r="A637" s="4" t="s">
        <v>1082</v>
      </c>
      <c r="B637" t="s">
        <v>28</v>
      </c>
      <c r="C637" t="s">
        <v>29</v>
      </c>
      <c r="D637" t="s">
        <v>22</v>
      </c>
      <c r="E637" t="s">
        <v>31</v>
      </c>
      <c r="F637" t="s">
        <v>43</v>
      </c>
      <c r="G637" s="6">
        <v>5113</v>
      </c>
      <c r="H637" s="7">
        <v>4</v>
      </c>
      <c r="I637" s="6">
        <v>1022.6</v>
      </c>
      <c r="J637" s="6">
        <v>21474.6</v>
      </c>
      <c r="K637" s="5">
        <v>43489.958333333336</v>
      </c>
      <c r="L637" s="4" t="s">
        <v>125</v>
      </c>
      <c r="M637" t="s">
        <v>51</v>
      </c>
      <c r="N637" s="6">
        <v>20452</v>
      </c>
      <c r="O637">
        <v>4.7619047620000003</v>
      </c>
      <c r="P637" s="6">
        <v>1022.6</v>
      </c>
      <c r="Q637">
        <v>4</v>
      </c>
      <c r="R637" s="6">
        <f>RawSales[[#This Row],[Unit price]]*RawSales[[#This Row],[Quantity]]</f>
        <v>20452</v>
      </c>
      <c r="S637" s="6">
        <f>RawSales[[#This Row],[Subtotal]]*$B$1</f>
        <v>1022.6</v>
      </c>
      <c r="T637" s="6" t="b">
        <f>ROUND(RawSales[[#This Row],[Subtotal]],2)=ROUND(RawSales[[#This Row],[cogs]],2)</f>
        <v>1</v>
      </c>
      <c r="U637" s="6" t="b">
        <f>ROUND(RawSales[[#This Row],[cogs]]*0.05,2)=ROUND(RawSales[[#This Row],[Tax 5%]],2)</f>
        <v>1</v>
      </c>
      <c r="V637" s="6" t="b">
        <f>ROUND(RawSales[[#This Row],[cogs]]+RawSales[[#This Row],[Tax 5%]],2)=ROUND(RawSales[[#This Row],[Sales]],2)</f>
        <v>1</v>
      </c>
    </row>
    <row r="638" spans="1:22" x14ac:dyDescent="0.35">
      <c r="A638" s="4" t="s">
        <v>1083</v>
      </c>
      <c r="B638" t="s">
        <v>20</v>
      </c>
      <c r="C638" t="s">
        <v>21</v>
      </c>
      <c r="D638" t="s">
        <v>22</v>
      </c>
      <c r="E638" t="s">
        <v>23</v>
      </c>
      <c r="F638" t="s">
        <v>43</v>
      </c>
      <c r="G638" s="6">
        <v>7469</v>
      </c>
      <c r="H638" s="7">
        <v>7</v>
      </c>
      <c r="I638" s="6">
        <v>2614.15</v>
      </c>
      <c r="J638" s="6">
        <v>54897.15</v>
      </c>
      <c r="K638" s="5">
        <v>43469.958333333336</v>
      </c>
      <c r="L638" s="4" t="s">
        <v>164</v>
      </c>
      <c r="M638" t="s">
        <v>34</v>
      </c>
      <c r="N638" s="6">
        <v>52283</v>
      </c>
      <c r="O638">
        <v>4.7619047620000003</v>
      </c>
      <c r="P638" s="6">
        <v>2614.15</v>
      </c>
      <c r="Q638">
        <v>9.1</v>
      </c>
      <c r="R638" s="6">
        <f>RawSales[[#This Row],[Unit price]]*RawSales[[#This Row],[Quantity]]</f>
        <v>52283</v>
      </c>
      <c r="S638" s="6">
        <f>RawSales[[#This Row],[Subtotal]]*$B$1</f>
        <v>2614.15</v>
      </c>
      <c r="T638" s="6" t="b">
        <f>ROUND(RawSales[[#This Row],[Subtotal]],2)=ROUND(RawSales[[#This Row],[cogs]],2)</f>
        <v>1</v>
      </c>
      <c r="U638" s="6" t="b">
        <f>ROUND(RawSales[[#This Row],[cogs]]*0.05,2)=ROUND(RawSales[[#This Row],[Tax 5%]],2)</f>
        <v>1</v>
      </c>
      <c r="V638" s="6" t="b">
        <f>ROUND(RawSales[[#This Row],[cogs]]+RawSales[[#This Row],[Tax 5%]],2)=ROUND(RawSales[[#This Row],[Sales]],2)</f>
        <v>1</v>
      </c>
    </row>
    <row r="639" spans="1:22" x14ac:dyDescent="0.35">
      <c r="A639" s="4" t="s">
        <v>1084</v>
      </c>
      <c r="B639" t="s">
        <v>20</v>
      </c>
      <c r="C639" t="s">
        <v>21</v>
      </c>
      <c r="D639" t="s">
        <v>22</v>
      </c>
      <c r="E639" t="s">
        <v>31</v>
      </c>
      <c r="F639" t="s">
        <v>324</v>
      </c>
      <c r="G639" s="6">
        <v>1013</v>
      </c>
      <c r="H639" s="7">
        <v>7</v>
      </c>
      <c r="I639" s="6">
        <v>354.55</v>
      </c>
      <c r="J639" s="6">
        <v>7445.55</v>
      </c>
      <c r="K639" s="5">
        <v>43533.958333333336</v>
      </c>
      <c r="L639" s="4" t="s">
        <v>103</v>
      </c>
      <c r="M639" t="s">
        <v>34</v>
      </c>
      <c r="N639" s="6">
        <v>7091</v>
      </c>
      <c r="O639">
        <v>4.7619047620000003</v>
      </c>
      <c r="P639" s="6">
        <v>354.55</v>
      </c>
      <c r="Q639">
        <v>8.3000000000000007</v>
      </c>
      <c r="R639" s="6">
        <f>RawSales[[#This Row],[Unit price]]*RawSales[[#This Row],[Quantity]]</f>
        <v>7091</v>
      </c>
      <c r="S639" s="6">
        <f>RawSales[[#This Row],[Subtotal]]*$B$1</f>
        <v>354.55</v>
      </c>
      <c r="T639" s="6" t="b">
        <f>ROUND(RawSales[[#This Row],[Subtotal]],2)=ROUND(RawSales[[#This Row],[cogs]],2)</f>
        <v>1</v>
      </c>
      <c r="U639" s="6" t="b">
        <f>ROUND(RawSales[[#This Row],[cogs]]*0.05,2)=ROUND(RawSales[[#This Row],[Tax 5%]],2)</f>
        <v>1</v>
      </c>
      <c r="V639" s="6" t="b">
        <f>ROUND(RawSales[[#This Row],[cogs]]+RawSales[[#This Row],[Tax 5%]],2)=ROUND(RawSales[[#This Row],[Sales]],2)</f>
        <v>1</v>
      </c>
    </row>
    <row r="640" spans="1:22" x14ac:dyDescent="0.35">
      <c r="A640" s="4" t="s">
        <v>1085</v>
      </c>
      <c r="B640" t="s">
        <v>20</v>
      </c>
      <c r="C640" t="s">
        <v>21</v>
      </c>
      <c r="D640" t="s">
        <v>22</v>
      </c>
      <c r="E640" t="s">
        <v>23</v>
      </c>
      <c r="F640" t="s">
        <v>62</v>
      </c>
      <c r="G640" s="6">
        <v>2449</v>
      </c>
      <c r="H640" s="7">
        <v>10</v>
      </c>
      <c r="I640" s="6">
        <v>1224.5</v>
      </c>
      <c r="J640" s="6">
        <v>25714.5</v>
      </c>
      <c r="K640" s="5">
        <v>43517.958333333336</v>
      </c>
      <c r="L640" s="4" t="s">
        <v>1017</v>
      </c>
      <c r="M640" t="s">
        <v>26</v>
      </c>
      <c r="N640" s="6">
        <v>24490</v>
      </c>
      <c r="O640">
        <v>4.7619047620000003</v>
      </c>
      <c r="P640" s="6">
        <v>1224.5</v>
      </c>
      <c r="Q640">
        <v>8.1</v>
      </c>
      <c r="R640" s="6">
        <f>RawSales[[#This Row],[Unit price]]*RawSales[[#This Row],[Quantity]]</f>
        <v>24490</v>
      </c>
      <c r="S640" s="6">
        <f>RawSales[[#This Row],[Subtotal]]*$B$1</f>
        <v>1224.5</v>
      </c>
      <c r="T640" s="6" t="b">
        <f>ROUND(RawSales[[#This Row],[Subtotal]],2)=ROUND(RawSales[[#This Row],[cogs]],2)</f>
        <v>1</v>
      </c>
      <c r="U640" s="6" t="b">
        <f>ROUND(RawSales[[#This Row],[cogs]]*0.05,2)=ROUND(RawSales[[#This Row],[Tax 5%]],2)</f>
        <v>1</v>
      </c>
      <c r="V640" s="6" t="b">
        <f>ROUND(RawSales[[#This Row],[cogs]]+RawSales[[#This Row],[Tax 5%]],2)=ROUND(RawSales[[#This Row],[Sales]],2)</f>
        <v>1</v>
      </c>
    </row>
    <row r="641" spans="1:22" x14ac:dyDescent="0.35">
      <c r="A641" s="4" t="s">
        <v>1086</v>
      </c>
      <c r="B641" t="s">
        <v>20</v>
      </c>
      <c r="C641" t="s">
        <v>21</v>
      </c>
      <c r="D641" t="s">
        <v>30</v>
      </c>
      <c r="E641" t="s">
        <v>23</v>
      </c>
      <c r="F641" t="s">
        <v>40</v>
      </c>
      <c r="G641" s="6">
        <v>4548</v>
      </c>
      <c r="H641" s="7">
        <v>10</v>
      </c>
      <c r="I641" s="6">
        <v>2274</v>
      </c>
      <c r="J641" s="6">
        <v>47754</v>
      </c>
      <c r="K641" s="5">
        <v>43524.958333333336</v>
      </c>
      <c r="L641" s="4" t="s">
        <v>716</v>
      </c>
      <c r="M641" t="s">
        <v>51</v>
      </c>
      <c r="N641" s="6">
        <v>45480</v>
      </c>
      <c r="O641">
        <v>4.7619047620000003</v>
      </c>
      <c r="P641" s="6">
        <v>2274</v>
      </c>
      <c r="Q641">
        <v>4.8</v>
      </c>
      <c r="R641" s="6">
        <f>RawSales[[#This Row],[Unit price]]*RawSales[[#This Row],[Quantity]]</f>
        <v>45480</v>
      </c>
      <c r="S641" s="6">
        <f>RawSales[[#This Row],[Subtotal]]*$B$1</f>
        <v>2274</v>
      </c>
      <c r="T641" s="6" t="b">
        <f>ROUND(RawSales[[#This Row],[Subtotal]],2)=ROUND(RawSales[[#This Row],[cogs]],2)</f>
        <v>1</v>
      </c>
      <c r="U641" s="6" t="b">
        <f>ROUND(RawSales[[#This Row],[cogs]]*0.05,2)=ROUND(RawSales[[#This Row],[Tax 5%]],2)</f>
        <v>1</v>
      </c>
      <c r="V641" s="6" t="b">
        <f>ROUND(RawSales[[#This Row],[cogs]]+RawSales[[#This Row],[Tax 5%]],2)=ROUND(RawSales[[#This Row],[Sales]],2)</f>
        <v>1</v>
      </c>
    </row>
    <row r="642" spans="1:22" x14ac:dyDescent="0.35">
      <c r="A642" s="4" t="s">
        <v>1087</v>
      </c>
      <c r="B642" t="s">
        <v>28</v>
      </c>
      <c r="C642" t="s">
        <v>29</v>
      </c>
      <c r="D642" t="s">
        <v>22</v>
      </c>
      <c r="E642" t="s">
        <v>23</v>
      </c>
      <c r="F642" t="s">
        <v>24</v>
      </c>
      <c r="G642" s="6">
        <v>4282</v>
      </c>
      <c r="H642" s="7">
        <v>9</v>
      </c>
      <c r="I642" s="6">
        <v>1926.9</v>
      </c>
      <c r="J642" s="6">
        <v>40464.9</v>
      </c>
      <c r="K642" s="4" t="s">
        <v>481</v>
      </c>
      <c r="L642" s="4" t="s">
        <v>435</v>
      </c>
      <c r="M642" t="s">
        <v>51</v>
      </c>
      <c r="N642" s="6">
        <v>38538</v>
      </c>
      <c r="O642">
        <v>4.7619047620000003</v>
      </c>
      <c r="P642" s="6">
        <v>1926.9</v>
      </c>
      <c r="Q642">
        <v>8.9</v>
      </c>
      <c r="R642" s="6">
        <f>RawSales[[#This Row],[Unit price]]*RawSales[[#This Row],[Quantity]]</f>
        <v>38538</v>
      </c>
      <c r="S642" s="6">
        <f>RawSales[[#This Row],[Subtotal]]*$B$1</f>
        <v>1926.9</v>
      </c>
      <c r="T642" s="6" t="b">
        <f>ROUND(RawSales[[#This Row],[Subtotal]],2)=ROUND(RawSales[[#This Row],[cogs]],2)</f>
        <v>1</v>
      </c>
      <c r="U642" s="6" t="b">
        <f>ROUND(RawSales[[#This Row],[cogs]]*0.05,2)=ROUND(RawSales[[#This Row],[Tax 5%]],2)</f>
        <v>1</v>
      </c>
      <c r="V642" s="6" t="b">
        <f>ROUND(RawSales[[#This Row],[cogs]]+RawSales[[#This Row],[Tax 5%]],2)=ROUND(RawSales[[#This Row],[Sales]],2)</f>
        <v>1</v>
      </c>
    </row>
    <row r="643" spans="1:22" x14ac:dyDescent="0.35">
      <c r="A643" s="4" t="s">
        <v>1088</v>
      </c>
      <c r="B643" t="s">
        <v>20</v>
      </c>
      <c r="C643" t="s">
        <v>21</v>
      </c>
      <c r="D643" t="s">
        <v>22</v>
      </c>
      <c r="E643" t="s">
        <v>31</v>
      </c>
      <c r="F643" t="s">
        <v>46</v>
      </c>
      <c r="G643" s="6">
        <v>1550</v>
      </c>
      <c r="H643" s="7">
        <v>10</v>
      </c>
      <c r="I643" s="6">
        <v>775</v>
      </c>
      <c r="J643" s="6">
        <v>16275</v>
      </c>
      <c r="K643" s="5">
        <v>43546.958333333336</v>
      </c>
      <c r="L643" s="4" t="s">
        <v>1089</v>
      </c>
      <c r="M643" t="s">
        <v>34</v>
      </c>
      <c r="N643" s="6">
        <v>15500</v>
      </c>
      <c r="O643">
        <v>4.7619047620000003</v>
      </c>
      <c r="P643" s="6">
        <v>775</v>
      </c>
      <c r="Q643">
        <v>8</v>
      </c>
      <c r="R643" s="6">
        <f>RawSales[[#This Row],[Unit price]]*RawSales[[#This Row],[Quantity]]</f>
        <v>15500</v>
      </c>
      <c r="S643" s="6">
        <f>RawSales[[#This Row],[Subtotal]]*$B$1</f>
        <v>775</v>
      </c>
      <c r="T643" s="6" t="b">
        <f>ROUND(RawSales[[#This Row],[Subtotal]],2)=ROUND(RawSales[[#This Row],[cogs]],2)</f>
        <v>1</v>
      </c>
      <c r="U643" s="6" t="b">
        <f>ROUND(RawSales[[#This Row],[cogs]]*0.05,2)=ROUND(RawSales[[#This Row],[Tax 5%]],2)</f>
        <v>1</v>
      </c>
      <c r="V643" s="6" t="b">
        <f>ROUND(RawSales[[#This Row],[cogs]]+RawSales[[#This Row],[Tax 5%]],2)=ROUND(RawSales[[#This Row],[Sales]],2)</f>
        <v>1</v>
      </c>
    </row>
    <row r="644" spans="1:22" x14ac:dyDescent="0.35">
      <c r="A644" s="4" t="s">
        <v>1090</v>
      </c>
      <c r="B644" t="s">
        <v>38</v>
      </c>
      <c r="C644" t="s">
        <v>39</v>
      </c>
      <c r="D644" t="s">
        <v>22</v>
      </c>
      <c r="E644" t="s">
        <v>23</v>
      </c>
      <c r="F644" t="s">
        <v>32</v>
      </c>
      <c r="G644" s="6">
        <v>1212</v>
      </c>
      <c r="H644" s="7">
        <v>10</v>
      </c>
      <c r="I644" s="6">
        <v>606</v>
      </c>
      <c r="J644" s="6">
        <v>12726</v>
      </c>
      <c r="K644" s="5">
        <v>43528.958333333336</v>
      </c>
      <c r="L644" s="4" t="s">
        <v>1091</v>
      </c>
      <c r="M644" t="s">
        <v>51</v>
      </c>
      <c r="N644" s="6">
        <v>12120</v>
      </c>
      <c r="O644">
        <v>4.7619047620000003</v>
      </c>
      <c r="P644" s="6">
        <v>606</v>
      </c>
      <c r="Q644">
        <v>8.4</v>
      </c>
      <c r="R644" s="6">
        <f>RawSales[[#This Row],[Unit price]]*RawSales[[#This Row],[Quantity]]</f>
        <v>12120</v>
      </c>
      <c r="S644" s="6">
        <f>RawSales[[#This Row],[Subtotal]]*$B$1</f>
        <v>606</v>
      </c>
      <c r="T644" s="6" t="b">
        <f>ROUND(RawSales[[#This Row],[Subtotal]],2)=ROUND(RawSales[[#This Row],[cogs]],2)</f>
        <v>1</v>
      </c>
      <c r="U644" s="6" t="b">
        <f>ROUND(RawSales[[#This Row],[cogs]]*0.05,2)=ROUND(RawSales[[#This Row],[Tax 5%]],2)</f>
        <v>1</v>
      </c>
      <c r="V644" s="6" t="b">
        <f>ROUND(RawSales[[#This Row],[cogs]]+RawSales[[#This Row],[Tax 5%]],2)=ROUND(RawSales[[#This Row],[Sales]],2)</f>
        <v>1</v>
      </c>
    </row>
    <row r="645" spans="1:22" x14ac:dyDescent="0.35">
      <c r="A645" s="4" t="s">
        <v>1092</v>
      </c>
      <c r="B645" t="s">
        <v>28</v>
      </c>
      <c r="C645" t="s">
        <v>29</v>
      </c>
      <c r="D645" t="s">
        <v>30</v>
      </c>
      <c r="E645" t="s">
        <v>23</v>
      </c>
      <c r="F645" t="s">
        <v>49</v>
      </c>
      <c r="G645" s="6">
        <v>6096</v>
      </c>
      <c r="H645" s="7">
        <v>2</v>
      </c>
      <c r="I645" s="6">
        <v>609.6</v>
      </c>
      <c r="J645" s="6">
        <v>12801.6</v>
      </c>
      <c r="K645" s="5">
        <v>43489.958333333336</v>
      </c>
      <c r="L645" s="4" t="s">
        <v>1093</v>
      </c>
      <c r="M645" t="s">
        <v>51</v>
      </c>
      <c r="N645" s="6">
        <v>12192</v>
      </c>
      <c r="O645">
        <v>4.7619047620000003</v>
      </c>
      <c r="P645" s="6">
        <v>609.6</v>
      </c>
      <c r="Q645">
        <v>4.9000000000000004</v>
      </c>
      <c r="R645" s="6">
        <f>RawSales[[#This Row],[Unit price]]*RawSales[[#This Row],[Quantity]]</f>
        <v>12192</v>
      </c>
      <c r="S645" s="6">
        <f>RawSales[[#This Row],[Subtotal]]*$B$1</f>
        <v>609.6</v>
      </c>
      <c r="T645" s="6" t="b">
        <f>ROUND(RawSales[[#This Row],[Subtotal]],2)=ROUND(RawSales[[#This Row],[cogs]],2)</f>
        <v>1</v>
      </c>
      <c r="U645" s="6" t="b">
        <f>ROUND(RawSales[[#This Row],[cogs]]*0.05,2)=ROUND(RawSales[[#This Row],[Tax 5%]],2)</f>
        <v>1</v>
      </c>
      <c r="V645" s="6" t="b">
        <f>ROUND(RawSales[[#This Row],[cogs]]+RawSales[[#This Row],[Tax 5%]],2)=ROUND(RawSales[[#This Row],[Sales]],2)</f>
        <v>1</v>
      </c>
    </row>
    <row r="646" spans="1:22" x14ac:dyDescent="0.35">
      <c r="A646" s="4" t="s">
        <v>1094</v>
      </c>
      <c r="B646" t="s">
        <v>28</v>
      </c>
      <c r="C646" t="s">
        <v>29</v>
      </c>
      <c r="D646" t="s">
        <v>22</v>
      </c>
      <c r="E646" t="s">
        <v>23</v>
      </c>
      <c r="F646" t="s">
        <v>43</v>
      </c>
      <c r="G646" s="6">
        <v>8787</v>
      </c>
      <c r="H646" s="7">
        <v>10</v>
      </c>
      <c r="I646" s="6">
        <v>4393.5</v>
      </c>
      <c r="J646" s="6">
        <v>92263.5</v>
      </c>
      <c r="K646" s="5">
        <v>43552.958333333336</v>
      </c>
      <c r="L646" s="4" t="s">
        <v>235</v>
      </c>
      <c r="M646" t="s">
        <v>34</v>
      </c>
      <c r="N646" s="6">
        <v>87870</v>
      </c>
      <c r="O646">
        <v>4.7619047620000003</v>
      </c>
      <c r="P646" s="6">
        <v>4393.5</v>
      </c>
      <c r="Q646">
        <v>5.0999999999999996</v>
      </c>
      <c r="R646" s="6">
        <f>RawSales[[#This Row],[Unit price]]*RawSales[[#This Row],[Quantity]]</f>
        <v>87870</v>
      </c>
      <c r="S646" s="6">
        <f>RawSales[[#This Row],[Subtotal]]*$B$1</f>
        <v>4393.5</v>
      </c>
      <c r="T646" s="6" t="b">
        <f>ROUND(RawSales[[#This Row],[Subtotal]],2)=ROUND(RawSales[[#This Row],[cogs]],2)</f>
        <v>1</v>
      </c>
      <c r="U646" s="6" t="b">
        <f>ROUND(RawSales[[#This Row],[cogs]]*0.05,2)=ROUND(RawSales[[#This Row],[Tax 5%]],2)</f>
        <v>1</v>
      </c>
      <c r="V646" s="6" t="b">
        <f>ROUND(RawSales[[#This Row],[cogs]]+RawSales[[#This Row],[Tax 5%]],2)=ROUND(RawSales[[#This Row],[Sales]],2)</f>
        <v>1</v>
      </c>
    </row>
    <row r="647" spans="1:22" x14ac:dyDescent="0.35">
      <c r="A647" s="4" t="s">
        <v>1095</v>
      </c>
      <c r="B647" t="s">
        <v>38</v>
      </c>
      <c r="C647" t="s">
        <v>39</v>
      </c>
      <c r="D647" t="s">
        <v>22</v>
      </c>
      <c r="E647" t="s">
        <v>23</v>
      </c>
      <c r="F647" t="s">
        <v>40</v>
      </c>
      <c r="G647" s="6">
        <v>8598</v>
      </c>
      <c r="H647" s="7">
        <v>8</v>
      </c>
      <c r="I647" s="6">
        <v>3439.2</v>
      </c>
      <c r="J647" s="6">
        <v>72223.199999999997</v>
      </c>
      <c r="K647" s="5">
        <v>43523.958333333336</v>
      </c>
      <c r="L647" s="4" t="s">
        <v>811</v>
      </c>
      <c r="M647" t="s">
        <v>26</v>
      </c>
      <c r="N647" s="6">
        <v>68784</v>
      </c>
      <c r="O647">
        <v>4.7619047620000003</v>
      </c>
      <c r="P647" s="6">
        <v>3439.2</v>
      </c>
      <c r="Q647">
        <v>8.1999999999999993</v>
      </c>
      <c r="R647" s="6">
        <f>RawSales[[#This Row],[Unit price]]*RawSales[[#This Row],[Quantity]]</f>
        <v>68784</v>
      </c>
      <c r="S647" s="6">
        <f>RawSales[[#This Row],[Subtotal]]*$B$1</f>
        <v>3439.2000000000003</v>
      </c>
      <c r="T647" s="6" t="b">
        <f>ROUND(RawSales[[#This Row],[Subtotal]],2)=ROUND(RawSales[[#This Row],[cogs]],2)</f>
        <v>1</v>
      </c>
      <c r="U647" s="6" t="b">
        <f>ROUND(RawSales[[#This Row],[cogs]]*0.05,2)=ROUND(RawSales[[#This Row],[Tax 5%]],2)</f>
        <v>1</v>
      </c>
      <c r="V647" s="6" t="b">
        <f>ROUND(RawSales[[#This Row],[cogs]]+RawSales[[#This Row],[Tax 5%]],2)=ROUND(RawSales[[#This Row],[Sales]],2)</f>
        <v>1</v>
      </c>
    </row>
    <row r="648" spans="1:22" x14ac:dyDescent="0.35">
      <c r="A648" s="4" t="s">
        <v>1096</v>
      </c>
      <c r="B648" t="s">
        <v>38</v>
      </c>
      <c r="C648" t="s">
        <v>39</v>
      </c>
      <c r="D648" t="s">
        <v>22</v>
      </c>
      <c r="E648" t="s">
        <v>23</v>
      </c>
      <c r="F648" t="s">
        <v>49</v>
      </c>
      <c r="G648" s="6">
        <v>9930</v>
      </c>
      <c r="H648" s="7">
        <v>10</v>
      </c>
      <c r="I648" s="6">
        <v>4965</v>
      </c>
      <c r="J648" s="6">
        <v>104265</v>
      </c>
      <c r="K648" s="5">
        <v>43510.958333333336</v>
      </c>
      <c r="L648" s="4" t="s">
        <v>640</v>
      </c>
      <c r="M648" t="s">
        <v>51</v>
      </c>
      <c r="N648" s="6">
        <v>99300</v>
      </c>
      <c r="O648">
        <v>4.7619047620000003</v>
      </c>
      <c r="P648" s="6">
        <v>4965</v>
      </c>
      <c r="Q648">
        <v>6.6</v>
      </c>
      <c r="R648" s="6">
        <f>RawSales[[#This Row],[Unit price]]*RawSales[[#This Row],[Quantity]]</f>
        <v>99300</v>
      </c>
      <c r="S648" s="6">
        <f>RawSales[[#This Row],[Subtotal]]*$B$1</f>
        <v>4965</v>
      </c>
      <c r="T648" s="6" t="b">
        <f>ROUND(RawSales[[#This Row],[Subtotal]],2)=ROUND(RawSales[[#This Row],[cogs]],2)</f>
        <v>1</v>
      </c>
      <c r="U648" s="6" t="b">
        <f>ROUND(RawSales[[#This Row],[cogs]]*0.05,2)=ROUND(RawSales[[#This Row],[Tax 5%]],2)</f>
        <v>1</v>
      </c>
      <c r="V648" s="6" t="b">
        <f>ROUND(RawSales[[#This Row],[cogs]]+RawSales[[#This Row],[Tax 5%]],2)=ROUND(RawSales[[#This Row],[Sales]],2)</f>
        <v>1</v>
      </c>
    </row>
    <row r="649" spans="1:22" x14ac:dyDescent="0.35">
      <c r="A649" s="4" t="s">
        <v>1097</v>
      </c>
      <c r="B649" t="s">
        <v>28</v>
      </c>
      <c r="C649" t="s">
        <v>29</v>
      </c>
      <c r="D649" t="s">
        <v>22</v>
      </c>
      <c r="E649" t="s">
        <v>23</v>
      </c>
      <c r="F649" t="s">
        <v>32</v>
      </c>
      <c r="G649" s="6">
        <v>3012</v>
      </c>
      <c r="H649" s="7">
        <v>8</v>
      </c>
      <c r="I649" s="6">
        <v>1204.8</v>
      </c>
      <c r="J649" s="6">
        <v>25300.799999999999</v>
      </c>
      <c r="K649" s="5">
        <v>43526.958333333336</v>
      </c>
      <c r="L649" s="4" t="s">
        <v>272</v>
      </c>
      <c r="M649" t="s">
        <v>26</v>
      </c>
      <c r="N649" s="6">
        <v>24096</v>
      </c>
      <c r="O649">
        <v>4.7619047620000003</v>
      </c>
      <c r="P649" s="6">
        <v>1204.8</v>
      </c>
      <c r="Q649">
        <v>7.7</v>
      </c>
      <c r="R649" s="6">
        <f>RawSales[[#This Row],[Unit price]]*RawSales[[#This Row],[Quantity]]</f>
        <v>24096</v>
      </c>
      <c r="S649" s="6">
        <f>RawSales[[#This Row],[Subtotal]]*$B$1</f>
        <v>1204.8</v>
      </c>
      <c r="T649" s="6" t="b">
        <f>ROUND(RawSales[[#This Row],[Subtotal]],2)=ROUND(RawSales[[#This Row],[cogs]],2)</f>
        <v>1</v>
      </c>
      <c r="U649" s="6" t="b">
        <f>ROUND(RawSales[[#This Row],[cogs]]*0.05,2)=ROUND(RawSales[[#This Row],[Tax 5%]],2)</f>
        <v>1</v>
      </c>
      <c r="V649" s="6" t="b">
        <f>ROUND(RawSales[[#This Row],[cogs]]+RawSales[[#This Row],[Tax 5%]],2)=ROUND(RawSales[[#This Row],[Sales]],2)</f>
        <v>1</v>
      </c>
    </row>
    <row r="650" spans="1:22" x14ac:dyDescent="0.35">
      <c r="A650" s="4" t="s">
        <v>1098</v>
      </c>
      <c r="B650" t="s">
        <v>20</v>
      </c>
      <c r="C650" t="s">
        <v>21</v>
      </c>
      <c r="D650" t="s">
        <v>22</v>
      </c>
      <c r="E650" t="s">
        <v>23</v>
      </c>
      <c r="F650" t="s">
        <v>32</v>
      </c>
      <c r="G650" s="6">
        <v>3744</v>
      </c>
      <c r="H650" s="7">
        <v>6</v>
      </c>
      <c r="I650" s="6">
        <v>1123.2</v>
      </c>
      <c r="J650" s="6">
        <v>23587.200000000001</v>
      </c>
      <c r="K650" s="5">
        <v>43501.958333333336</v>
      </c>
      <c r="L650" s="4" t="s">
        <v>847</v>
      </c>
      <c r="M650" t="s">
        <v>51</v>
      </c>
      <c r="N650" s="6">
        <v>22464</v>
      </c>
      <c r="O650">
        <v>4.7619047620000003</v>
      </c>
      <c r="P650" s="6">
        <v>1123.2</v>
      </c>
      <c r="Q650">
        <v>5.9</v>
      </c>
      <c r="R650" s="6">
        <f>RawSales[[#This Row],[Unit price]]*RawSales[[#This Row],[Quantity]]</f>
        <v>22464</v>
      </c>
      <c r="S650" s="6">
        <f>RawSales[[#This Row],[Subtotal]]*$B$1</f>
        <v>1123.2</v>
      </c>
      <c r="T650" s="6" t="b">
        <f>ROUND(RawSales[[#This Row],[Subtotal]],2)=ROUND(RawSales[[#This Row],[cogs]],2)</f>
        <v>1</v>
      </c>
      <c r="U650" s="6" t="b">
        <f>ROUND(RawSales[[#This Row],[cogs]]*0.05,2)=ROUND(RawSales[[#This Row],[Tax 5%]],2)</f>
        <v>1</v>
      </c>
      <c r="V650" s="6" t="b">
        <f>ROUND(RawSales[[#This Row],[cogs]]+RawSales[[#This Row],[Tax 5%]],2)=ROUND(RawSales[[#This Row],[Sales]],2)</f>
        <v>1</v>
      </c>
    </row>
    <row r="651" spans="1:22" x14ac:dyDescent="0.35">
      <c r="A651" s="4" t="s">
        <v>1099</v>
      </c>
      <c r="B651" t="s">
        <v>20</v>
      </c>
      <c r="C651" t="s">
        <v>21</v>
      </c>
      <c r="D651" t="s">
        <v>22</v>
      </c>
      <c r="E651" t="s">
        <v>23</v>
      </c>
      <c r="F651" t="s">
        <v>324</v>
      </c>
      <c r="G651" s="6">
        <v>7954</v>
      </c>
      <c r="H651" s="7">
        <v>2</v>
      </c>
      <c r="I651" s="6">
        <v>795.4</v>
      </c>
      <c r="J651" s="6">
        <v>16703.400000000001</v>
      </c>
      <c r="K651" s="5">
        <v>43550.958333333336</v>
      </c>
      <c r="L651" s="4" t="s">
        <v>168</v>
      </c>
      <c r="M651" t="s">
        <v>34</v>
      </c>
      <c r="N651" s="6">
        <v>15908</v>
      </c>
      <c r="O651">
        <v>4.7619047620000003</v>
      </c>
      <c r="P651" s="6">
        <v>795.4</v>
      </c>
      <c r="Q651">
        <v>6.2</v>
      </c>
      <c r="R651" s="6">
        <f>RawSales[[#This Row],[Unit price]]*RawSales[[#This Row],[Quantity]]</f>
        <v>15908</v>
      </c>
      <c r="S651" s="6">
        <f>RawSales[[#This Row],[Subtotal]]*$B$1</f>
        <v>795.40000000000009</v>
      </c>
      <c r="T651" s="6" t="b">
        <f>ROUND(RawSales[[#This Row],[Subtotal]],2)=ROUND(RawSales[[#This Row],[cogs]],2)</f>
        <v>1</v>
      </c>
      <c r="U651" s="6" t="b">
        <f>ROUND(RawSales[[#This Row],[cogs]]*0.05,2)=ROUND(RawSales[[#This Row],[Tax 5%]],2)</f>
        <v>1</v>
      </c>
      <c r="V651" s="6" t="b">
        <f>ROUND(RawSales[[#This Row],[cogs]]+RawSales[[#This Row],[Tax 5%]],2)=ROUND(RawSales[[#This Row],[Sales]],2)</f>
        <v>1</v>
      </c>
    </row>
    <row r="652" spans="1:22" x14ac:dyDescent="0.35">
      <c r="A652" s="4" t="s">
        <v>1100</v>
      </c>
      <c r="B652" t="s">
        <v>28</v>
      </c>
      <c r="C652" t="s">
        <v>29</v>
      </c>
      <c r="D652" t="s">
        <v>22</v>
      </c>
      <c r="E652" t="s">
        <v>23</v>
      </c>
      <c r="F652" t="s">
        <v>62</v>
      </c>
      <c r="G652" s="6">
        <v>1185</v>
      </c>
      <c r="H652" s="7">
        <v>8</v>
      </c>
      <c r="I652" s="6">
        <v>474</v>
      </c>
      <c r="J652" s="6">
        <v>9954</v>
      </c>
      <c r="K652" s="5">
        <v>43473.958333333336</v>
      </c>
      <c r="L652" s="4" t="s">
        <v>1101</v>
      </c>
      <c r="M652" t="s">
        <v>26</v>
      </c>
      <c r="N652" s="6">
        <v>9480</v>
      </c>
      <c r="O652">
        <v>4.7619047620000003</v>
      </c>
      <c r="P652" s="6">
        <v>474</v>
      </c>
      <c r="Q652">
        <v>4.0999999999999996</v>
      </c>
      <c r="R652" s="6">
        <f>RawSales[[#This Row],[Unit price]]*RawSales[[#This Row],[Quantity]]</f>
        <v>9480</v>
      </c>
      <c r="S652" s="6">
        <f>RawSales[[#This Row],[Subtotal]]*$B$1</f>
        <v>474</v>
      </c>
      <c r="T652" s="6" t="b">
        <f>ROUND(RawSales[[#This Row],[Subtotal]],2)=ROUND(RawSales[[#This Row],[cogs]],2)</f>
        <v>1</v>
      </c>
      <c r="U652" s="6" t="b">
        <f>ROUND(RawSales[[#This Row],[cogs]]*0.05,2)=ROUND(RawSales[[#This Row],[Tax 5%]],2)</f>
        <v>1</v>
      </c>
      <c r="V652" s="6" t="b">
        <f>ROUND(RawSales[[#This Row],[cogs]]+RawSales[[#This Row],[Tax 5%]],2)=ROUND(RawSales[[#This Row],[Sales]],2)</f>
        <v>1</v>
      </c>
    </row>
    <row r="653" spans="1:22" x14ac:dyDescent="0.35">
      <c r="A653" s="4" t="s">
        <v>1102</v>
      </c>
      <c r="B653" t="s">
        <v>28</v>
      </c>
      <c r="C653" t="s">
        <v>29</v>
      </c>
      <c r="D653" t="s">
        <v>30</v>
      </c>
      <c r="E653" t="s">
        <v>23</v>
      </c>
      <c r="F653" t="s">
        <v>40</v>
      </c>
      <c r="G653" s="6">
        <v>1496</v>
      </c>
      <c r="H653" s="7">
        <v>8</v>
      </c>
      <c r="I653" s="6">
        <v>598.4</v>
      </c>
      <c r="J653" s="6">
        <v>12566.4</v>
      </c>
      <c r="K653" s="5">
        <v>43518.958333333336</v>
      </c>
      <c r="L653" s="4" t="s">
        <v>939</v>
      </c>
      <c r="M653" t="s">
        <v>26</v>
      </c>
      <c r="N653" s="6">
        <v>11968</v>
      </c>
      <c r="O653">
        <v>4.7619047620000003</v>
      </c>
      <c r="P653" s="6">
        <v>598.4</v>
      </c>
      <c r="Q653">
        <v>8.6</v>
      </c>
      <c r="R653" s="6">
        <f>RawSales[[#This Row],[Unit price]]*RawSales[[#This Row],[Quantity]]</f>
        <v>11968</v>
      </c>
      <c r="S653" s="6">
        <f>RawSales[[#This Row],[Subtotal]]*$B$1</f>
        <v>598.4</v>
      </c>
      <c r="T653" s="6" t="b">
        <f>ROUND(RawSales[[#This Row],[Subtotal]],2)=ROUND(RawSales[[#This Row],[cogs]],2)</f>
        <v>1</v>
      </c>
      <c r="U653" s="6" t="b">
        <f>ROUND(RawSales[[#This Row],[cogs]]*0.05,2)=ROUND(RawSales[[#This Row],[Tax 5%]],2)</f>
        <v>1</v>
      </c>
      <c r="V653" s="6" t="b">
        <f>ROUND(RawSales[[#This Row],[cogs]]+RawSales[[#This Row],[Tax 5%]],2)=ROUND(RawSales[[#This Row],[Sales]],2)</f>
        <v>1</v>
      </c>
    </row>
    <row r="654" spans="1:22" x14ac:dyDescent="0.35">
      <c r="A654" s="4" t="s">
        <v>1103</v>
      </c>
      <c r="B654" t="s">
        <v>20</v>
      </c>
      <c r="C654" t="s">
        <v>21</v>
      </c>
      <c r="D654" t="s">
        <v>30</v>
      </c>
      <c r="E654" t="s">
        <v>31</v>
      </c>
      <c r="F654" t="s">
        <v>32</v>
      </c>
      <c r="G654" s="6">
        <v>1828</v>
      </c>
      <c r="H654" s="7">
        <v>1</v>
      </c>
      <c r="I654" s="6">
        <v>91.4</v>
      </c>
      <c r="J654" s="6">
        <v>1919.4</v>
      </c>
      <c r="K654" s="5">
        <v>43545.958333333336</v>
      </c>
      <c r="L654" s="4" t="s">
        <v>1104</v>
      </c>
      <c r="M654" t="s">
        <v>51</v>
      </c>
      <c r="N654" s="6">
        <v>1828</v>
      </c>
      <c r="O654">
        <v>4.7619047620000003</v>
      </c>
      <c r="P654" s="6">
        <v>91.4</v>
      </c>
      <c r="R654" s="6">
        <f>RawSales[[#This Row],[Unit price]]*RawSales[[#This Row],[Quantity]]</f>
        <v>1828</v>
      </c>
      <c r="S654" s="6">
        <f>RawSales[[#This Row],[Subtotal]]*$B$1</f>
        <v>91.4</v>
      </c>
      <c r="T654" s="6" t="b">
        <f>ROUND(RawSales[[#This Row],[Subtotal]],2)=ROUND(RawSales[[#This Row],[cogs]],2)</f>
        <v>1</v>
      </c>
      <c r="U654" s="6" t="b">
        <f>ROUND(RawSales[[#This Row],[cogs]]*0.05,2)=ROUND(RawSales[[#This Row],[Tax 5%]],2)</f>
        <v>1</v>
      </c>
      <c r="V654" s="6" t="b">
        <f>ROUND(RawSales[[#This Row],[cogs]]+RawSales[[#This Row],[Tax 5%]],2)=ROUND(RawSales[[#This Row],[Sales]],2)</f>
        <v>1</v>
      </c>
    </row>
    <row r="655" spans="1:22" x14ac:dyDescent="0.35">
      <c r="A655" s="4" t="s">
        <v>1105</v>
      </c>
      <c r="B655" t="s">
        <v>20</v>
      </c>
      <c r="C655" t="s">
        <v>21</v>
      </c>
      <c r="D655" t="s">
        <v>22</v>
      </c>
      <c r="E655" t="s">
        <v>31</v>
      </c>
      <c r="F655" t="s">
        <v>32</v>
      </c>
      <c r="G655" s="6">
        <v>6001</v>
      </c>
      <c r="H655" s="7">
        <v>4</v>
      </c>
      <c r="I655" s="6">
        <v>1200.2</v>
      </c>
      <c r="J655" s="6">
        <v>25204.2</v>
      </c>
      <c r="K655" s="4" t="s">
        <v>1106</v>
      </c>
      <c r="L655" s="4" t="s">
        <v>1107</v>
      </c>
      <c r="M655" t="s">
        <v>26</v>
      </c>
      <c r="N655" s="6">
        <v>24004</v>
      </c>
      <c r="O655">
        <v>4.7619047620000003</v>
      </c>
      <c r="P655" s="6">
        <v>1200.2</v>
      </c>
      <c r="Q655">
        <v>4.5</v>
      </c>
      <c r="R655" s="6">
        <f>RawSales[[#This Row],[Unit price]]*RawSales[[#This Row],[Quantity]]</f>
        <v>24004</v>
      </c>
      <c r="S655" s="6">
        <f>RawSales[[#This Row],[Subtotal]]*$B$1</f>
        <v>1200.2</v>
      </c>
      <c r="T655" s="6" t="b">
        <f>ROUND(RawSales[[#This Row],[Subtotal]],2)=ROUND(RawSales[[#This Row],[cogs]],2)</f>
        <v>1</v>
      </c>
      <c r="U655" s="6" t="b">
        <f>ROUND(RawSales[[#This Row],[cogs]]*0.05,2)=ROUND(RawSales[[#This Row],[Tax 5%]],2)</f>
        <v>1</v>
      </c>
      <c r="V655" s="6" t="b">
        <f>ROUND(RawSales[[#This Row],[cogs]]+RawSales[[#This Row],[Tax 5%]],2)=ROUND(RawSales[[#This Row],[Sales]],2)</f>
        <v>1</v>
      </c>
    </row>
    <row r="656" spans="1:22" x14ac:dyDescent="0.35">
      <c r="A656" s="4" t="s">
        <v>1092</v>
      </c>
      <c r="B656" t="s">
        <v>28</v>
      </c>
      <c r="C656" t="s">
        <v>29</v>
      </c>
      <c r="D656" t="s">
        <v>30</v>
      </c>
      <c r="E656" t="s">
        <v>23</v>
      </c>
      <c r="F656" t="s">
        <v>49</v>
      </c>
      <c r="G656" s="6">
        <v>6096</v>
      </c>
      <c r="H656" s="7">
        <v>2</v>
      </c>
      <c r="I656" s="6">
        <v>609.6</v>
      </c>
      <c r="J656" s="6">
        <v>12801.6</v>
      </c>
      <c r="K656" s="5">
        <v>43489.958333333336</v>
      </c>
      <c r="L656" s="4" t="s">
        <v>1093</v>
      </c>
      <c r="M656" t="s">
        <v>51</v>
      </c>
      <c r="N656" s="6">
        <v>12192</v>
      </c>
      <c r="O656">
        <v>4.7619047620000003</v>
      </c>
      <c r="P656" s="6">
        <v>609.6</v>
      </c>
      <c r="Q656">
        <v>4.9000000000000004</v>
      </c>
      <c r="R656" s="6">
        <f>RawSales[[#This Row],[Unit price]]*RawSales[[#This Row],[Quantity]]</f>
        <v>12192</v>
      </c>
      <c r="S656" s="6">
        <f>RawSales[[#This Row],[Subtotal]]*$B$1</f>
        <v>609.6</v>
      </c>
      <c r="T656" s="6" t="b">
        <f>ROUND(RawSales[[#This Row],[Subtotal]],2)=ROUND(RawSales[[#This Row],[cogs]],2)</f>
        <v>1</v>
      </c>
      <c r="U656" s="6" t="b">
        <f>ROUND(RawSales[[#This Row],[cogs]]*0.05,2)=ROUND(RawSales[[#This Row],[Tax 5%]],2)</f>
        <v>1</v>
      </c>
      <c r="V656" s="6" t="b">
        <f>ROUND(RawSales[[#This Row],[cogs]]+RawSales[[#This Row],[Tax 5%]],2)=ROUND(RawSales[[#This Row],[Sales]],2)</f>
        <v>1</v>
      </c>
    </row>
    <row r="657" spans="1:22" x14ac:dyDescent="0.35">
      <c r="A657" s="4" t="s">
        <v>1108</v>
      </c>
      <c r="B657" t="s">
        <v>20</v>
      </c>
      <c r="C657" t="s">
        <v>21</v>
      </c>
      <c r="D657" t="s">
        <v>30</v>
      </c>
      <c r="E657" t="s">
        <v>23</v>
      </c>
      <c r="F657" t="s">
        <v>49</v>
      </c>
      <c r="G657" s="6">
        <v>7305</v>
      </c>
      <c r="H657" s="7">
        <v>4</v>
      </c>
      <c r="I657" s="6">
        <v>1461</v>
      </c>
      <c r="J657" s="6">
        <v>30681</v>
      </c>
      <c r="K657" s="5">
        <v>43520.958333333336</v>
      </c>
      <c r="L657" s="4" t="s">
        <v>534</v>
      </c>
      <c r="M657" t="s">
        <v>51</v>
      </c>
      <c r="N657" s="6">
        <v>29220</v>
      </c>
      <c r="O657">
        <v>4.7619047620000003</v>
      </c>
      <c r="P657" s="6">
        <v>1461</v>
      </c>
      <c r="Q657">
        <v>4.9000000000000004</v>
      </c>
      <c r="R657" s="6">
        <f>RawSales[[#This Row],[Unit price]]*RawSales[[#This Row],[Quantity]]</f>
        <v>29220</v>
      </c>
      <c r="S657" s="6">
        <f>RawSales[[#This Row],[Subtotal]]*$B$1</f>
        <v>1461</v>
      </c>
      <c r="T657" s="6" t="b">
        <f>ROUND(RawSales[[#This Row],[Subtotal]],2)=ROUND(RawSales[[#This Row],[cogs]],2)</f>
        <v>1</v>
      </c>
      <c r="U657" s="6" t="b">
        <f>ROUND(RawSales[[#This Row],[cogs]]*0.05,2)=ROUND(RawSales[[#This Row],[Tax 5%]],2)</f>
        <v>1</v>
      </c>
      <c r="V657" s="6" t="b">
        <f>ROUND(RawSales[[#This Row],[cogs]]+RawSales[[#This Row],[Tax 5%]],2)=ROUND(RawSales[[#This Row],[Sales]],2)</f>
        <v>1</v>
      </c>
    </row>
    <row r="658" spans="1:22" x14ac:dyDescent="0.35">
      <c r="A658" s="4" t="s">
        <v>1109</v>
      </c>
      <c r="B658" t="s">
        <v>20</v>
      </c>
      <c r="C658" t="s">
        <v>21</v>
      </c>
      <c r="D658" t="s">
        <v>22</v>
      </c>
      <c r="E658" t="s">
        <v>23</v>
      </c>
      <c r="F658" t="s">
        <v>43</v>
      </c>
      <c r="G658" s="6">
        <v>1069</v>
      </c>
      <c r="H658" s="7">
        <v>5</v>
      </c>
      <c r="I658" s="6">
        <v>267.25</v>
      </c>
      <c r="J658" s="6">
        <v>5612.25</v>
      </c>
      <c r="K658" s="5">
        <v>43549.958333333336</v>
      </c>
      <c r="L658" s="4" t="s">
        <v>105</v>
      </c>
      <c r="M658" t="s">
        <v>34</v>
      </c>
      <c r="N658" s="6">
        <v>5345</v>
      </c>
      <c r="O658">
        <v>4.7619047620000003</v>
      </c>
      <c r="P658" s="6">
        <v>267.25</v>
      </c>
      <c r="Q658">
        <v>7.6</v>
      </c>
      <c r="R658" s="6">
        <f>RawSales[[#This Row],[Unit price]]*RawSales[[#This Row],[Quantity]]</f>
        <v>5345</v>
      </c>
      <c r="S658" s="6">
        <f>RawSales[[#This Row],[Subtotal]]*$B$1</f>
        <v>267.25</v>
      </c>
      <c r="T658" s="6" t="b">
        <f>ROUND(RawSales[[#This Row],[Subtotal]],2)=ROUND(RawSales[[#This Row],[cogs]],2)</f>
        <v>1</v>
      </c>
      <c r="U658" s="6" t="b">
        <f>ROUND(RawSales[[#This Row],[cogs]]*0.05,2)=ROUND(RawSales[[#This Row],[Tax 5%]],2)</f>
        <v>1</v>
      </c>
      <c r="V658" s="6" t="b">
        <f>ROUND(RawSales[[#This Row],[cogs]]+RawSales[[#This Row],[Tax 5%]],2)=ROUND(RawSales[[#This Row],[Sales]],2)</f>
        <v>1</v>
      </c>
    </row>
    <row r="659" spans="1:22" x14ac:dyDescent="0.35">
      <c r="A659" s="4" t="s">
        <v>1110</v>
      </c>
      <c r="B659" t="s">
        <v>38</v>
      </c>
      <c r="C659" t="s">
        <v>39</v>
      </c>
      <c r="D659" t="s">
        <v>22</v>
      </c>
      <c r="E659" t="s">
        <v>23</v>
      </c>
      <c r="F659" t="s">
        <v>49</v>
      </c>
      <c r="G659" s="6">
        <v>4422</v>
      </c>
      <c r="H659" s="7">
        <v>5</v>
      </c>
      <c r="I659" s="6">
        <v>1105.5</v>
      </c>
      <c r="J659" s="6">
        <v>23215.5</v>
      </c>
      <c r="K659" s="5">
        <v>43528.958333333336</v>
      </c>
      <c r="L659" s="4" t="s">
        <v>1111</v>
      </c>
      <c r="M659" t="s">
        <v>51</v>
      </c>
      <c r="N659" s="6">
        <v>22110</v>
      </c>
      <c r="O659">
        <v>4.7619047620000003</v>
      </c>
      <c r="P659" s="6">
        <v>1105.5</v>
      </c>
      <c r="Q659">
        <v>8.6</v>
      </c>
      <c r="R659" s="6">
        <f>RawSales[[#This Row],[Unit price]]*RawSales[[#This Row],[Quantity]]</f>
        <v>22110</v>
      </c>
      <c r="S659" s="6">
        <f>RawSales[[#This Row],[Subtotal]]*$B$1</f>
        <v>1105.5</v>
      </c>
      <c r="T659" s="6" t="b">
        <f>ROUND(RawSales[[#This Row],[Subtotal]],2)=ROUND(RawSales[[#This Row],[cogs]],2)</f>
        <v>1</v>
      </c>
      <c r="U659" s="6" t="b">
        <f>ROUND(RawSales[[#This Row],[cogs]]*0.05,2)=ROUND(RawSales[[#This Row],[Tax 5%]],2)</f>
        <v>1</v>
      </c>
      <c r="V659" s="6" t="b">
        <f>ROUND(RawSales[[#This Row],[cogs]]+RawSales[[#This Row],[Tax 5%]],2)=ROUND(RawSales[[#This Row],[Sales]],2)</f>
        <v>1</v>
      </c>
    </row>
    <row r="660" spans="1:22" x14ac:dyDescent="0.35">
      <c r="A660" s="4" t="s">
        <v>1112</v>
      </c>
      <c r="B660" t="s">
        <v>28</v>
      </c>
      <c r="C660" t="s">
        <v>29</v>
      </c>
      <c r="D660" t="s">
        <v>22</v>
      </c>
      <c r="E660" t="s">
        <v>23</v>
      </c>
      <c r="F660" t="s">
        <v>32</v>
      </c>
      <c r="G660" s="6">
        <v>3538</v>
      </c>
      <c r="H660" s="7">
        <v>9</v>
      </c>
      <c r="I660" s="6">
        <v>1592.1</v>
      </c>
      <c r="J660" s="6">
        <v>33434.1</v>
      </c>
      <c r="K660" s="5">
        <v>43469.958333333336</v>
      </c>
      <c r="L660" s="4" t="s">
        <v>1113</v>
      </c>
      <c r="M660" t="s">
        <v>51</v>
      </c>
      <c r="N660" s="6">
        <v>31842</v>
      </c>
      <c r="O660">
        <v>4.7619047620000003</v>
      </c>
      <c r="P660" s="6">
        <v>1592.1</v>
      </c>
      <c r="Q660">
        <v>9.6</v>
      </c>
      <c r="R660" s="6">
        <f>RawSales[[#This Row],[Unit price]]*RawSales[[#This Row],[Quantity]]</f>
        <v>31842</v>
      </c>
      <c r="S660" s="6">
        <f>RawSales[[#This Row],[Subtotal]]*$B$1</f>
        <v>1592.1000000000001</v>
      </c>
      <c r="T660" s="6" t="b">
        <f>ROUND(RawSales[[#This Row],[Subtotal]],2)=ROUND(RawSales[[#This Row],[cogs]],2)</f>
        <v>1</v>
      </c>
      <c r="U660" s="6" t="b">
        <f>ROUND(RawSales[[#This Row],[cogs]]*0.05,2)=ROUND(RawSales[[#This Row],[Tax 5%]],2)</f>
        <v>1</v>
      </c>
      <c r="V660" s="6" t="b">
        <f>ROUND(RawSales[[#This Row],[cogs]]+RawSales[[#This Row],[Tax 5%]],2)=ROUND(RawSales[[#This Row],[Sales]],2)</f>
        <v>1</v>
      </c>
    </row>
    <row r="661" spans="1:22" x14ac:dyDescent="0.35">
      <c r="A661" s="4" t="s">
        <v>1114</v>
      </c>
      <c r="B661" t="s">
        <v>20</v>
      </c>
      <c r="C661" t="s">
        <v>21</v>
      </c>
      <c r="D661" t="s">
        <v>22</v>
      </c>
      <c r="E661" t="s">
        <v>23</v>
      </c>
      <c r="F661" t="s">
        <v>62</v>
      </c>
      <c r="G661" s="6">
        <v>4247</v>
      </c>
      <c r="H661" s="7">
        <v>1</v>
      </c>
      <c r="I661" s="6">
        <v>212.35</v>
      </c>
      <c r="J661" s="6">
        <v>4459.3500000000004</v>
      </c>
      <c r="K661" s="5">
        <v>43466.958333333336</v>
      </c>
      <c r="L661" s="4" t="s">
        <v>1115</v>
      </c>
      <c r="M661" t="s">
        <v>26</v>
      </c>
      <c r="N661" s="6">
        <v>4247</v>
      </c>
      <c r="O661">
        <v>4.7619047620000003</v>
      </c>
      <c r="P661" s="6">
        <v>212.35</v>
      </c>
      <c r="Q661">
        <v>5.7</v>
      </c>
      <c r="R661" s="6">
        <f>RawSales[[#This Row],[Unit price]]*RawSales[[#This Row],[Quantity]]</f>
        <v>4247</v>
      </c>
      <c r="S661" s="6">
        <f>RawSales[[#This Row],[Subtotal]]*$B$1</f>
        <v>212.35000000000002</v>
      </c>
      <c r="T661" s="6" t="b">
        <f>ROUND(RawSales[[#This Row],[Subtotal]],2)=ROUND(RawSales[[#This Row],[cogs]],2)</f>
        <v>1</v>
      </c>
      <c r="U661" s="6" t="b">
        <f>ROUND(RawSales[[#This Row],[cogs]]*0.05,2)=ROUND(RawSales[[#This Row],[Tax 5%]],2)</f>
        <v>1</v>
      </c>
      <c r="V661" s="6" t="b">
        <f>ROUND(RawSales[[#This Row],[cogs]]+RawSales[[#This Row],[Tax 5%]],2)=ROUND(RawSales[[#This Row],[Sales]],2)</f>
        <v>1</v>
      </c>
    </row>
    <row r="662" spans="1:22" x14ac:dyDescent="0.35">
      <c r="A662" s="4" t="s">
        <v>1116</v>
      </c>
      <c r="B662" t="s">
        <v>38</v>
      </c>
      <c r="C662" t="s">
        <v>39</v>
      </c>
      <c r="D662" t="s">
        <v>30</v>
      </c>
      <c r="E662" t="s">
        <v>31</v>
      </c>
      <c r="F662" t="s">
        <v>40</v>
      </c>
      <c r="G662" s="6">
        <v>9637</v>
      </c>
      <c r="H662" s="7">
        <v>7</v>
      </c>
      <c r="I662" s="6">
        <v>3372.95</v>
      </c>
      <c r="J662" s="6">
        <v>70831.95</v>
      </c>
      <c r="K662" s="5">
        <v>43473.958333333336</v>
      </c>
      <c r="L662" s="4" t="s">
        <v>567</v>
      </c>
      <c r="M662" t="s">
        <v>26</v>
      </c>
      <c r="N662" s="6">
        <v>67459</v>
      </c>
      <c r="O662">
        <v>4.7619047620000003</v>
      </c>
      <c r="P662" s="6">
        <v>3372.95</v>
      </c>
      <c r="Q662">
        <v>6</v>
      </c>
      <c r="R662" s="6">
        <f>RawSales[[#This Row],[Unit price]]*RawSales[[#This Row],[Quantity]]</f>
        <v>67459</v>
      </c>
      <c r="S662" s="6">
        <f>RawSales[[#This Row],[Subtotal]]*$B$1</f>
        <v>3372.9500000000003</v>
      </c>
      <c r="T662" s="6" t="b">
        <f>ROUND(RawSales[[#This Row],[Subtotal]],2)=ROUND(RawSales[[#This Row],[cogs]],2)</f>
        <v>1</v>
      </c>
      <c r="U662" s="6" t="b">
        <f>ROUND(RawSales[[#This Row],[cogs]]*0.05,2)=ROUND(RawSales[[#This Row],[Tax 5%]],2)</f>
        <v>1</v>
      </c>
      <c r="V662" s="6" t="b">
        <f>ROUND(RawSales[[#This Row],[cogs]]+RawSales[[#This Row],[Tax 5%]],2)=ROUND(RawSales[[#This Row],[Sales]],2)</f>
        <v>1</v>
      </c>
    </row>
    <row r="663" spans="1:22" x14ac:dyDescent="0.35">
      <c r="A663" s="4" t="s">
        <v>1117</v>
      </c>
      <c r="B663" t="s">
        <v>20</v>
      </c>
      <c r="C663" t="s">
        <v>21</v>
      </c>
      <c r="D663" t="s">
        <v>30</v>
      </c>
      <c r="E663" t="s">
        <v>31</v>
      </c>
      <c r="F663" t="s">
        <v>46</v>
      </c>
      <c r="G663" s="6">
        <v>9809</v>
      </c>
      <c r="H663" s="7">
        <v>9</v>
      </c>
      <c r="I663" s="6">
        <v>4414.05</v>
      </c>
      <c r="J663" s="6">
        <v>92695.05</v>
      </c>
      <c r="K663" s="5">
        <v>43512.958333333336</v>
      </c>
      <c r="L663" s="4" t="s">
        <v>1118</v>
      </c>
      <c r="M663" t="s">
        <v>26</v>
      </c>
      <c r="N663" s="6">
        <v>88281</v>
      </c>
      <c r="O663">
        <v>4.7619047620000003</v>
      </c>
      <c r="P663" s="6">
        <v>4414.05</v>
      </c>
      <c r="Q663">
        <v>9.3000000000000007</v>
      </c>
      <c r="R663" s="6">
        <f>RawSales[[#This Row],[Unit price]]*RawSales[[#This Row],[Quantity]]</f>
        <v>88281</v>
      </c>
      <c r="S663" s="6">
        <f>RawSales[[#This Row],[Subtotal]]*$B$1</f>
        <v>4414.05</v>
      </c>
      <c r="T663" s="6" t="b">
        <f>ROUND(RawSales[[#This Row],[Subtotal]],2)=ROUND(RawSales[[#This Row],[cogs]],2)</f>
        <v>1</v>
      </c>
      <c r="U663" s="6" t="b">
        <f>ROUND(RawSales[[#This Row],[cogs]]*0.05,2)=ROUND(RawSales[[#This Row],[Tax 5%]],2)</f>
        <v>1</v>
      </c>
      <c r="V663" s="6" t="b">
        <f>ROUND(RawSales[[#This Row],[cogs]]+RawSales[[#This Row],[Tax 5%]],2)=ROUND(RawSales[[#This Row],[Sales]],2)</f>
        <v>1</v>
      </c>
    </row>
    <row r="664" spans="1:22" x14ac:dyDescent="0.35">
      <c r="A664" s="4" t="s">
        <v>1119</v>
      </c>
      <c r="B664" t="s">
        <v>28</v>
      </c>
      <c r="C664" t="s">
        <v>29</v>
      </c>
      <c r="D664" t="s">
        <v>30</v>
      </c>
      <c r="E664" t="s">
        <v>23</v>
      </c>
      <c r="F664" t="s">
        <v>24</v>
      </c>
      <c r="G664" s="6">
        <v>6777</v>
      </c>
      <c r="H664" s="7">
        <v>1</v>
      </c>
      <c r="I664" s="6">
        <v>338.85</v>
      </c>
      <c r="J664" s="6">
        <v>7115.85</v>
      </c>
      <c r="K664" s="5">
        <v>43499.958333333336</v>
      </c>
      <c r="L664" s="4" t="s">
        <v>1039</v>
      </c>
      <c r="M664" t="s">
        <v>51</v>
      </c>
      <c r="N664" s="6">
        <v>6777</v>
      </c>
      <c r="O664">
        <v>4.7619047620000003</v>
      </c>
      <c r="P664" s="6">
        <v>338.85</v>
      </c>
      <c r="Q664">
        <v>6.5</v>
      </c>
      <c r="R664" s="6">
        <f>RawSales[[#This Row],[Unit price]]*RawSales[[#This Row],[Quantity]]</f>
        <v>6777</v>
      </c>
      <c r="S664" s="6">
        <f>RawSales[[#This Row],[Subtotal]]*$B$1</f>
        <v>338.85</v>
      </c>
      <c r="T664" s="6" t="b">
        <f>ROUND(RawSales[[#This Row],[Subtotal]],2)=ROUND(RawSales[[#This Row],[cogs]],2)</f>
        <v>1</v>
      </c>
      <c r="U664" s="6" t="b">
        <f>ROUND(RawSales[[#This Row],[cogs]]*0.05,2)=ROUND(RawSales[[#This Row],[Tax 5%]],2)</f>
        <v>1</v>
      </c>
      <c r="V664" s="6" t="b">
        <f>ROUND(RawSales[[#This Row],[cogs]]+RawSales[[#This Row],[Tax 5%]],2)=ROUND(RawSales[[#This Row],[Sales]],2)</f>
        <v>1</v>
      </c>
    </row>
    <row r="665" spans="1:22" x14ac:dyDescent="0.35">
      <c r="A665" s="4" t="s">
        <v>1120</v>
      </c>
      <c r="B665" t="s">
        <v>20</v>
      </c>
      <c r="C665" t="s">
        <v>21</v>
      </c>
      <c r="D665" t="s">
        <v>22</v>
      </c>
      <c r="E665" t="s">
        <v>31</v>
      </c>
      <c r="F665" t="s">
        <v>32</v>
      </c>
      <c r="G665" s="6">
        <v>7074</v>
      </c>
      <c r="H665" s="7">
        <v>4</v>
      </c>
      <c r="I665" s="6">
        <v>1414.8</v>
      </c>
      <c r="J665" s="6">
        <v>29710.799999999999</v>
      </c>
      <c r="K665" s="5">
        <v>43469.958333333336</v>
      </c>
      <c r="L665" s="4" t="s">
        <v>1121</v>
      </c>
      <c r="M665" t="s">
        <v>51</v>
      </c>
      <c r="N665" s="6">
        <v>28296</v>
      </c>
      <c r="O665">
        <v>4.7619047620000003</v>
      </c>
      <c r="P665" s="6">
        <v>1414.8</v>
      </c>
      <c r="Q665">
        <v>4.4000000000000004</v>
      </c>
      <c r="R665" s="6">
        <f>RawSales[[#This Row],[Unit price]]*RawSales[[#This Row],[Quantity]]</f>
        <v>28296</v>
      </c>
      <c r="S665" s="6">
        <f>RawSales[[#This Row],[Subtotal]]*$B$1</f>
        <v>1414.8000000000002</v>
      </c>
      <c r="T665" s="6" t="b">
        <f>ROUND(RawSales[[#This Row],[Subtotal]],2)=ROUND(RawSales[[#This Row],[cogs]],2)</f>
        <v>1</v>
      </c>
      <c r="U665" s="6" t="b">
        <f>ROUND(RawSales[[#This Row],[cogs]]*0.05,2)=ROUND(RawSales[[#This Row],[Tax 5%]],2)</f>
        <v>1</v>
      </c>
      <c r="V665" s="6" t="b">
        <f>ROUND(RawSales[[#This Row],[cogs]]+RawSales[[#This Row],[Tax 5%]],2)=ROUND(RawSales[[#This Row],[Sales]],2)</f>
        <v>1</v>
      </c>
    </row>
    <row r="666" spans="1:22" x14ac:dyDescent="0.35">
      <c r="A666" s="4" t="s">
        <v>1122</v>
      </c>
      <c r="B666" t="s">
        <v>38</v>
      </c>
      <c r="C666" t="s">
        <v>39</v>
      </c>
      <c r="D666" t="s">
        <v>22</v>
      </c>
      <c r="E666" t="s">
        <v>23</v>
      </c>
      <c r="F666" t="s">
        <v>43</v>
      </c>
      <c r="G666" s="6">
        <v>5492</v>
      </c>
      <c r="H666" s="7">
        <v>8</v>
      </c>
      <c r="I666" s="6">
        <v>2196.8000000000002</v>
      </c>
      <c r="J666" s="6">
        <v>46132.800000000003</v>
      </c>
      <c r="K666" s="5">
        <v>43546.958333333336</v>
      </c>
      <c r="L666" s="4" t="s">
        <v>595</v>
      </c>
      <c r="M666" t="s">
        <v>34</v>
      </c>
      <c r="N666" s="6">
        <v>43936</v>
      </c>
      <c r="O666">
        <v>4.7619047620000003</v>
      </c>
      <c r="P666" s="6">
        <v>2196.8000000000002</v>
      </c>
      <c r="Q666">
        <v>7.6</v>
      </c>
      <c r="R666" s="6">
        <f>RawSales[[#This Row],[Unit price]]*RawSales[[#This Row],[Quantity]]</f>
        <v>43936</v>
      </c>
      <c r="S666" s="6">
        <f>RawSales[[#This Row],[Subtotal]]*$B$1</f>
        <v>2196.8000000000002</v>
      </c>
      <c r="T666" s="6" t="b">
        <f>ROUND(RawSales[[#This Row],[Subtotal]],2)=ROUND(RawSales[[#This Row],[cogs]],2)</f>
        <v>1</v>
      </c>
      <c r="U666" s="6" t="b">
        <f>ROUND(RawSales[[#This Row],[cogs]]*0.05,2)=ROUND(RawSales[[#This Row],[Tax 5%]],2)</f>
        <v>1</v>
      </c>
      <c r="V666" s="6" t="b">
        <f>ROUND(RawSales[[#This Row],[cogs]]+RawSales[[#This Row],[Tax 5%]],2)=ROUND(RawSales[[#This Row],[Sales]],2)</f>
        <v>1</v>
      </c>
    </row>
    <row r="667" spans="1:22" x14ac:dyDescent="0.35">
      <c r="A667" s="4" t="s">
        <v>1123</v>
      </c>
      <c r="B667" t="s">
        <v>20</v>
      </c>
      <c r="C667" t="s">
        <v>21</v>
      </c>
      <c r="D667" t="s">
        <v>30</v>
      </c>
      <c r="E667" t="s">
        <v>31</v>
      </c>
      <c r="F667" t="s">
        <v>49</v>
      </c>
      <c r="G667" s="6">
        <v>8324</v>
      </c>
      <c r="H667" s="7">
        <v>9</v>
      </c>
      <c r="I667" s="6">
        <v>3745.8</v>
      </c>
      <c r="J667" s="6">
        <v>78661.8</v>
      </c>
      <c r="K667" s="5">
        <v>43493.958333333336</v>
      </c>
      <c r="L667" s="4" t="s">
        <v>1124</v>
      </c>
      <c r="M667" t="s">
        <v>51</v>
      </c>
      <c r="N667" s="6">
        <v>74916</v>
      </c>
      <c r="O667">
        <v>4.7619047620000003</v>
      </c>
      <c r="P667" s="6">
        <v>3745.8</v>
      </c>
      <c r="Q667">
        <v>7.4</v>
      </c>
      <c r="R667" s="6">
        <f>RawSales[[#This Row],[Unit price]]*RawSales[[#This Row],[Quantity]]</f>
        <v>74916</v>
      </c>
      <c r="S667" s="6">
        <f>RawSales[[#This Row],[Subtotal]]*$B$1</f>
        <v>3745.8</v>
      </c>
      <c r="T667" s="6" t="b">
        <f>ROUND(RawSales[[#This Row],[Subtotal]],2)=ROUND(RawSales[[#This Row],[cogs]],2)</f>
        <v>1</v>
      </c>
      <c r="U667" s="6" t="b">
        <f>ROUND(RawSales[[#This Row],[cogs]]*0.05,2)=ROUND(RawSales[[#This Row],[Tax 5%]],2)</f>
        <v>1</v>
      </c>
      <c r="V667" s="6" t="b">
        <f>ROUND(RawSales[[#This Row],[cogs]]+RawSales[[#This Row],[Tax 5%]],2)=ROUND(RawSales[[#This Row],[Sales]],2)</f>
        <v>1</v>
      </c>
    </row>
    <row r="668" spans="1:22" x14ac:dyDescent="0.35">
      <c r="A668" s="4" t="s">
        <v>1125</v>
      </c>
      <c r="B668" t="s">
        <v>38</v>
      </c>
      <c r="C668" t="s">
        <v>39</v>
      </c>
      <c r="D668" t="s">
        <v>22</v>
      </c>
      <c r="E668" t="s">
        <v>23</v>
      </c>
      <c r="F668" t="s">
        <v>43</v>
      </c>
      <c r="G668" s="6">
        <v>2038</v>
      </c>
      <c r="H668" s="7">
        <v>5</v>
      </c>
      <c r="I668" s="6">
        <v>509.5</v>
      </c>
      <c r="J668" s="6">
        <v>10699.5</v>
      </c>
      <c r="K668" s="5">
        <v>43486.958333333336</v>
      </c>
      <c r="L668" s="4" t="s">
        <v>1126</v>
      </c>
      <c r="M668" t="s">
        <v>26</v>
      </c>
      <c r="N668" s="6">
        <v>10190</v>
      </c>
      <c r="O668">
        <v>4.7619047620000003</v>
      </c>
      <c r="P668" s="6">
        <v>509.5</v>
      </c>
      <c r="Q668">
        <v>6</v>
      </c>
      <c r="R668" s="6">
        <f>RawSales[[#This Row],[Unit price]]*RawSales[[#This Row],[Quantity]]</f>
        <v>10190</v>
      </c>
      <c r="S668" s="6">
        <f>RawSales[[#This Row],[Subtotal]]*$B$1</f>
        <v>509.5</v>
      </c>
      <c r="T668" s="6" t="b">
        <f>ROUND(RawSales[[#This Row],[Subtotal]],2)=ROUND(RawSales[[#This Row],[cogs]],2)</f>
        <v>1</v>
      </c>
      <c r="U668" s="6" t="b">
        <f>ROUND(RawSales[[#This Row],[cogs]]*0.05,2)=ROUND(RawSales[[#This Row],[Tax 5%]],2)</f>
        <v>1</v>
      </c>
      <c r="V668" s="6" t="b">
        <f>ROUND(RawSales[[#This Row],[cogs]]+RawSales[[#This Row],[Tax 5%]],2)=ROUND(RawSales[[#This Row],[Sales]],2)</f>
        <v>1</v>
      </c>
    </row>
    <row r="669" spans="1:22" x14ac:dyDescent="0.35">
      <c r="A669" s="4" t="s">
        <v>1127</v>
      </c>
      <c r="B669" t="s">
        <v>20</v>
      </c>
      <c r="C669" t="s">
        <v>21</v>
      </c>
      <c r="D669" t="s">
        <v>22</v>
      </c>
      <c r="E669" t="s">
        <v>23</v>
      </c>
      <c r="F669" t="s">
        <v>32</v>
      </c>
      <c r="G669" s="6">
        <v>9065</v>
      </c>
      <c r="H669" s="7">
        <v>10</v>
      </c>
      <c r="I669" s="6">
        <v>4532.5</v>
      </c>
      <c r="J669" s="6">
        <v>95182.5</v>
      </c>
      <c r="K669" s="5">
        <v>43531.958333333336</v>
      </c>
      <c r="L669" s="4" t="s">
        <v>836</v>
      </c>
      <c r="M669" t="s">
        <v>34</v>
      </c>
      <c r="N669" s="6">
        <v>90650</v>
      </c>
      <c r="O669">
        <v>4.7619047620000003</v>
      </c>
      <c r="P669" s="6">
        <v>4532.5</v>
      </c>
      <c r="Q669">
        <v>7.3</v>
      </c>
      <c r="R669" s="6">
        <f>RawSales[[#This Row],[Unit price]]*RawSales[[#This Row],[Quantity]]</f>
        <v>90650</v>
      </c>
      <c r="S669" s="6">
        <f>RawSales[[#This Row],[Subtotal]]*$B$1</f>
        <v>4532.5</v>
      </c>
      <c r="T669" s="6" t="b">
        <f>ROUND(RawSales[[#This Row],[Subtotal]],2)=ROUND(RawSales[[#This Row],[cogs]],2)</f>
        <v>1</v>
      </c>
      <c r="U669" s="6" t="b">
        <f>ROUND(RawSales[[#This Row],[cogs]]*0.05,2)=ROUND(RawSales[[#This Row],[Tax 5%]],2)</f>
        <v>1</v>
      </c>
      <c r="V669" s="6" t="b">
        <f>ROUND(RawSales[[#This Row],[cogs]]+RawSales[[#This Row],[Tax 5%]],2)=ROUND(RawSales[[#This Row],[Sales]],2)</f>
        <v>1</v>
      </c>
    </row>
    <row r="670" spans="1:22" x14ac:dyDescent="0.35">
      <c r="A670" s="4" t="s">
        <v>1128</v>
      </c>
      <c r="B670" t="s">
        <v>20</v>
      </c>
      <c r="C670" t="s">
        <v>21</v>
      </c>
      <c r="D670" t="s">
        <v>30</v>
      </c>
      <c r="E670" t="s">
        <v>31</v>
      </c>
      <c r="F670" t="s">
        <v>100</v>
      </c>
      <c r="G670" s="6">
        <v>5977</v>
      </c>
      <c r="H670" s="7">
        <v>2</v>
      </c>
      <c r="I670" s="6">
        <v>597.70000000000005</v>
      </c>
      <c r="J670" s="6">
        <v>12551.7</v>
      </c>
      <c r="K670" s="5">
        <v>43534.958333333336</v>
      </c>
      <c r="L670" s="4" t="s">
        <v>1129</v>
      </c>
      <c r="M670" t="s">
        <v>51</v>
      </c>
      <c r="N670" s="6">
        <v>11954</v>
      </c>
      <c r="O670">
        <v>4.7619047620000003</v>
      </c>
      <c r="P670" s="6">
        <v>597.70000000000005</v>
      </c>
      <c r="Q670">
        <v>5.8</v>
      </c>
      <c r="R670" s="6">
        <f>RawSales[[#This Row],[Unit price]]*RawSales[[#This Row],[Quantity]]</f>
        <v>11954</v>
      </c>
      <c r="S670" s="6">
        <f>RawSales[[#This Row],[Subtotal]]*$B$1</f>
        <v>597.70000000000005</v>
      </c>
      <c r="T670" s="6" t="b">
        <f>ROUND(RawSales[[#This Row],[Subtotal]],2)=ROUND(RawSales[[#This Row],[cogs]],2)</f>
        <v>1</v>
      </c>
      <c r="U670" s="6" t="b">
        <f>ROUND(RawSales[[#This Row],[cogs]]*0.05,2)=ROUND(RawSales[[#This Row],[Tax 5%]],2)</f>
        <v>1</v>
      </c>
      <c r="V670" s="6" t="b">
        <f>ROUND(RawSales[[#This Row],[cogs]]+RawSales[[#This Row],[Tax 5%]],2)=ROUND(RawSales[[#This Row],[Sales]],2)</f>
        <v>1</v>
      </c>
    </row>
    <row r="671" spans="1:22" x14ac:dyDescent="0.35">
      <c r="A671" s="4" t="s">
        <v>1130</v>
      </c>
      <c r="B671" t="s">
        <v>38</v>
      </c>
      <c r="C671" t="s">
        <v>39</v>
      </c>
      <c r="D671" t="s">
        <v>22</v>
      </c>
      <c r="E671" t="s">
        <v>23</v>
      </c>
      <c r="F671" t="s">
        <v>49</v>
      </c>
      <c r="G671" s="6">
        <v>8335</v>
      </c>
      <c r="H671" s="7">
        <v>2</v>
      </c>
      <c r="I671" s="6">
        <v>833.5</v>
      </c>
      <c r="J671" s="6">
        <v>17503.5</v>
      </c>
      <c r="K671" s="5">
        <v>43497.958333333336</v>
      </c>
      <c r="L671" s="4" t="s">
        <v>1131</v>
      </c>
      <c r="M671" t="s">
        <v>51</v>
      </c>
      <c r="N671" s="6">
        <v>16670</v>
      </c>
      <c r="O671">
        <v>4.7619047620000003</v>
      </c>
      <c r="P671" s="6">
        <v>833.5</v>
      </c>
      <c r="Q671">
        <v>9.5</v>
      </c>
      <c r="R671" s="6">
        <f>RawSales[[#This Row],[Unit price]]*RawSales[[#This Row],[Quantity]]</f>
        <v>16670</v>
      </c>
      <c r="S671" s="6">
        <f>RawSales[[#This Row],[Subtotal]]*$B$1</f>
        <v>833.5</v>
      </c>
      <c r="T671" s="6" t="b">
        <f>ROUND(RawSales[[#This Row],[Subtotal]],2)=ROUND(RawSales[[#This Row],[cogs]],2)</f>
        <v>1</v>
      </c>
      <c r="U671" s="6" t="b">
        <f>ROUND(RawSales[[#This Row],[cogs]]*0.05,2)=ROUND(RawSales[[#This Row],[Tax 5%]],2)</f>
        <v>1</v>
      </c>
      <c r="V671" s="6" t="b">
        <f>ROUND(RawSales[[#This Row],[cogs]]+RawSales[[#This Row],[Tax 5%]],2)=ROUND(RawSales[[#This Row],[Sales]],2)</f>
        <v>1</v>
      </c>
    </row>
    <row r="672" spans="1:22" x14ac:dyDescent="0.35">
      <c r="A672" s="4" t="s">
        <v>1132</v>
      </c>
      <c r="B672" t="s">
        <v>20</v>
      </c>
      <c r="C672" t="s">
        <v>21</v>
      </c>
      <c r="D672" t="s">
        <v>30</v>
      </c>
      <c r="E672" t="s">
        <v>23</v>
      </c>
      <c r="F672" t="s">
        <v>239</v>
      </c>
      <c r="G672" s="6">
        <v>7793</v>
      </c>
      <c r="H672" s="7">
        <v>9</v>
      </c>
      <c r="I672" s="6">
        <v>3506.85</v>
      </c>
      <c r="J672" s="6">
        <v>73643.850000000006</v>
      </c>
      <c r="K672" s="5">
        <v>43522.958333333336</v>
      </c>
      <c r="L672" s="4" t="s">
        <v>1133</v>
      </c>
      <c r="M672" t="s">
        <v>34</v>
      </c>
      <c r="N672" s="6">
        <v>70137</v>
      </c>
      <c r="O672">
        <v>4.7619047620000003</v>
      </c>
      <c r="P672" s="6">
        <v>3506.85</v>
      </c>
      <c r="Q672">
        <v>7.6</v>
      </c>
      <c r="R672" s="6">
        <f>RawSales[[#This Row],[Unit price]]*RawSales[[#This Row],[Quantity]]</f>
        <v>70137</v>
      </c>
      <c r="S672" s="6">
        <f>RawSales[[#This Row],[Subtotal]]*$B$1</f>
        <v>3506.8500000000004</v>
      </c>
      <c r="T672" s="6" t="b">
        <f>ROUND(RawSales[[#This Row],[Subtotal]],2)=ROUND(RawSales[[#This Row],[cogs]],2)</f>
        <v>1</v>
      </c>
      <c r="U672" s="6" t="b">
        <f>ROUND(RawSales[[#This Row],[cogs]]*0.05,2)=ROUND(RawSales[[#This Row],[Tax 5%]],2)</f>
        <v>1</v>
      </c>
      <c r="V672" s="6" t="b">
        <f>ROUND(RawSales[[#This Row],[cogs]]+RawSales[[#This Row],[Tax 5%]],2)=ROUND(RawSales[[#This Row],[Sales]],2)</f>
        <v>1</v>
      </c>
    </row>
    <row r="673" spans="1:22" x14ac:dyDescent="0.35">
      <c r="A673" s="4" t="s">
        <v>721</v>
      </c>
      <c r="B673" t="s">
        <v>28</v>
      </c>
      <c r="C673" t="s">
        <v>29</v>
      </c>
      <c r="D673" t="s">
        <v>30</v>
      </c>
      <c r="E673" t="s">
        <v>31</v>
      </c>
      <c r="F673" t="s">
        <v>24</v>
      </c>
      <c r="G673" s="6">
        <v>1979</v>
      </c>
      <c r="H673" s="7">
        <v>8</v>
      </c>
      <c r="I673" s="6">
        <v>791.6</v>
      </c>
      <c r="J673" s="6">
        <v>16623.599999999999</v>
      </c>
      <c r="K673" s="5">
        <v>43482.958333333336</v>
      </c>
      <c r="L673" s="4" t="s">
        <v>400</v>
      </c>
      <c r="M673" t="s">
        <v>34</v>
      </c>
      <c r="N673" s="6">
        <v>15832</v>
      </c>
      <c r="O673">
        <v>4.7619047620000003</v>
      </c>
      <c r="P673" s="6">
        <v>791.6</v>
      </c>
      <c r="Q673">
        <v>8.6999999999999993</v>
      </c>
      <c r="R673" s="6">
        <f>RawSales[[#This Row],[Unit price]]*RawSales[[#This Row],[Quantity]]</f>
        <v>15832</v>
      </c>
      <c r="S673" s="6">
        <f>RawSales[[#This Row],[Subtotal]]*$B$1</f>
        <v>791.6</v>
      </c>
      <c r="T673" s="6" t="b">
        <f>ROUND(RawSales[[#This Row],[Subtotal]],2)=ROUND(RawSales[[#This Row],[cogs]],2)</f>
        <v>1</v>
      </c>
      <c r="U673" s="6" t="b">
        <f>ROUND(RawSales[[#This Row],[cogs]]*0.05,2)=ROUND(RawSales[[#This Row],[Tax 5%]],2)</f>
        <v>1</v>
      </c>
      <c r="V673" s="6" t="b">
        <f>ROUND(RawSales[[#This Row],[cogs]]+RawSales[[#This Row],[Tax 5%]],2)=ROUND(RawSales[[#This Row],[Sales]],2)</f>
        <v>1</v>
      </c>
    </row>
    <row r="674" spans="1:22" x14ac:dyDescent="0.35">
      <c r="A674" s="4" t="s">
        <v>1134</v>
      </c>
      <c r="B674" t="s">
        <v>28</v>
      </c>
      <c r="C674" t="s">
        <v>29</v>
      </c>
      <c r="D674" t="s">
        <v>30</v>
      </c>
      <c r="E674" t="s">
        <v>23</v>
      </c>
      <c r="F674" t="s">
        <v>32</v>
      </c>
      <c r="G674" s="6">
        <v>5107</v>
      </c>
      <c r="H674" s="7">
        <v>7</v>
      </c>
      <c r="I674" s="6">
        <v>1787.45</v>
      </c>
      <c r="J674" s="6">
        <v>37536.449999999997</v>
      </c>
      <c r="K674" s="5">
        <v>43476.958333333336</v>
      </c>
      <c r="L674" s="4" t="s">
        <v>237</v>
      </c>
      <c r="M674" t="s">
        <v>26</v>
      </c>
      <c r="N674" s="6">
        <v>35749</v>
      </c>
      <c r="O674">
        <v>4.7619047620000003</v>
      </c>
      <c r="P674" s="6">
        <v>1787.45</v>
      </c>
      <c r="Q674">
        <v>7</v>
      </c>
      <c r="R674" s="6">
        <f>RawSales[[#This Row],[Unit price]]*RawSales[[#This Row],[Quantity]]</f>
        <v>35749</v>
      </c>
      <c r="S674" s="6">
        <f>RawSales[[#This Row],[Subtotal]]*$B$1</f>
        <v>1787.45</v>
      </c>
      <c r="T674" s="6" t="b">
        <f>ROUND(RawSales[[#This Row],[Subtotal]],2)=ROUND(RawSales[[#This Row],[cogs]],2)</f>
        <v>1</v>
      </c>
      <c r="U674" s="6" t="b">
        <f>ROUND(RawSales[[#This Row],[cogs]]*0.05,2)=ROUND(RawSales[[#This Row],[Tax 5%]],2)</f>
        <v>1</v>
      </c>
      <c r="V674" s="6" t="b">
        <f>ROUND(RawSales[[#This Row],[cogs]]+RawSales[[#This Row],[Tax 5%]],2)=ROUND(RawSales[[#This Row],[Sales]],2)</f>
        <v>1</v>
      </c>
    </row>
    <row r="675" spans="1:22" x14ac:dyDescent="0.35">
      <c r="A675" s="4" t="s">
        <v>1135</v>
      </c>
      <c r="B675" t="s">
        <v>28</v>
      </c>
      <c r="C675" t="s">
        <v>29</v>
      </c>
      <c r="D675" t="s">
        <v>22</v>
      </c>
      <c r="E675" t="s">
        <v>23</v>
      </c>
      <c r="F675" t="s">
        <v>62</v>
      </c>
      <c r="G675" s="6">
        <v>4850</v>
      </c>
      <c r="H675" s="7">
        <v>3</v>
      </c>
      <c r="I675" s="6">
        <v>727.5</v>
      </c>
      <c r="J675" s="6">
        <v>15277.5</v>
      </c>
      <c r="K675" s="5">
        <v>43472.958333333336</v>
      </c>
      <c r="L675" s="4" t="s">
        <v>157</v>
      </c>
      <c r="M675" t="s">
        <v>26</v>
      </c>
      <c r="N675" s="6">
        <v>14550</v>
      </c>
      <c r="O675">
        <v>4.7619047620000003</v>
      </c>
      <c r="P675" s="6">
        <v>727.5</v>
      </c>
      <c r="Q675">
        <v>6.7</v>
      </c>
      <c r="R675" s="6">
        <f>RawSales[[#This Row],[Unit price]]*RawSales[[#This Row],[Quantity]]</f>
        <v>14550</v>
      </c>
      <c r="S675" s="6">
        <f>RawSales[[#This Row],[Subtotal]]*$B$1</f>
        <v>727.5</v>
      </c>
      <c r="T675" s="6" t="b">
        <f>ROUND(RawSales[[#This Row],[Subtotal]],2)=ROUND(RawSales[[#This Row],[cogs]],2)</f>
        <v>1</v>
      </c>
      <c r="U675" s="6" t="b">
        <f>ROUND(RawSales[[#This Row],[cogs]]*0.05,2)=ROUND(RawSales[[#This Row],[Tax 5%]],2)</f>
        <v>1</v>
      </c>
      <c r="V675" s="6" t="b">
        <f>ROUND(RawSales[[#This Row],[cogs]]+RawSales[[#This Row],[Tax 5%]],2)=ROUND(RawSales[[#This Row],[Sales]],2)</f>
        <v>1</v>
      </c>
    </row>
    <row r="676" spans="1:22" x14ac:dyDescent="0.35">
      <c r="A676" s="4" t="s">
        <v>1136</v>
      </c>
      <c r="B676" t="s">
        <v>28</v>
      </c>
      <c r="C676" t="s">
        <v>29</v>
      </c>
      <c r="D676" t="s">
        <v>30</v>
      </c>
      <c r="E676" t="s">
        <v>31</v>
      </c>
      <c r="F676" t="s">
        <v>32</v>
      </c>
      <c r="G676" s="6">
        <v>7328</v>
      </c>
      <c r="H676" s="7">
        <v>5</v>
      </c>
      <c r="I676" s="6">
        <v>1832</v>
      </c>
      <c r="J676" s="6">
        <v>38472</v>
      </c>
      <c r="K676" s="5">
        <v>43488.958333333336</v>
      </c>
      <c r="L676" s="4" t="s">
        <v>1104</v>
      </c>
      <c r="M676" t="s">
        <v>34</v>
      </c>
      <c r="N676" s="6">
        <v>36640</v>
      </c>
      <c r="O676">
        <v>4.7619047620000003</v>
      </c>
      <c r="P676" s="6">
        <v>1832</v>
      </c>
      <c r="Q676">
        <v>8.4</v>
      </c>
      <c r="R676" s="6">
        <f>RawSales[[#This Row],[Unit price]]*RawSales[[#This Row],[Quantity]]</f>
        <v>36640</v>
      </c>
      <c r="S676" s="6">
        <f>RawSales[[#This Row],[Subtotal]]*$B$1</f>
        <v>1832</v>
      </c>
      <c r="T676" s="6" t="b">
        <f>ROUND(RawSales[[#This Row],[Subtotal]],2)=ROUND(RawSales[[#This Row],[cogs]],2)</f>
        <v>1</v>
      </c>
      <c r="U676" s="6" t="b">
        <f>ROUND(RawSales[[#This Row],[cogs]]*0.05,2)=ROUND(RawSales[[#This Row],[Tax 5%]],2)</f>
        <v>1</v>
      </c>
      <c r="V676" s="6" t="b">
        <f>ROUND(RawSales[[#This Row],[cogs]]+RawSales[[#This Row],[Tax 5%]],2)=ROUND(RawSales[[#This Row],[Sales]],2)</f>
        <v>1</v>
      </c>
    </row>
    <row r="677" spans="1:22" x14ac:dyDescent="0.35">
      <c r="A677" s="4" t="s">
        <v>1137</v>
      </c>
      <c r="B677" t="s">
        <v>20</v>
      </c>
      <c r="C677" t="s">
        <v>21</v>
      </c>
      <c r="D677" t="s">
        <v>22</v>
      </c>
      <c r="E677" t="s">
        <v>23</v>
      </c>
      <c r="F677" t="s">
        <v>62</v>
      </c>
      <c r="G677" s="6">
        <v>8863</v>
      </c>
      <c r="H677" s="7">
        <v>3</v>
      </c>
      <c r="I677" s="6">
        <v>1329.45</v>
      </c>
      <c r="J677" s="6">
        <v>27918.45</v>
      </c>
      <c r="K677" s="5">
        <v>43525.958333333336</v>
      </c>
      <c r="L677" s="4" t="s">
        <v>484</v>
      </c>
      <c r="M677" t="s">
        <v>34</v>
      </c>
      <c r="N677" s="6">
        <v>26589</v>
      </c>
      <c r="O677">
        <v>4.7619047620000003</v>
      </c>
      <c r="P677" s="6">
        <v>1329.45</v>
      </c>
      <c r="Q677">
        <v>6</v>
      </c>
      <c r="R677" s="6">
        <f>RawSales[[#This Row],[Unit price]]*RawSales[[#This Row],[Quantity]]</f>
        <v>26589</v>
      </c>
      <c r="S677" s="6">
        <f>RawSales[[#This Row],[Subtotal]]*$B$1</f>
        <v>1329.45</v>
      </c>
      <c r="T677" s="6" t="b">
        <f>ROUND(RawSales[[#This Row],[Subtotal]],2)=ROUND(RawSales[[#This Row],[cogs]],2)</f>
        <v>1</v>
      </c>
      <c r="U677" s="6" t="b">
        <f>ROUND(RawSales[[#This Row],[cogs]]*0.05,2)=ROUND(RawSales[[#This Row],[Tax 5%]],2)</f>
        <v>1</v>
      </c>
      <c r="V677" s="6" t="b">
        <f>ROUND(RawSales[[#This Row],[cogs]]+RawSales[[#This Row],[Tax 5%]],2)=ROUND(RawSales[[#This Row],[Sales]],2)</f>
        <v>1</v>
      </c>
    </row>
    <row r="678" spans="1:22" x14ac:dyDescent="0.35">
      <c r="A678" s="4" t="s">
        <v>1138</v>
      </c>
      <c r="B678" t="s">
        <v>20</v>
      </c>
      <c r="C678" t="s">
        <v>21</v>
      </c>
      <c r="D678" t="s">
        <v>30</v>
      </c>
      <c r="E678" t="s">
        <v>31</v>
      </c>
      <c r="F678" t="s">
        <v>62</v>
      </c>
      <c r="G678" s="6">
        <v>6369</v>
      </c>
      <c r="H678" s="7">
        <v>1</v>
      </c>
      <c r="I678" s="6">
        <v>318.45</v>
      </c>
      <c r="J678" s="6">
        <v>6687.45</v>
      </c>
      <c r="K678" s="5">
        <v>43520.958333333336</v>
      </c>
      <c r="L678" s="4" t="s">
        <v>1139</v>
      </c>
      <c r="M678" t="s">
        <v>26</v>
      </c>
      <c r="N678" s="6">
        <v>6369</v>
      </c>
      <c r="O678">
        <v>4.7619047620000003</v>
      </c>
      <c r="P678" s="6">
        <v>318.45</v>
      </c>
      <c r="Q678">
        <v>6</v>
      </c>
      <c r="R678" s="6">
        <f>RawSales[[#This Row],[Unit price]]*RawSales[[#This Row],[Quantity]]</f>
        <v>6369</v>
      </c>
      <c r="S678" s="6">
        <f>RawSales[[#This Row],[Subtotal]]*$B$1</f>
        <v>318.45000000000005</v>
      </c>
      <c r="T678" s="6" t="b">
        <f>ROUND(RawSales[[#This Row],[Subtotal]],2)=ROUND(RawSales[[#This Row],[cogs]],2)</f>
        <v>1</v>
      </c>
      <c r="U678" s="6" t="b">
        <f>ROUND(RawSales[[#This Row],[cogs]]*0.05,2)=ROUND(RawSales[[#This Row],[Tax 5%]],2)</f>
        <v>1</v>
      </c>
      <c r="V678" s="6" t="b">
        <f>ROUND(RawSales[[#This Row],[cogs]]+RawSales[[#This Row],[Tax 5%]],2)=ROUND(RawSales[[#This Row],[Sales]],2)</f>
        <v>1</v>
      </c>
    </row>
    <row r="679" spans="1:22" x14ac:dyDescent="0.35">
      <c r="A679" s="4" t="s">
        <v>1140</v>
      </c>
      <c r="B679" t="s">
        <v>20</v>
      </c>
      <c r="C679" t="s">
        <v>21</v>
      </c>
      <c r="D679" t="s">
        <v>22</v>
      </c>
      <c r="E679" t="s">
        <v>23</v>
      </c>
      <c r="F679" t="s">
        <v>43</v>
      </c>
      <c r="G679" s="6">
        <v>9209</v>
      </c>
      <c r="H679" s="7">
        <v>3</v>
      </c>
      <c r="I679" s="6">
        <v>1381.35</v>
      </c>
      <c r="J679" s="6">
        <v>29008.35</v>
      </c>
      <c r="K679" s="5">
        <v>43512.958333333336</v>
      </c>
      <c r="L679" s="4" t="s">
        <v>1141</v>
      </c>
      <c r="M679" t="s">
        <v>26</v>
      </c>
      <c r="N679" s="6">
        <v>27627</v>
      </c>
      <c r="O679">
        <v>4.7619047620000003</v>
      </c>
      <c r="P679" s="6">
        <v>1381.35</v>
      </c>
      <c r="Q679">
        <v>4.2</v>
      </c>
      <c r="R679" s="6">
        <f>RawSales[[#This Row],[Unit price]]*RawSales[[#This Row],[Quantity]]</f>
        <v>27627</v>
      </c>
      <c r="S679" s="6">
        <f>RawSales[[#This Row],[Subtotal]]*$B$1</f>
        <v>1381.3500000000001</v>
      </c>
      <c r="T679" s="6" t="b">
        <f>ROUND(RawSales[[#This Row],[Subtotal]],2)=ROUND(RawSales[[#This Row],[cogs]],2)</f>
        <v>1</v>
      </c>
      <c r="U679" s="6" t="b">
        <f>ROUND(RawSales[[#This Row],[cogs]]*0.05,2)=ROUND(RawSales[[#This Row],[Tax 5%]],2)</f>
        <v>1</v>
      </c>
      <c r="V679" s="6" t="b">
        <f>ROUND(RawSales[[#This Row],[cogs]]+RawSales[[#This Row],[Tax 5%]],2)=ROUND(RawSales[[#This Row],[Sales]],2)</f>
        <v>1</v>
      </c>
    </row>
    <row r="680" spans="1:22" x14ac:dyDescent="0.35">
      <c r="A680" s="4" t="s">
        <v>1142</v>
      </c>
      <c r="B680" t="s">
        <v>38</v>
      </c>
      <c r="C680" t="s">
        <v>39</v>
      </c>
      <c r="D680" t="s">
        <v>30</v>
      </c>
      <c r="E680" t="s">
        <v>31</v>
      </c>
      <c r="F680" t="s">
        <v>43</v>
      </c>
      <c r="G680" s="6">
        <v>6408</v>
      </c>
      <c r="H680" s="7">
        <v>7</v>
      </c>
      <c r="I680" s="6">
        <v>2242.8000000000002</v>
      </c>
      <c r="J680" s="6">
        <v>47098.8</v>
      </c>
      <c r="K680" s="5">
        <v>43484.958333333336</v>
      </c>
      <c r="L680" s="4" t="s">
        <v>1143</v>
      </c>
      <c r="M680" t="s">
        <v>34</v>
      </c>
      <c r="N680" s="6">
        <v>44856</v>
      </c>
      <c r="O680">
        <v>4.7619047620000003</v>
      </c>
      <c r="P680" s="6">
        <v>2242.8000000000002</v>
      </c>
      <c r="Q680">
        <v>7.6</v>
      </c>
      <c r="R680" s="6">
        <f>RawSales[[#This Row],[Unit price]]*RawSales[[#This Row],[Quantity]]</f>
        <v>44856</v>
      </c>
      <c r="S680" s="6">
        <f>RawSales[[#This Row],[Subtotal]]*$B$1</f>
        <v>2242.8000000000002</v>
      </c>
      <c r="T680" s="6" t="b">
        <f>ROUND(RawSales[[#This Row],[Subtotal]],2)=ROUND(RawSales[[#This Row],[cogs]],2)</f>
        <v>1</v>
      </c>
      <c r="U680" s="6" t="b">
        <f>ROUND(RawSales[[#This Row],[cogs]]*0.05,2)=ROUND(RawSales[[#This Row],[Tax 5%]],2)</f>
        <v>1</v>
      </c>
      <c r="V680" s="6" t="b">
        <f>ROUND(RawSales[[#This Row],[cogs]]+RawSales[[#This Row],[Tax 5%]],2)=ROUND(RawSales[[#This Row],[Sales]],2)</f>
        <v>1</v>
      </c>
    </row>
    <row r="681" spans="1:22" x14ac:dyDescent="0.35">
      <c r="A681" s="4" t="s">
        <v>1144</v>
      </c>
      <c r="B681" t="s">
        <v>28</v>
      </c>
      <c r="C681" t="s">
        <v>29</v>
      </c>
      <c r="D681" t="s">
        <v>22</v>
      </c>
      <c r="E681" t="s">
        <v>23</v>
      </c>
      <c r="F681" t="s">
        <v>32</v>
      </c>
      <c r="G681" s="6">
        <v>5344</v>
      </c>
      <c r="H681" s="7">
        <v>2</v>
      </c>
      <c r="I681" s="6">
        <v>534.4</v>
      </c>
      <c r="J681" s="6">
        <v>11222.4</v>
      </c>
      <c r="K681" s="4" t="s">
        <v>1145</v>
      </c>
      <c r="L681" s="4" t="s">
        <v>1146</v>
      </c>
      <c r="M681" t="s">
        <v>34</v>
      </c>
      <c r="N681" s="6">
        <v>10688</v>
      </c>
      <c r="O681">
        <v>4.7619047620000003</v>
      </c>
      <c r="P681" s="6">
        <v>534.4</v>
      </c>
      <c r="Q681">
        <v>4.0999999999999996</v>
      </c>
      <c r="R681" s="6">
        <f>RawSales[[#This Row],[Unit price]]*RawSales[[#This Row],[Quantity]]</f>
        <v>10688</v>
      </c>
      <c r="S681" s="6">
        <f>RawSales[[#This Row],[Subtotal]]*$B$1</f>
        <v>534.4</v>
      </c>
      <c r="T681" s="6" t="b">
        <f>ROUND(RawSales[[#This Row],[Subtotal]],2)=ROUND(RawSales[[#This Row],[cogs]],2)</f>
        <v>1</v>
      </c>
      <c r="U681" s="6" t="b">
        <f>ROUND(RawSales[[#This Row],[cogs]]*0.05,2)=ROUND(RawSales[[#This Row],[Tax 5%]],2)</f>
        <v>1</v>
      </c>
      <c r="V681" s="6" t="b">
        <f>ROUND(RawSales[[#This Row],[cogs]]+RawSales[[#This Row],[Tax 5%]],2)=ROUND(RawSales[[#This Row],[Sales]],2)</f>
        <v>1</v>
      </c>
    </row>
    <row r="682" spans="1:22" x14ac:dyDescent="0.35">
      <c r="A682" s="4" t="s">
        <v>1147</v>
      </c>
      <c r="B682" t="s">
        <v>20</v>
      </c>
      <c r="C682" t="s">
        <v>21</v>
      </c>
      <c r="D682" t="s">
        <v>22</v>
      </c>
      <c r="E682" t="s">
        <v>23</v>
      </c>
      <c r="F682" t="s">
        <v>32</v>
      </c>
      <c r="G682" s="6">
        <v>7235</v>
      </c>
      <c r="H682" s="7">
        <v>10</v>
      </c>
      <c r="I682" s="6">
        <v>3617.5</v>
      </c>
      <c r="J682" s="6">
        <v>75967.5</v>
      </c>
      <c r="K682" s="5">
        <v>43484.958333333336</v>
      </c>
      <c r="L682" s="4" t="s">
        <v>367</v>
      </c>
      <c r="M682" t="s">
        <v>26</v>
      </c>
      <c r="N682" s="6">
        <v>72350</v>
      </c>
      <c r="O682">
        <v>4.7619047620000003</v>
      </c>
      <c r="P682" s="6">
        <v>3617.5</v>
      </c>
      <c r="Q682">
        <v>5.4</v>
      </c>
      <c r="R682" s="6">
        <f>RawSales[[#This Row],[Unit price]]*RawSales[[#This Row],[Quantity]]</f>
        <v>72350</v>
      </c>
      <c r="S682" s="6">
        <f>RawSales[[#This Row],[Subtotal]]*$B$1</f>
        <v>3617.5</v>
      </c>
      <c r="T682" s="6" t="b">
        <f>ROUND(RawSales[[#This Row],[Subtotal]],2)=ROUND(RawSales[[#This Row],[cogs]],2)</f>
        <v>1</v>
      </c>
      <c r="U682" s="6" t="b">
        <f>ROUND(RawSales[[#This Row],[cogs]]*0.05,2)=ROUND(RawSales[[#This Row],[Tax 5%]],2)</f>
        <v>1</v>
      </c>
      <c r="V682" s="6" t="b">
        <f>ROUND(RawSales[[#This Row],[cogs]]+RawSales[[#This Row],[Tax 5%]],2)=ROUND(RawSales[[#This Row],[Sales]],2)</f>
        <v>1</v>
      </c>
    </row>
    <row r="683" spans="1:22" x14ac:dyDescent="0.35">
      <c r="A683" s="4" t="s">
        <v>1148</v>
      </c>
      <c r="B683" t="s">
        <v>28</v>
      </c>
      <c r="C683" t="s">
        <v>29</v>
      </c>
      <c r="D683" t="s">
        <v>22</v>
      </c>
      <c r="E683" t="s">
        <v>23</v>
      </c>
      <c r="F683" t="s">
        <v>49</v>
      </c>
      <c r="G683" s="6">
        <v>3830</v>
      </c>
      <c r="H683" s="7">
        <v>4</v>
      </c>
      <c r="I683" s="6">
        <v>766</v>
      </c>
      <c r="J683" s="6">
        <v>16086</v>
      </c>
      <c r="K683" s="4" t="s">
        <v>1149</v>
      </c>
      <c r="L683" s="4" t="s">
        <v>1150</v>
      </c>
      <c r="M683" t="s">
        <v>26</v>
      </c>
      <c r="N683" s="6">
        <v>15320</v>
      </c>
      <c r="O683">
        <v>4.7619047620000003</v>
      </c>
      <c r="P683" s="6">
        <v>766</v>
      </c>
      <c r="Q683">
        <v>5.7</v>
      </c>
      <c r="R683" s="6">
        <f>RawSales[[#This Row],[Unit price]]*RawSales[[#This Row],[Quantity]]</f>
        <v>15320</v>
      </c>
      <c r="S683" s="6">
        <f>RawSales[[#This Row],[Subtotal]]*$B$1</f>
        <v>766</v>
      </c>
      <c r="T683" s="6" t="b">
        <f>ROUND(RawSales[[#This Row],[Subtotal]],2)=ROUND(RawSales[[#This Row],[cogs]],2)</f>
        <v>1</v>
      </c>
      <c r="U683" s="6" t="b">
        <f>ROUND(RawSales[[#This Row],[cogs]]*0.05,2)=ROUND(RawSales[[#This Row],[Tax 5%]],2)</f>
        <v>1</v>
      </c>
      <c r="V683" s="6" t="b">
        <f>ROUND(RawSales[[#This Row],[cogs]]+RawSales[[#This Row],[Tax 5%]],2)=ROUND(RawSales[[#This Row],[Sales]],2)</f>
        <v>1</v>
      </c>
    </row>
    <row r="684" spans="1:22" x14ac:dyDescent="0.35">
      <c r="A684" s="4" t="s">
        <v>1151</v>
      </c>
      <c r="B684" t="s">
        <v>28</v>
      </c>
      <c r="C684" t="s">
        <v>29</v>
      </c>
      <c r="D684" t="s">
        <v>22</v>
      </c>
      <c r="E684" t="s">
        <v>23</v>
      </c>
      <c r="F684" t="s">
        <v>32</v>
      </c>
      <c r="G684" s="6">
        <v>8204</v>
      </c>
      <c r="H684" s="7">
        <v>5</v>
      </c>
      <c r="I684" s="6">
        <v>2051</v>
      </c>
      <c r="J684" s="6">
        <v>43071</v>
      </c>
      <c r="K684" s="5">
        <v>43520.958333333336</v>
      </c>
      <c r="L684" s="4" t="s">
        <v>534</v>
      </c>
      <c r="M684" t="s">
        <v>51</v>
      </c>
      <c r="N684" s="6">
        <v>41020</v>
      </c>
      <c r="O684">
        <v>4.7619047620000003</v>
      </c>
      <c r="P684" s="6">
        <v>2051</v>
      </c>
      <c r="Q684">
        <v>7.6</v>
      </c>
      <c r="R684" s="6">
        <f>RawSales[[#This Row],[Unit price]]*RawSales[[#This Row],[Quantity]]</f>
        <v>41020</v>
      </c>
      <c r="S684" s="6">
        <f>RawSales[[#This Row],[Subtotal]]*$B$1</f>
        <v>2051</v>
      </c>
      <c r="T684" s="6" t="b">
        <f>ROUND(RawSales[[#This Row],[Subtotal]],2)=ROUND(RawSales[[#This Row],[cogs]],2)</f>
        <v>1</v>
      </c>
      <c r="U684" s="6" t="b">
        <f>ROUND(RawSales[[#This Row],[cogs]]*0.05,2)=ROUND(RawSales[[#This Row],[Tax 5%]],2)</f>
        <v>1</v>
      </c>
      <c r="V684" s="6" t="b">
        <f>ROUND(RawSales[[#This Row],[cogs]]+RawSales[[#This Row],[Tax 5%]],2)=ROUND(RawSales[[#This Row],[Sales]],2)</f>
        <v>1</v>
      </c>
    </row>
    <row r="685" spans="1:22" x14ac:dyDescent="0.35">
      <c r="A685" s="4" t="s">
        <v>1152</v>
      </c>
      <c r="B685" t="s">
        <v>20</v>
      </c>
      <c r="C685" t="s">
        <v>21</v>
      </c>
      <c r="D685" t="s">
        <v>30</v>
      </c>
      <c r="E685" t="s">
        <v>31</v>
      </c>
      <c r="F685" t="s">
        <v>24</v>
      </c>
      <c r="G685" s="6">
        <v>5128</v>
      </c>
      <c r="H685" s="7">
        <v>6</v>
      </c>
      <c r="I685" s="6">
        <v>1538.4</v>
      </c>
      <c r="J685" s="6">
        <v>32306.400000000001</v>
      </c>
      <c r="K685" s="5">
        <v>43483.958333333336</v>
      </c>
      <c r="L685" s="4" t="s">
        <v>1153</v>
      </c>
      <c r="M685" t="s">
        <v>26</v>
      </c>
      <c r="N685" s="6">
        <v>30768</v>
      </c>
      <c r="O685">
        <v>4.7619047620000003</v>
      </c>
      <c r="P685" s="6">
        <v>1538.4</v>
      </c>
      <c r="Q685">
        <v>6.5</v>
      </c>
      <c r="R685" s="6">
        <f>RawSales[[#This Row],[Unit price]]*RawSales[[#This Row],[Quantity]]</f>
        <v>30768</v>
      </c>
      <c r="S685" s="6">
        <f>RawSales[[#This Row],[Subtotal]]*$B$1</f>
        <v>1538.4</v>
      </c>
      <c r="T685" s="6" t="b">
        <f>ROUND(RawSales[[#This Row],[Subtotal]],2)=ROUND(RawSales[[#This Row],[cogs]],2)</f>
        <v>1</v>
      </c>
      <c r="U685" s="6" t="b">
        <f>ROUND(RawSales[[#This Row],[cogs]]*0.05,2)=ROUND(RawSales[[#This Row],[Tax 5%]],2)</f>
        <v>1</v>
      </c>
      <c r="V685" s="6" t="b">
        <f>ROUND(RawSales[[#This Row],[cogs]]+RawSales[[#This Row],[Tax 5%]],2)=ROUND(RawSales[[#This Row],[Sales]],2)</f>
        <v>1</v>
      </c>
    </row>
    <row r="686" spans="1:22" x14ac:dyDescent="0.35">
      <c r="A686" s="4" t="s">
        <v>1154</v>
      </c>
      <c r="B686" t="s">
        <v>28</v>
      </c>
      <c r="C686" t="s">
        <v>29</v>
      </c>
      <c r="D686" t="s">
        <v>22</v>
      </c>
      <c r="E686" t="s">
        <v>23</v>
      </c>
      <c r="F686" t="s">
        <v>24</v>
      </c>
      <c r="G686" s="6">
        <v>9668</v>
      </c>
      <c r="H686" s="7">
        <v>3</v>
      </c>
      <c r="I686" s="6">
        <v>1450.2</v>
      </c>
      <c r="J686" s="6">
        <v>30454.2</v>
      </c>
      <c r="K686" s="5">
        <v>43490.958333333336</v>
      </c>
      <c r="L686" s="4" t="s">
        <v>1155</v>
      </c>
      <c r="M686" t="s">
        <v>34</v>
      </c>
      <c r="N686" s="6">
        <v>29004</v>
      </c>
      <c r="O686">
        <v>4.7619047620000003</v>
      </c>
      <c r="P686" s="6">
        <v>1450.2</v>
      </c>
      <c r="Q686">
        <v>6.4</v>
      </c>
      <c r="R686" s="6">
        <f>RawSales[[#This Row],[Unit price]]*RawSales[[#This Row],[Quantity]]</f>
        <v>29004</v>
      </c>
      <c r="S686" s="6">
        <f>RawSales[[#This Row],[Subtotal]]*$B$1</f>
        <v>1450.2</v>
      </c>
      <c r="T686" s="6" t="b">
        <f>ROUND(RawSales[[#This Row],[Subtotal]],2)=ROUND(RawSales[[#This Row],[cogs]],2)</f>
        <v>1</v>
      </c>
      <c r="U686" s="6" t="b">
        <f>ROUND(RawSales[[#This Row],[cogs]]*0.05,2)=ROUND(RawSales[[#This Row],[Tax 5%]],2)</f>
        <v>1</v>
      </c>
      <c r="V686" s="6" t="b">
        <f>ROUND(RawSales[[#This Row],[cogs]]+RawSales[[#This Row],[Tax 5%]],2)=ROUND(RawSales[[#This Row],[Sales]],2)</f>
        <v>1</v>
      </c>
    </row>
    <row r="687" spans="1:22" x14ac:dyDescent="0.35">
      <c r="A687" s="4" t="s">
        <v>1156</v>
      </c>
      <c r="B687" t="s">
        <v>20</v>
      </c>
      <c r="C687" t="s">
        <v>21</v>
      </c>
      <c r="D687" t="s">
        <v>22</v>
      </c>
      <c r="E687" t="s">
        <v>23</v>
      </c>
      <c r="F687" t="s">
        <v>62</v>
      </c>
      <c r="G687" s="6">
        <v>2704</v>
      </c>
      <c r="H687" s="7">
        <v>4</v>
      </c>
      <c r="I687" s="6">
        <v>540.79999999999995</v>
      </c>
      <c r="J687" s="6">
        <v>11356.8</v>
      </c>
      <c r="K687" s="5">
        <v>43465.958333333336</v>
      </c>
      <c r="L687" s="4" t="s">
        <v>1157</v>
      </c>
      <c r="M687" t="s">
        <v>34</v>
      </c>
      <c r="N687" s="6">
        <v>10816</v>
      </c>
      <c r="O687">
        <v>4.7619047620000003</v>
      </c>
      <c r="P687" s="6">
        <v>540.79999999999995</v>
      </c>
      <c r="Q687">
        <v>6.9</v>
      </c>
      <c r="R687" s="6">
        <f>RawSales[[#This Row],[Unit price]]*RawSales[[#This Row],[Quantity]]</f>
        <v>10816</v>
      </c>
      <c r="S687" s="6">
        <f>RawSales[[#This Row],[Subtotal]]*$B$1</f>
        <v>540.80000000000007</v>
      </c>
      <c r="T687" s="6" t="b">
        <f>ROUND(RawSales[[#This Row],[Subtotal]],2)=ROUND(RawSales[[#This Row],[cogs]],2)</f>
        <v>1</v>
      </c>
      <c r="U687" s="6" t="b">
        <f>ROUND(RawSales[[#This Row],[cogs]]*0.05,2)=ROUND(RawSales[[#This Row],[Tax 5%]],2)</f>
        <v>1</v>
      </c>
      <c r="V687" s="6" t="b">
        <f>ROUND(RawSales[[#This Row],[cogs]]+RawSales[[#This Row],[Tax 5%]],2)=ROUND(RawSales[[#This Row],[Sales]],2)</f>
        <v>1</v>
      </c>
    </row>
    <row r="688" spans="1:22" x14ac:dyDescent="0.35">
      <c r="A688" s="4" t="s">
        <v>1158</v>
      </c>
      <c r="B688" t="s">
        <v>28</v>
      </c>
      <c r="C688" t="s">
        <v>29</v>
      </c>
      <c r="D688" t="s">
        <v>22</v>
      </c>
      <c r="E688" t="s">
        <v>23</v>
      </c>
      <c r="F688" t="s">
        <v>40</v>
      </c>
      <c r="G688" s="6">
        <v>7559</v>
      </c>
      <c r="H688" s="7">
        <v>9</v>
      </c>
      <c r="I688" s="6">
        <v>3401.55</v>
      </c>
      <c r="J688" s="6">
        <v>71432.55</v>
      </c>
      <c r="K688" s="5">
        <v>43518.958333333336</v>
      </c>
      <c r="L688" s="4" t="s">
        <v>506</v>
      </c>
      <c r="M688" t="s">
        <v>26</v>
      </c>
      <c r="N688" s="6">
        <v>68031</v>
      </c>
      <c r="O688">
        <v>4.7619047620000003</v>
      </c>
      <c r="P688" s="6">
        <v>3401.55</v>
      </c>
      <c r="Q688">
        <v>8</v>
      </c>
      <c r="R688" s="6">
        <f>RawSales[[#This Row],[Unit price]]*RawSales[[#This Row],[Quantity]]</f>
        <v>68031</v>
      </c>
      <c r="S688" s="6">
        <f>RawSales[[#This Row],[Subtotal]]*$B$1</f>
        <v>3401.55</v>
      </c>
      <c r="T688" s="6" t="b">
        <f>ROUND(RawSales[[#This Row],[Subtotal]],2)=ROUND(RawSales[[#This Row],[cogs]],2)</f>
        <v>1</v>
      </c>
      <c r="U688" s="6" t="b">
        <f>ROUND(RawSales[[#This Row],[cogs]]*0.05,2)=ROUND(RawSales[[#This Row],[Tax 5%]],2)</f>
        <v>1</v>
      </c>
      <c r="V688" s="6" t="b">
        <f>ROUND(RawSales[[#This Row],[cogs]]+RawSales[[#This Row],[Tax 5%]],2)=ROUND(RawSales[[#This Row],[Sales]],2)</f>
        <v>1</v>
      </c>
    </row>
    <row r="689" spans="1:22" x14ac:dyDescent="0.35">
      <c r="A689" s="4" t="s">
        <v>1159</v>
      </c>
      <c r="B689" t="s">
        <v>28</v>
      </c>
      <c r="C689" t="s">
        <v>29</v>
      </c>
      <c r="D689" t="s">
        <v>30</v>
      </c>
      <c r="E689" t="s">
        <v>31</v>
      </c>
      <c r="F689" t="s">
        <v>24</v>
      </c>
      <c r="G689" s="6">
        <v>6208</v>
      </c>
      <c r="H689" s="7">
        <v>7</v>
      </c>
      <c r="I689" s="6">
        <v>2172.8000000000002</v>
      </c>
      <c r="J689" s="6">
        <v>45628.800000000003</v>
      </c>
      <c r="K689" s="5">
        <v>43529.958333333336</v>
      </c>
      <c r="L689" s="4" t="s">
        <v>270</v>
      </c>
      <c r="M689" t="s">
        <v>34</v>
      </c>
      <c r="N689" s="6">
        <v>43456</v>
      </c>
      <c r="O689">
        <v>4.7619047620000003</v>
      </c>
      <c r="P689" s="6">
        <v>2172.8000000000002</v>
      </c>
      <c r="Q689">
        <v>5.4</v>
      </c>
      <c r="R689" s="6">
        <f>RawSales[[#This Row],[Unit price]]*RawSales[[#This Row],[Quantity]]</f>
        <v>43456</v>
      </c>
      <c r="S689" s="6">
        <f>RawSales[[#This Row],[Subtotal]]*$B$1</f>
        <v>2172.8000000000002</v>
      </c>
      <c r="T689" s="6" t="b">
        <f>ROUND(RawSales[[#This Row],[Subtotal]],2)=ROUND(RawSales[[#This Row],[cogs]],2)</f>
        <v>1</v>
      </c>
      <c r="U689" s="6" t="b">
        <f>ROUND(RawSales[[#This Row],[cogs]]*0.05,2)=ROUND(RawSales[[#This Row],[Tax 5%]],2)</f>
        <v>1</v>
      </c>
      <c r="V689" s="6" t="b">
        <f>ROUND(RawSales[[#This Row],[cogs]]+RawSales[[#This Row],[Tax 5%]],2)=ROUND(RawSales[[#This Row],[Sales]],2)</f>
        <v>1</v>
      </c>
    </row>
    <row r="690" spans="1:22" x14ac:dyDescent="0.35">
      <c r="A690" s="4" t="s">
        <v>1160</v>
      </c>
      <c r="B690" t="s">
        <v>38</v>
      </c>
      <c r="C690" t="s">
        <v>39</v>
      </c>
      <c r="D690" t="s">
        <v>22</v>
      </c>
      <c r="E690" t="s">
        <v>31</v>
      </c>
      <c r="F690" t="s">
        <v>24</v>
      </c>
      <c r="G690" s="6">
        <v>5049</v>
      </c>
      <c r="H690" s="7">
        <v>9</v>
      </c>
      <c r="I690" s="6">
        <v>2272.0500000000002</v>
      </c>
      <c r="J690" s="6">
        <v>47713.05</v>
      </c>
      <c r="K690" s="5">
        <v>43474.958333333336</v>
      </c>
      <c r="L690" s="4" t="s">
        <v>534</v>
      </c>
      <c r="M690" t="s">
        <v>26</v>
      </c>
      <c r="N690" s="6">
        <v>45441</v>
      </c>
      <c r="O690">
        <v>4.7619047620000003</v>
      </c>
      <c r="P690" s="6">
        <v>2272.0500000000002</v>
      </c>
      <c r="Q690">
        <v>5.4</v>
      </c>
      <c r="R690" s="6">
        <f>RawSales[[#This Row],[Unit price]]*RawSales[[#This Row],[Quantity]]</f>
        <v>45441</v>
      </c>
      <c r="S690" s="6">
        <f>RawSales[[#This Row],[Subtotal]]*$B$1</f>
        <v>2272.0500000000002</v>
      </c>
      <c r="T690" s="6" t="b">
        <f>ROUND(RawSales[[#This Row],[Subtotal]],2)=ROUND(RawSales[[#This Row],[cogs]],2)</f>
        <v>1</v>
      </c>
      <c r="U690" s="6" t="b">
        <f>ROUND(RawSales[[#This Row],[cogs]]*0.05,2)=ROUND(RawSales[[#This Row],[Tax 5%]],2)</f>
        <v>1</v>
      </c>
      <c r="V690" s="6" t="b">
        <f>ROUND(RawSales[[#This Row],[cogs]]+RawSales[[#This Row],[Tax 5%]],2)=ROUND(RawSales[[#This Row],[Sales]],2)</f>
        <v>1</v>
      </c>
    </row>
    <row r="691" spans="1:22" x14ac:dyDescent="0.35">
      <c r="A691" s="4" t="s">
        <v>1161</v>
      </c>
      <c r="B691" t="s">
        <v>20</v>
      </c>
      <c r="C691" t="s">
        <v>21</v>
      </c>
      <c r="D691" t="s">
        <v>30</v>
      </c>
      <c r="E691" t="s">
        <v>31</v>
      </c>
      <c r="F691" t="s">
        <v>24</v>
      </c>
      <c r="G691" s="6">
        <v>1153</v>
      </c>
      <c r="H691" s="7">
        <v>7</v>
      </c>
      <c r="I691" s="6">
        <v>403.55</v>
      </c>
      <c r="J691" s="6">
        <v>8474.5499999999993</v>
      </c>
      <c r="K691" s="5">
        <v>43492.958333333336</v>
      </c>
      <c r="L691" s="4" t="s">
        <v>1162</v>
      </c>
      <c r="M691" t="s">
        <v>26</v>
      </c>
      <c r="N691" s="6">
        <v>8071</v>
      </c>
      <c r="O691">
        <v>4.7619047620000003</v>
      </c>
      <c r="P691" s="6">
        <v>403.55</v>
      </c>
      <c r="Q691">
        <v>8.1</v>
      </c>
      <c r="R691" s="6">
        <f>RawSales[[#This Row],[Unit price]]*RawSales[[#This Row],[Quantity]]</f>
        <v>8071</v>
      </c>
      <c r="S691" s="6">
        <f>RawSales[[#This Row],[Subtotal]]*$B$1</f>
        <v>403.55</v>
      </c>
      <c r="T691" s="6" t="b">
        <f>ROUND(RawSales[[#This Row],[Subtotal]],2)=ROUND(RawSales[[#This Row],[cogs]],2)</f>
        <v>1</v>
      </c>
      <c r="U691" s="6" t="b">
        <f>ROUND(RawSales[[#This Row],[cogs]]*0.05,2)=ROUND(RawSales[[#This Row],[Tax 5%]],2)</f>
        <v>1</v>
      </c>
      <c r="V691" s="6" t="b">
        <f>ROUND(RawSales[[#This Row],[cogs]]+RawSales[[#This Row],[Tax 5%]],2)=ROUND(RawSales[[#This Row],[Sales]],2)</f>
        <v>1</v>
      </c>
    </row>
    <row r="692" spans="1:22" x14ac:dyDescent="0.35">
      <c r="A692" s="4" t="s">
        <v>1163</v>
      </c>
      <c r="B692" t="s">
        <v>20</v>
      </c>
      <c r="C692" t="s">
        <v>21</v>
      </c>
      <c r="D692" t="s">
        <v>22</v>
      </c>
      <c r="E692" t="s">
        <v>31</v>
      </c>
      <c r="F692" t="s">
        <v>43</v>
      </c>
      <c r="G692" s="6">
        <v>5550</v>
      </c>
      <c r="H692" s="7">
        <v>4</v>
      </c>
      <c r="I692" s="6">
        <v>1110</v>
      </c>
      <c r="J692" s="6">
        <v>23310</v>
      </c>
      <c r="K692" s="5">
        <v>43484.958333333336</v>
      </c>
      <c r="L692" s="4" t="s">
        <v>286</v>
      </c>
      <c r="M692" t="s">
        <v>51</v>
      </c>
      <c r="N692" s="6">
        <v>22200</v>
      </c>
      <c r="O692">
        <v>4.7619047620000003</v>
      </c>
      <c r="P692" s="6">
        <v>1110</v>
      </c>
      <c r="Q692">
        <v>6.6</v>
      </c>
      <c r="R692" s="6">
        <f>RawSales[[#This Row],[Unit price]]*RawSales[[#This Row],[Quantity]]</f>
        <v>22200</v>
      </c>
      <c r="S692" s="6">
        <f>RawSales[[#This Row],[Subtotal]]*$B$1</f>
        <v>1110</v>
      </c>
      <c r="T692" s="6" t="b">
        <f>ROUND(RawSales[[#This Row],[Subtotal]],2)=ROUND(RawSales[[#This Row],[cogs]],2)</f>
        <v>1</v>
      </c>
      <c r="U692" s="6" t="b">
        <f>ROUND(RawSales[[#This Row],[cogs]]*0.05,2)=ROUND(RawSales[[#This Row],[Tax 5%]],2)</f>
        <v>1</v>
      </c>
      <c r="V692" s="6" t="b">
        <f>ROUND(RawSales[[#This Row],[cogs]]+RawSales[[#This Row],[Tax 5%]],2)=ROUND(RawSales[[#This Row],[Sales]],2)</f>
        <v>1</v>
      </c>
    </row>
    <row r="693" spans="1:22" x14ac:dyDescent="0.35">
      <c r="A693" s="4" t="s">
        <v>1164</v>
      </c>
      <c r="B693" t="s">
        <v>38</v>
      </c>
      <c r="C693" t="s">
        <v>39</v>
      </c>
      <c r="D693" t="s">
        <v>22</v>
      </c>
      <c r="E693" t="s">
        <v>23</v>
      </c>
      <c r="F693" t="s">
        <v>62</v>
      </c>
      <c r="G693" s="6">
        <v>6799</v>
      </c>
      <c r="H693" s="7">
        <v>7</v>
      </c>
      <c r="I693" s="6">
        <v>2379.65</v>
      </c>
      <c r="J693" s="6">
        <v>49972.65</v>
      </c>
      <c r="K693" s="5">
        <v>43512.958333333336</v>
      </c>
      <c r="L693" s="4" t="s">
        <v>1165</v>
      </c>
      <c r="M693" t="s">
        <v>34</v>
      </c>
      <c r="N693" s="6">
        <v>47593</v>
      </c>
      <c r="O693">
        <v>4.7619047620000003</v>
      </c>
      <c r="P693" s="6">
        <v>2379.65</v>
      </c>
      <c r="Q693">
        <v>5.7</v>
      </c>
      <c r="R693" s="6">
        <f>RawSales[[#This Row],[Unit price]]*RawSales[[#This Row],[Quantity]]</f>
        <v>47593</v>
      </c>
      <c r="S693" s="6">
        <f>RawSales[[#This Row],[Subtotal]]*$B$1</f>
        <v>2379.65</v>
      </c>
      <c r="T693" s="6" t="b">
        <f>ROUND(RawSales[[#This Row],[Subtotal]],2)=ROUND(RawSales[[#This Row],[cogs]],2)</f>
        <v>1</v>
      </c>
      <c r="U693" s="6" t="b">
        <f>ROUND(RawSales[[#This Row],[cogs]]*0.05,2)=ROUND(RawSales[[#This Row],[Tax 5%]],2)</f>
        <v>1</v>
      </c>
      <c r="V693" s="6" t="b">
        <f>ROUND(RawSales[[#This Row],[cogs]]+RawSales[[#This Row],[Tax 5%]],2)=ROUND(RawSales[[#This Row],[Sales]],2)</f>
        <v>1</v>
      </c>
    </row>
    <row r="694" spans="1:22" x14ac:dyDescent="0.35">
      <c r="A694" s="4" t="s">
        <v>1166</v>
      </c>
      <c r="B694" t="s">
        <v>38</v>
      </c>
      <c r="C694" t="s">
        <v>39</v>
      </c>
      <c r="D694" t="s">
        <v>22</v>
      </c>
      <c r="E694" t="s">
        <v>31</v>
      </c>
      <c r="F694" t="s">
        <v>43</v>
      </c>
      <c r="G694" s="6">
        <v>6047</v>
      </c>
      <c r="H694" s="7">
        <v>3</v>
      </c>
      <c r="I694" s="6">
        <v>907.05</v>
      </c>
      <c r="J694" s="6">
        <v>19048.05</v>
      </c>
      <c r="K694" s="5">
        <v>43478.958333333336</v>
      </c>
      <c r="L694" s="4" t="s">
        <v>1089</v>
      </c>
      <c r="M694" t="s">
        <v>51</v>
      </c>
      <c r="N694" s="6">
        <v>18141</v>
      </c>
      <c r="O694">
        <v>4.7619047620000003</v>
      </c>
      <c r="P694" s="6">
        <v>907.05</v>
      </c>
      <c r="Q694">
        <v>5.6</v>
      </c>
      <c r="R694" s="6">
        <f>RawSales[[#This Row],[Unit price]]*RawSales[[#This Row],[Quantity]]</f>
        <v>18141</v>
      </c>
      <c r="S694" s="6">
        <f>RawSales[[#This Row],[Subtotal]]*$B$1</f>
        <v>907.05000000000007</v>
      </c>
      <c r="T694" s="6" t="b">
        <f>ROUND(RawSales[[#This Row],[Subtotal]],2)=ROUND(RawSales[[#This Row],[cogs]],2)</f>
        <v>1</v>
      </c>
      <c r="U694" s="6" t="b">
        <f>ROUND(RawSales[[#This Row],[cogs]]*0.05,2)=ROUND(RawSales[[#This Row],[Tax 5%]],2)</f>
        <v>1</v>
      </c>
      <c r="V694" s="6" t="b">
        <f>ROUND(RawSales[[#This Row],[cogs]]+RawSales[[#This Row],[Tax 5%]],2)=ROUND(RawSales[[#This Row],[Sales]],2)</f>
        <v>1</v>
      </c>
    </row>
    <row r="695" spans="1:22" x14ac:dyDescent="0.35">
      <c r="A695" s="4" t="s">
        <v>1167</v>
      </c>
      <c r="B695" t="s">
        <v>38</v>
      </c>
      <c r="C695" t="s">
        <v>39</v>
      </c>
      <c r="D695" t="s">
        <v>22</v>
      </c>
      <c r="E695" t="s">
        <v>23</v>
      </c>
      <c r="F695" t="s">
        <v>24</v>
      </c>
      <c r="G695" s="6">
        <v>8036</v>
      </c>
      <c r="H695" s="7">
        <v>4</v>
      </c>
      <c r="I695" s="6">
        <v>1607.2</v>
      </c>
      <c r="J695" s="6">
        <v>33751.199999999997</v>
      </c>
      <c r="K695" s="5">
        <v>43518.958333333336</v>
      </c>
      <c r="L695" s="4" t="s">
        <v>452</v>
      </c>
      <c r="M695" t="s">
        <v>51</v>
      </c>
      <c r="N695" s="6">
        <v>32144</v>
      </c>
      <c r="O695">
        <v>4.7619047620000003</v>
      </c>
      <c r="P695" s="6">
        <v>1607.2</v>
      </c>
      <c r="Q695">
        <v>8.3000000000000007</v>
      </c>
      <c r="R695" s="6">
        <f>RawSales[[#This Row],[Unit price]]*RawSales[[#This Row],[Quantity]]</f>
        <v>32144</v>
      </c>
      <c r="S695" s="6">
        <f>RawSales[[#This Row],[Subtotal]]*$B$1</f>
        <v>1607.2</v>
      </c>
      <c r="T695" s="6" t="b">
        <f>ROUND(RawSales[[#This Row],[Subtotal]],2)=ROUND(RawSales[[#This Row],[cogs]],2)</f>
        <v>1</v>
      </c>
      <c r="U695" s="6" t="b">
        <f>ROUND(RawSales[[#This Row],[cogs]]*0.05,2)=ROUND(RawSales[[#This Row],[Tax 5%]],2)</f>
        <v>1</v>
      </c>
      <c r="V695" s="6" t="b">
        <f>ROUND(RawSales[[#This Row],[cogs]]+RawSales[[#This Row],[Tax 5%]],2)=ROUND(RawSales[[#This Row],[Sales]],2)</f>
        <v>1</v>
      </c>
    </row>
    <row r="696" spans="1:22" x14ac:dyDescent="0.35">
      <c r="A696" s="4" t="s">
        <v>1168</v>
      </c>
      <c r="B696" t="s">
        <v>20</v>
      </c>
      <c r="C696" t="s">
        <v>21</v>
      </c>
      <c r="D696" t="s">
        <v>22</v>
      </c>
      <c r="E696" t="s">
        <v>23</v>
      </c>
      <c r="F696" t="s">
        <v>62</v>
      </c>
      <c r="G696" s="6">
        <v>2198</v>
      </c>
      <c r="H696" s="7">
        <v>7</v>
      </c>
      <c r="I696" s="6">
        <v>769.3</v>
      </c>
      <c r="J696" s="6">
        <v>16155.3</v>
      </c>
      <c r="K696" s="5">
        <v>43474.958333333336</v>
      </c>
      <c r="L696" s="4" t="s">
        <v>1169</v>
      </c>
      <c r="M696" t="s">
        <v>34</v>
      </c>
      <c r="N696" s="6">
        <v>15386</v>
      </c>
      <c r="O696">
        <v>4.7619047620000003</v>
      </c>
      <c r="P696" s="6">
        <v>769.3</v>
      </c>
      <c r="Q696">
        <v>5.0999999999999996</v>
      </c>
      <c r="R696" s="6">
        <f>RawSales[[#This Row],[Unit price]]*RawSales[[#This Row],[Quantity]]</f>
        <v>15386</v>
      </c>
      <c r="S696" s="6">
        <f>RawSales[[#This Row],[Subtotal]]*$B$1</f>
        <v>769.30000000000007</v>
      </c>
      <c r="T696" s="6" t="b">
        <f>ROUND(RawSales[[#This Row],[Subtotal]],2)=ROUND(RawSales[[#This Row],[cogs]],2)</f>
        <v>1</v>
      </c>
      <c r="U696" s="6" t="b">
        <f>ROUND(RawSales[[#This Row],[cogs]]*0.05,2)=ROUND(RawSales[[#This Row],[Tax 5%]],2)</f>
        <v>1</v>
      </c>
      <c r="V696" s="6" t="b">
        <f>ROUND(RawSales[[#This Row],[cogs]]+RawSales[[#This Row],[Tax 5%]],2)=ROUND(RawSales[[#This Row],[Sales]],2)</f>
        <v>1</v>
      </c>
    </row>
    <row r="697" spans="1:22" x14ac:dyDescent="0.35">
      <c r="A697" s="4" t="s">
        <v>1170</v>
      </c>
      <c r="B697" t="s">
        <v>28</v>
      </c>
      <c r="C697" t="s">
        <v>29</v>
      </c>
      <c r="D697" t="s">
        <v>22</v>
      </c>
      <c r="E697" t="s">
        <v>31</v>
      </c>
      <c r="F697" t="s">
        <v>43</v>
      </c>
      <c r="G697" s="6">
        <v>3901</v>
      </c>
      <c r="H697" s="7">
        <v>1</v>
      </c>
      <c r="I697" s="6">
        <v>195.05</v>
      </c>
      <c r="J697" s="6">
        <v>4096.05</v>
      </c>
      <c r="K697" s="5">
        <v>43535.958333333336</v>
      </c>
      <c r="L697" s="4" t="s">
        <v>1171</v>
      </c>
      <c r="M697" t="s">
        <v>51</v>
      </c>
      <c r="N697" s="6">
        <v>3901</v>
      </c>
      <c r="O697">
        <v>4.7619047620000003</v>
      </c>
      <c r="P697" s="6">
        <v>195.05</v>
      </c>
      <c r="Q697">
        <v>4.7</v>
      </c>
      <c r="R697" s="6">
        <f>RawSales[[#This Row],[Unit price]]*RawSales[[#This Row],[Quantity]]</f>
        <v>3901</v>
      </c>
      <c r="S697" s="6">
        <f>RawSales[[#This Row],[Subtotal]]*$B$1</f>
        <v>195.05</v>
      </c>
      <c r="T697" s="6" t="b">
        <f>ROUND(RawSales[[#This Row],[Subtotal]],2)=ROUND(RawSales[[#This Row],[cogs]],2)</f>
        <v>1</v>
      </c>
      <c r="U697" s="6" t="b">
        <f>ROUND(RawSales[[#This Row],[cogs]]*0.05,2)=ROUND(RawSales[[#This Row],[Tax 5%]],2)</f>
        <v>1</v>
      </c>
      <c r="V697" s="6" t="b">
        <f>ROUND(RawSales[[#This Row],[cogs]]+RawSales[[#This Row],[Tax 5%]],2)=ROUND(RawSales[[#This Row],[Sales]],2)</f>
        <v>1</v>
      </c>
    </row>
    <row r="698" spans="1:22" x14ac:dyDescent="0.35">
      <c r="A698" s="4" t="s">
        <v>1172</v>
      </c>
      <c r="B698" t="s">
        <v>28</v>
      </c>
      <c r="C698" t="s">
        <v>29</v>
      </c>
      <c r="D698" t="s">
        <v>22</v>
      </c>
      <c r="E698" t="s">
        <v>23</v>
      </c>
      <c r="F698" t="s">
        <v>32</v>
      </c>
      <c r="G698" s="6">
        <v>4030</v>
      </c>
      <c r="H698" s="7">
        <v>2</v>
      </c>
      <c r="I698" s="6">
        <v>403</v>
      </c>
      <c r="J698" s="6">
        <v>8463</v>
      </c>
      <c r="K698" s="5">
        <v>43534.958333333336</v>
      </c>
      <c r="L698" s="4" t="s">
        <v>882</v>
      </c>
      <c r="M698" t="s">
        <v>34</v>
      </c>
      <c r="N698" s="6">
        <v>8060</v>
      </c>
      <c r="O698">
        <v>4.7619047620000003</v>
      </c>
      <c r="P698" s="6">
        <v>403</v>
      </c>
      <c r="Q698">
        <v>4.4000000000000004</v>
      </c>
      <c r="R698" s="6">
        <f>RawSales[[#This Row],[Unit price]]*RawSales[[#This Row],[Quantity]]</f>
        <v>8060</v>
      </c>
      <c r="S698" s="6">
        <f>RawSales[[#This Row],[Subtotal]]*$B$1</f>
        <v>403</v>
      </c>
      <c r="T698" s="6" t="b">
        <f>ROUND(RawSales[[#This Row],[Subtotal]],2)=ROUND(RawSales[[#This Row],[cogs]],2)</f>
        <v>1</v>
      </c>
      <c r="U698" s="6" t="b">
        <f>ROUND(RawSales[[#This Row],[cogs]]*0.05,2)=ROUND(RawSales[[#This Row],[Tax 5%]],2)</f>
        <v>1</v>
      </c>
      <c r="V698" s="6" t="b">
        <f>ROUND(RawSales[[#This Row],[cogs]]+RawSales[[#This Row],[Tax 5%]],2)=ROUND(RawSales[[#This Row],[Sales]],2)</f>
        <v>1</v>
      </c>
    </row>
    <row r="699" spans="1:22" x14ac:dyDescent="0.35">
      <c r="A699" s="4" t="s">
        <v>1173</v>
      </c>
      <c r="B699" t="s">
        <v>20</v>
      </c>
      <c r="C699" t="s">
        <v>21</v>
      </c>
      <c r="D699" t="s">
        <v>22</v>
      </c>
      <c r="E699" t="s">
        <v>31</v>
      </c>
      <c r="F699" t="s">
        <v>324</v>
      </c>
      <c r="G699" s="6">
        <v>4166</v>
      </c>
      <c r="H699" s="7">
        <v>6</v>
      </c>
      <c r="I699" s="6">
        <v>1249.8</v>
      </c>
      <c r="J699" s="6">
        <v>26245.8</v>
      </c>
      <c r="K699" s="5">
        <v>43466.958333333336</v>
      </c>
      <c r="L699" s="4" t="s">
        <v>1053</v>
      </c>
      <c r="M699" t="s">
        <v>34</v>
      </c>
      <c r="N699" s="6">
        <v>24996</v>
      </c>
      <c r="O699">
        <v>4.7619047620000003</v>
      </c>
      <c r="P699" s="6">
        <v>1249.8</v>
      </c>
      <c r="Q699">
        <v>5.6</v>
      </c>
      <c r="R699" s="6">
        <f>RawSales[[#This Row],[Unit price]]*RawSales[[#This Row],[Quantity]]</f>
        <v>24996</v>
      </c>
      <c r="S699" s="6">
        <f>RawSales[[#This Row],[Subtotal]]*$B$1</f>
        <v>1249.8000000000002</v>
      </c>
      <c r="T699" s="6" t="b">
        <f>ROUND(RawSales[[#This Row],[Subtotal]],2)=ROUND(RawSales[[#This Row],[cogs]],2)</f>
        <v>1</v>
      </c>
      <c r="U699" s="6" t="b">
        <f>ROUND(RawSales[[#This Row],[cogs]]*0.05,2)=ROUND(RawSales[[#This Row],[Tax 5%]],2)</f>
        <v>1</v>
      </c>
      <c r="V699" s="6" t="b">
        <f>ROUND(RawSales[[#This Row],[cogs]]+RawSales[[#This Row],[Tax 5%]],2)=ROUND(RawSales[[#This Row],[Sales]],2)</f>
        <v>1</v>
      </c>
    </row>
    <row r="700" spans="1:22" x14ac:dyDescent="0.35">
      <c r="A700" s="4" t="s">
        <v>1174</v>
      </c>
      <c r="B700" t="s">
        <v>28</v>
      </c>
      <c r="C700" t="s">
        <v>29</v>
      </c>
      <c r="D700" t="s">
        <v>22</v>
      </c>
      <c r="E700" t="s">
        <v>31</v>
      </c>
      <c r="F700" t="s">
        <v>324</v>
      </c>
      <c r="G700" s="6">
        <v>1808</v>
      </c>
      <c r="H700" s="7">
        <v>3</v>
      </c>
      <c r="I700" s="6">
        <v>271.2</v>
      </c>
      <c r="J700" s="6">
        <v>5695.2</v>
      </c>
      <c r="K700" s="5">
        <v>43528.958333333336</v>
      </c>
      <c r="L700" s="4" t="s">
        <v>33</v>
      </c>
      <c r="M700" t="s">
        <v>34</v>
      </c>
      <c r="N700" s="6">
        <v>5424</v>
      </c>
      <c r="O700">
        <v>4.7619047620000003</v>
      </c>
      <c r="P700" s="6">
        <v>271.2</v>
      </c>
      <c r="Q700">
        <v>8</v>
      </c>
      <c r="R700" s="6">
        <f>RawSales[[#This Row],[Unit price]]*RawSales[[#This Row],[Quantity]]</f>
        <v>5424</v>
      </c>
      <c r="S700" s="6">
        <f>RawSales[[#This Row],[Subtotal]]*$B$1</f>
        <v>271.2</v>
      </c>
      <c r="T700" s="6" t="b">
        <f>ROUND(RawSales[[#This Row],[Subtotal]],2)=ROUND(RawSales[[#This Row],[cogs]],2)</f>
        <v>1</v>
      </c>
      <c r="U700" s="6" t="b">
        <f>ROUND(RawSales[[#This Row],[cogs]]*0.05,2)=ROUND(RawSales[[#This Row],[Tax 5%]],2)</f>
        <v>1</v>
      </c>
      <c r="V700" s="6" t="b">
        <f>ROUND(RawSales[[#This Row],[cogs]]+RawSales[[#This Row],[Tax 5%]],2)=ROUND(RawSales[[#This Row],[Sales]],2)</f>
        <v>1</v>
      </c>
    </row>
    <row r="701" spans="1:22" x14ac:dyDescent="0.35">
      <c r="A701" s="4" t="s">
        <v>1175</v>
      </c>
      <c r="B701" t="s">
        <v>38</v>
      </c>
      <c r="C701" t="s">
        <v>39</v>
      </c>
      <c r="D701" t="s">
        <v>22</v>
      </c>
      <c r="E701" t="s">
        <v>31</v>
      </c>
      <c r="F701" t="s">
        <v>40</v>
      </c>
      <c r="G701" s="6">
        <v>3706</v>
      </c>
      <c r="H701" s="7">
        <v>4</v>
      </c>
      <c r="I701" s="6">
        <v>741.2</v>
      </c>
      <c r="J701" s="6">
        <v>15565.2</v>
      </c>
      <c r="K701" s="5">
        <v>43495.958333333336</v>
      </c>
      <c r="L701" s="4" t="s">
        <v>551</v>
      </c>
      <c r="M701" t="s">
        <v>34</v>
      </c>
      <c r="N701" s="6">
        <v>14824</v>
      </c>
      <c r="O701">
        <v>4.7619047620000003</v>
      </c>
      <c r="P701" s="6">
        <v>741.2</v>
      </c>
      <c r="Q701">
        <v>9.6999999999999993</v>
      </c>
      <c r="R701" s="6">
        <f>RawSales[[#This Row],[Unit price]]*RawSales[[#This Row],[Quantity]]</f>
        <v>14824</v>
      </c>
      <c r="S701" s="6">
        <f>RawSales[[#This Row],[Subtotal]]*$B$1</f>
        <v>741.2</v>
      </c>
      <c r="T701" s="6" t="b">
        <f>ROUND(RawSales[[#This Row],[Subtotal]],2)=ROUND(RawSales[[#This Row],[cogs]],2)</f>
        <v>1</v>
      </c>
      <c r="U701" s="6" t="b">
        <f>ROUND(RawSales[[#This Row],[cogs]]*0.05,2)=ROUND(RawSales[[#This Row],[Tax 5%]],2)</f>
        <v>1</v>
      </c>
      <c r="V701" s="6" t="b">
        <f>ROUND(RawSales[[#This Row],[cogs]]+RawSales[[#This Row],[Tax 5%]],2)=ROUND(RawSales[[#This Row],[Sales]],2)</f>
        <v>1</v>
      </c>
    </row>
    <row r="702" spans="1:22" x14ac:dyDescent="0.35">
      <c r="A702" s="4" t="s">
        <v>1176</v>
      </c>
      <c r="B702" t="s">
        <v>28</v>
      </c>
      <c r="C702" t="s">
        <v>29</v>
      </c>
      <c r="D702" t="s">
        <v>30</v>
      </c>
      <c r="E702" t="s">
        <v>23</v>
      </c>
      <c r="F702" t="s">
        <v>40</v>
      </c>
      <c r="G702" s="6">
        <v>9973</v>
      </c>
      <c r="H702" s="7">
        <v>9</v>
      </c>
      <c r="I702" s="6">
        <v>4487.8500000000004</v>
      </c>
      <c r="J702" s="6">
        <v>94244.85</v>
      </c>
      <c r="K702" s="5">
        <v>43525.958333333336</v>
      </c>
      <c r="L702" s="4" t="s">
        <v>149</v>
      </c>
      <c r="M702" t="s">
        <v>51</v>
      </c>
      <c r="N702" s="6">
        <v>89757</v>
      </c>
      <c r="O702">
        <v>4.7619047620000003</v>
      </c>
      <c r="P702" s="6">
        <v>4487.8500000000004</v>
      </c>
      <c r="Q702">
        <v>6.5</v>
      </c>
      <c r="R702" s="6">
        <f>RawSales[[#This Row],[Unit price]]*RawSales[[#This Row],[Quantity]]</f>
        <v>89757</v>
      </c>
      <c r="S702" s="6">
        <f>RawSales[[#This Row],[Subtotal]]*$B$1</f>
        <v>4487.8500000000004</v>
      </c>
      <c r="T702" s="6" t="b">
        <f>ROUND(RawSales[[#This Row],[Subtotal]],2)=ROUND(RawSales[[#This Row],[cogs]],2)</f>
        <v>1</v>
      </c>
      <c r="U702" s="6" t="b">
        <f>ROUND(RawSales[[#This Row],[cogs]]*0.05,2)=ROUND(RawSales[[#This Row],[Tax 5%]],2)</f>
        <v>1</v>
      </c>
      <c r="V702" s="6" t="b">
        <f>ROUND(RawSales[[#This Row],[cogs]]+RawSales[[#This Row],[Tax 5%]],2)=ROUND(RawSales[[#This Row],[Sales]],2)</f>
        <v>1</v>
      </c>
    </row>
    <row r="703" spans="1:22" x14ac:dyDescent="0.35">
      <c r="A703" s="4" t="s">
        <v>1177</v>
      </c>
      <c r="B703" t="s">
        <v>20</v>
      </c>
      <c r="C703" t="s">
        <v>21</v>
      </c>
      <c r="D703" t="s">
        <v>22</v>
      </c>
      <c r="E703" t="s">
        <v>31</v>
      </c>
      <c r="F703" t="s">
        <v>24</v>
      </c>
      <c r="G703" s="6">
        <v>2348</v>
      </c>
      <c r="H703" s="7">
        <v>2</v>
      </c>
      <c r="I703" s="6">
        <v>234.8</v>
      </c>
      <c r="J703" s="6">
        <v>4930.8</v>
      </c>
      <c r="K703" s="5">
        <v>43537.958333333336</v>
      </c>
      <c r="L703" s="4" t="s">
        <v>687</v>
      </c>
      <c r="M703" t="s">
        <v>51</v>
      </c>
      <c r="N703" s="6">
        <v>4696</v>
      </c>
      <c r="O703">
        <v>4.7619047620000003</v>
      </c>
      <c r="P703" s="6">
        <v>234.8</v>
      </c>
      <c r="Q703">
        <v>7.9</v>
      </c>
      <c r="R703" s="6">
        <f>RawSales[[#This Row],[Unit price]]*RawSales[[#This Row],[Quantity]]</f>
        <v>4696</v>
      </c>
      <c r="S703" s="6">
        <f>RawSales[[#This Row],[Subtotal]]*$B$1</f>
        <v>234.8</v>
      </c>
      <c r="T703" s="6" t="b">
        <f>ROUND(RawSales[[#This Row],[Subtotal]],2)=ROUND(RawSales[[#This Row],[cogs]],2)</f>
        <v>1</v>
      </c>
      <c r="U703" s="6" t="b">
        <f>ROUND(RawSales[[#This Row],[cogs]]*0.05,2)=ROUND(RawSales[[#This Row],[Tax 5%]],2)</f>
        <v>1</v>
      </c>
      <c r="V703" s="6" t="b">
        <f>ROUND(RawSales[[#This Row],[cogs]]+RawSales[[#This Row],[Tax 5%]],2)=ROUND(RawSales[[#This Row],[Sales]],2)</f>
        <v>1</v>
      </c>
    </row>
    <row r="704" spans="1:22" x14ac:dyDescent="0.35">
      <c r="A704" s="4" t="s">
        <v>1178</v>
      </c>
      <c r="B704" t="s">
        <v>38</v>
      </c>
      <c r="C704" t="s">
        <v>39</v>
      </c>
      <c r="D704" t="s">
        <v>22</v>
      </c>
      <c r="E704" t="s">
        <v>23</v>
      </c>
      <c r="F704" t="s">
        <v>24</v>
      </c>
      <c r="G704" s="6">
        <v>4979</v>
      </c>
      <c r="H704" s="7">
        <v>4</v>
      </c>
      <c r="I704" s="6">
        <v>995.8</v>
      </c>
      <c r="J704" s="6">
        <v>20911.8</v>
      </c>
      <c r="K704" s="4" t="s">
        <v>1179</v>
      </c>
      <c r="L704" s="4" t="s">
        <v>543</v>
      </c>
      <c r="M704" t="s">
        <v>51</v>
      </c>
      <c r="N704" s="6">
        <v>19916</v>
      </c>
      <c r="O704">
        <v>4.7619047620000003</v>
      </c>
      <c r="P704" s="6">
        <v>995.8</v>
      </c>
      <c r="Q704">
        <v>6.4</v>
      </c>
      <c r="R704" s="6">
        <f>RawSales[[#This Row],[Unit price]]*RawSales[[#This Row],[Quantity]]</f>
        <v>19916</v>
      </c>
      <c r="S704" s="6">
        <f>RawSales[[#This Row],[Subtotal]]*$B$1</f>
        <v>995.80000000000007</v>
      </c>
      <c r="T704" s="6" t="b">
        <f>ROUND(RawSales[[#This Row],[Subtotal]],2)=ROUND(RawSales[[#This Row],[cogs]],2)</f>
        <v>1</v>
      </c>
      <c r="U704" s="6" t="b">
        <f>ROUND(RawSales[[#This Row],[cogs]]*0.05,2)=ROUND(RawSales[[#This Row],[Tax 5%]],2)</f>
        <v>1</v>
      </c>
      <c r="V704" s="6" t="b">
        <f>ROUND(RawSales[[#This Row],[cogs]]+RawSales[[#This Row],[Tax 5%]],2)=ROUND(RawSales[[#This Row],[Sales]],2)</f>
        <v>1</v>
      </c>
    </row>
    <row r="705" spans="1:22" x14ac:dyDescent="0.35">
      <c r="A705" s="4" t="s">
        <v>1180</v>
      </c>
      <c r="B705" t="s">
        <v>28</v>
      </c>
      <c r="C705" t="s">
        <v>29</v>
      </c>
      <c r="D705" t="s">
        <v>22</v>
      </c>
      <c r="E705" t="s">
        <v>31</v>
      </c>
      <c r="F705" t="s">
        <v>49</v>
      </c>
      <c r="G705" s="6">
        <v>5986</v>
      </c>
      <c r="H705" s="7">
        <v>2</v>
      </c>
      <c r="I705" s="6">
        <v>598.6</v>
      </c>
      <c r="J705" s="6">
        <v>12570.6</v>
      </c>
      <c r="K705" s="5">
        <v>43477.958333333336</v>
      </c>
      <c r="L705" s="4" t="s">
        <v>539</v>
      </c>
      <c r="M705" t="s">
        <v>34</v>
      </c>
      <c r="N705" s="6">
        <v>11972</v>
      </c>
      <c r="O705">
        <v>4.7619047620000003</v>
      </c>
      <c r="P705" s="6">
        <v>598.6</v>
      </c>
      <c r="Q705">
        <v>6.7</v>
      </c>
      <c r="R705" s="6">
        <f>RawSales[[#This Row],[Unit price]]*RawSales[[#This Row],[Quantity]]</f>
        <v>11972</v>
      </c>
      <c r="S705" s="6">
        <f>RawSales[[#This Row],[Subtotal]]*$B$1</f>
        <v>598.6</v>
      </c>
      <c r="T705" s="6" t="b">
        <f>ROUND(RawSales[[#This Row],[Subtotal]],2)=ROUND(RawSales[[#This Row],[cogs]],2)</f>
        <v>1</v>
      </c>
      <c r="U705" s="6" t="b">
        <f>ROUND(RawSales[[#This Row],[cogs]]*0.05,2)=ROUND(RawSales[[#This Row],[Tax 5%]],2)</f>
        <v>1</v>
      </c>
      <c r="V705" s="6" t="b">
        <f>ROUND(RawSales[[#This Row],[cogs]]+RawSales[[#This Row],[Tax 5%]],2)=ROUND(RawSales[[#This Row],[Sales]],2)</f>
        <v>1</v>
      </c>
    </row>
    <row r="706" spans="1:22" x14ac:dyDescent="0.35">
      <c r="A706" s="4" t="s">
        <v>1181</v>
      </c>
      <c r="B706" t="s">
        <v>28</v>
      </c>
      <c r="C706" t="s">
        <v>29</v>
      </c>
      <c r="D706" t="s">
        <v>22</v>
      </c>
      <c r="E706" t="s">
        <v>23</v>
      </c>
      <c r="F706" t="s">
        <v>40</v>
      </c>
      <c r="G706" s="6">
        <v>1059</v>
      </c>
      <c r="H706" s="7">
        <v>3</v>
      </c>
      <c r="I706" s="6">
        <v>158.85</v>
      </c>
      <c r="J706" s="6">
        <v>3335.85</v>
      </c>
      <c r="K706" s="5">
        <v>43535.958333333336</v>
      </c>
      <c r="L706" s="4" t="s">
        <v>1182</v>
      </c>
      <c r="M706" t="s">
        <v>51</v>
      </c>
      <c r="N706" s="6">
        <v>3177</v>
      </c>
      <c r="O706">
        <v>4.7619047620000003</v>
      </c>
      <c r="P706" s="6">
        <v>158.85</v>
      </c>
      <c r="Q706">
        <v>8.6999999999999993</v>
      </c>
      <c r="R706" s="6">
        <f>RawSales[[#This Row],[Unit price]]*RawSales[[#This Row],[Quantity]]</f>
        <v>3177</v>
      </c>
      <c r="S706" s="6">
        <f>RawSales[[#This Row],[Subtotal]]*$B$1</f>
        <v>158.85000000000002</v>
      </c>
      <c r="T706" s="6" t="b">
        <f>ROUND(RawSales[[#This Row],[Subtotal]],2)=ROUND(RawSales[[#This Row],[cogs]],2)</f>
        <v>1</v>
      </c>
      <c r="U706" s="6" t="b">
        <f>ROUND(RawSales[[#This Row],[cogs]]*0.05,2)=ROUND(RawSales[[#This Row],[Tax 5%]],2)</f>
        <v>1</v>
      </c>
      <c r="V706" s="6" t="b">
        <f>ROUND(RawSales[[#This Row],[cogs]]+RawSales[[#This Row],[Tax 5%]],2)=ROUND(RawSales[[#This Row],[Sales]],2)</f>
        <v>1</v>
      </c>
    </row>
    <row r="707" spans="1:22" x14ac:dyDescent="0.35">
      <c r="A707" s="4" t="s">
        <v>1183</v>
      </c>
      <c r="B707" t="s">
        <v>28</v>
      </c>
      <c r="C707" t="s">
        <v>29</v>
      </c>
      <c r="D707" t="s">
        <v>22</v>
      </c>
      <c r="E707" t="s">
        <v>31</v>
      </c>
      <c r="F707" t="s">
        <v>100</v>
      </c>
      <c r="G707" s="6">
        <v>6129</v>
      </c>
      <c r="H707" s="7">
        <v>5</v>
      </c>
      <c r="I707" s="6">
        <v>1532.25</v>
      </c>
      <c r="J707" s="6">
        <v>32177.25</v>
      </c>
      <c r="K707" s="5">
        <v>43552.958333333336</v>
      </c>
      <c r="L707" s="4" t="s">
        <v>162</v>
      </c>
      <c r="M707" t="s">
        <v>26</v>
      </c>
      <c r="N707" s="6">
        <v>30645</v>
      </c>
      <c r="O707">
        <v>4.7619047620000003</v>
      </c>
      <c r="P707" s="6">
        <v>1532.25</v>
      </c>
      <c r="Q707">
        <v>7</v>
      </c>
      <c r="R707" s="6">
        <f>RawSales[[#This Row],[Unit price]]*RawSales[[#This Row],[Quantity]]</f>
        <v>30645</v>
      </c>
      <c r="S707" s="6">
        <f>RawSales[[#This Row],[Subtotal]]*$B$1</f>
        <v>1532.25</v>
      </c>
      <c r="T707" s="6" t="b">
        <f>ROUND(RawSales[[#This Row],[Subtotal]],2)=ROUND(RawSales[[#This Row],[cogs]],2)</f>
        <v>1</v>
      </c>
      <c r="U707" s="6" t="b">
        <f>ROUND(RawSales[[#This Row],[cogs]]*0.05,2)=ROUND(RawSales[[#This Row],[Tax 5%]],2)</f>
        <v>1</v>
      </c>
      <c r="V707" s="6" t="b">
        <f>ROUND(RawSales[[#This Row],[cogs]]+RawSales[[#This Row],[Tax 5%]],2)=ROUND(RawSales[[#This Row],[Sales]],2)</f>
        <v>1</v>
      </c>
    </row>
    <row r="708" spans="1:22" x14ac:dyDescent="0.35">
      <c r="A708" s="4" t="s">
        <v>1184</v>
      </c>
      <c r="B708" t="s">
        <v>28</v>
      </c>
      <c r="C708" t="s">
        <v>29</v>
      </c>
      <c r="D708" t="s">
        <v>30</v>
      </c>
      <c r="E708" t="s">
        <v>31</v>
      </c>
      <c r="F708" t="s">
        <v>62</v>
      </c>
      <c r="G708" s="6">
        <v>6727</v>
      </c>
      <c r="H708" s="7">
        <v>5</v>
      </c>
      <c r="I708" s="6">
        <v>1681.75</v>
      </c>
      <c r="J708" s="6">
        <v>35316.75</v>
      </c>
      <c r="K708" s="5">
        <v>43522.958333333336</v>
      </c>
      <c r="L708" s="4" t="s">
        <v>194</v>
      </c>
      <c r="M708" t="s">
        <v>26</v>
      </c>
      <c r="N708" s="6">
        <v>33635</v>
      </c>
      <c r="O708">
        <v>4.7619047620000003</v>
      </c>
      <c r="P708" s="6">
        <v>1681.75</v>
      </c>
      <c r="Q708">
        <v>6.9</v>
      </c>
      <c r="R708" s="6">
        <f>RawSales[[#This Row],[Unit price]]*RawSales[[#This Row],[Quantity]]</f>
        <v>33635</v>
      </c>
      <c r="S708" s="6">
        <f>RawSales[[#This Row],[Subtotal]]*$B$1</f>
        <v>1681.75</v>
      </c>
      <c r="T708" s="6" t="b">
        <f>ROUND(RawSales[[#This Row],[Subtotal]],2)=ROUND(RawSales[[#This Row],[cogs]],2)</f>
        <v>1</v>
      </c>
      <c r="U708" s="6" t="b">
        <f>ROUND(RawSales[[#This Row],[cogs]]*0.05,2)=ROUND(RawSales[[#This Row],[Tax 5%]],2)</f>
        <v>1</v>
      </c>
      <c r="V708" s="6" t="b">
        <f>ROUND(RawSales[[#This Row],[cogs]]+RawSales[[#This Row],[Tax 5%]],2)=ROUND(RawSales[[#This Row],[Sales]],2)</f>
        <v>1</v>
      </c>
    </row>
    <row r="709" spans="1:22" x14ac:dyDescent="0.35">
      <c r="A709" s="4" t="s">
        <v>1185</v>
      </c>
      <c r="B709" t="s">
        <v>38</v>
      </c>
      <c r="C709" t="s">
        <v>39</v>
      </c>
      <c r="D709" t="s">
        <v>22</v>
      </c>
      <c r="E709" t="s">
        <v>23</v>
      </c>
      <c r="F709" t="s">
        <v>40</v>
      </c>
      <c r="G709" s="6">
        <v>7813</v>
      </c>
      <c r="H709" s="7">
        <v>10</v>
      </c>
      <c r="I709" s="6">
        <v>3906.5</v>
      </c>
      <c r="J709" s="6">
        <v>82036.5</v>
      </c>
      <c r="K709" s="5">
        <v>43505.958333333336</v>
      </c>
      <c r="L709" s="4" t="s">
        <v>438</v>
      </c>
      <c r="M709" t="s">
        <v>26</v>
      </c>
      <c r="N709" s="6">
        <v>78130</v>
      </c>
      <c r="O709">
        <v>4.7619047620000003</v>
      </c>
      <c r="P709" s="6">
        <v>3906.5</v>
      </c>
      <c r="Q709">
        <v>4.4000000000000004</v>
      </c>
      <c r="R709" s="6">
        <f>RawSales[[#This Row],[Unit price]]*RawSales[[#This Row],[Quantity]]</f>
        <v>78130</v>
      </c>
      <c r="S709" s="6">
        <f>RawSales[[#This Row],[Subtotal]]*$B$1</f>
        <v>3906.5</v>
      </c>
      <c r="T709" s="6" t="b">
        <f>ROUND(RawSales[[#This Row],[Subtotal]],2)=ROUND(RawSales[[#This Row],[cogs]],2)</f>
        <v>1</v>
      </c>
      <c r="U709" s="6" t="b">
        <f>ROUND(RawSales[[#This Row],[cogs]]*0.05,2)=ROUND(RawSales[[#This Row],[Tax 5%]],2)</f>
        <v>1</v>
      </c>
      <c r="V709" s="6" t="b">
        <f>ROUND(RawSales[[#This Row],[cogs]]+RawSales[[#This Row],[Tax 5%]],2)=ROUND(RawSales[[#This Row],[Sales]],2)</f>
        <v>1</v>
      </c>
    </row>
    <row r="710" spans="1:22" x14ac:dyDescent="0.35">
      <c r="A710" s="4" t="s">
        <v>1186</v>
      </c>
      <c r="B710" t="s">
        <v>38</v>
      </c>
      <c r="C710" t="s">
        <v>39</v>
      </c>
      <c r="D710" t="s">
        <v>30</v>
      </c>
      <c r="E710" t="s">
        <v>31</v>
      </c>
      <c r="F710" t="s">
        <v>32</v>
      </c>
      <c r="G710" s="6">
        <v>5561</v>
      </c>
      <c r="H710" s="7">
        <v>7</v>
      </c>
      <c r="I710" s="6">
        <v>1946.35</v>
      </c>
      <c r="J710" s="6">
        <v>40873.35</v>
      </c>
      <c r="K710" s="5">
        <v>43546.958333333336</v>
      </c>
      <c r="L710" s="4" t="s">
        <v>1187</v>
      </c>
      <c r="M710" t="s">
        <v>26</v>
      </c>
      <c r="N710" s="6">
        <v>38927</v>
      </c>
      <c r="O710">
        <v>4.7619047620000003</v>
      </c>
      <c r="P710" s="6">
        <v>1946.35</v>
      </c>
      <c r="Q710">
        <v>8.5</v>
      </c>
      <c r="R710" s="6">
        <f>RawSales[[#This Row],[Unit price]]*RawSales[[#This Row],[Quantity]]</f>
        <v>38927</v>
      </c>
      <c r="S710" s="6">
        <f>RawSales[[#This Row],[Subtotal]]*$B$1</f>
        <v>1946.3500000000001</v>
      </c>
      <c r="T710" s="6" t="b">
        <f>ROUND(RawSales[[#This Row],[Subtotal]],2)=ROUND(RawSales[[#This Row],[cogs]],2)</f>
        <v>1</v>
      </c>
      <c r="U710" s="6" t="b">
        <f>ROUND(RawSales[[#This Row],[cogs]]*0.05,2)=ROUND(RawSales[[#This Row],[Tax 5%]],2)</f>
        <v>1</v>
      </c>
      <c r="V710" s="6" t="b">
        <f>ROUND(RawSales[[#This Row],[cogs]]+RawSales[[#This Row],[Tax 5%]],2)=ROUND(RawSales[[#This Row],[Sales]],2)</f>
        <v>1</v>
      </c>
    </row>
    <row r="711" spans="1:22" x14ac:dyDescent="0.35">
      <c r="A711" s="4" t="s">
        <v>1188</v>
      </c>
      <c r="B711" t="s">
        <v>38</v>
      </c>
      <c r="C711" t="s">
        <v>39</v>
      </c>
      <c r="D711" t="s">
        <v>22</v>
      </c>
      <c r="E711" t="s">
        <v>31</v>
      </c>
      <c r="F711" t="s">
        <v>40</v>
      </c>
      <c r="G711" s="6">
        <v>8791</v>
      </c>
      <c r="H711" s="7">
        <v>5</v>
      </c>
      <c r="I711" s="6">
        <v>2197.75</v>
      </c>
      <c r="J711" s="6">
        <v>46152.75</v>
      </c>
      <c r="K711" s="5">
        <v>43537.958333333336</v>
      </c>
      <c r="L711" s="4" t="s">
        <v>1189</v>
      </c>
      <c r="M711" t="s">
        <v>34</v>
      </c>
      <c r="N711" s="6">
        <v>43955</v>
      </c>
      <c r="O711">
        <v>4.7619047620000003</v>
      </c>
      <c r="P711" s="6">
        <v>2197.75</v>
      </c>
      <c r="Q711">
        <v>4.4000000000000004</v>
      </c>
      <c r="R711" s="6">
        <f>RawSales[[#This Row],[Unit price]]*RawSales[[#This Row],[Quantity]]</f>
        <v>43955</v>
      </c>
      <c r="S711" s="6">
        <f>RawSales[[#This Row],[Subtotal]]*$B$1</f>
        <v>2197.75</v>
      </c>
      <c r="T711" s="6" t="b">
        <f>ROUND(RawSales[[#This Row],[Subtotal]],2)=ROUND(RawSales[[#This Row],[cogs]],2)</f>
        <v>1</v>
      </c>
      <c r="U711" s="6" t="b">
        <f>ROUND(RawSales[[#This Row],[cogs]]*0.05,2)=ROUND(RawSales[[#This Row],[Tax 5%]],2)</f>
        <v>1</v>
      </c>
      <c r="V711" s="6" t="b">
        <f>ROUND(RawSales[[#This Row],[cogs]]+RawSales[[#This Row],[Tax 5%]],2)=ROUND(RawSales[[#This Row],[Sales]],2)</f>
        <v>1</v>
      </c>
    </row>
    <row r="712" spans="1:22" x14ac:dyDescent="0.35">
      <c r="A712" s="4" t="s">
        <v>1190</v>
      </c>
      <c r="B712" t="s">
        <v>28</v>
      </c>
      <c r="C712" t="s">
        <v>29</v>
      </c>
      <c r="D712" t="s">
        <v>30</v>
      </c>
      <c r="E712" t="s">
        <v>23</v>
      </c>
      <c r="F712" t="s">
        <v>49</v>
      </c>
      <c r="G712" s="6">
        <v>5431</v>
      </c>
      <c r="H712" s="7">
        <v>9</v>
      </c>
      <c r="I712" s="6">
        <v>2443.9499999999998</v>
      </c>
      <c r="J712" s="6">
        <v>51322.95</v>
      </c>
      <c r="K712" s="5">
        <v>43517.958333333336</v>
      </c>
      <c r="L712" s="4" t="s">
        <v>1191</v>
      </c>
      <c r="M712" t="s">
        <v>26</v>
      </c>
      <c r="N712" s="6">
        <v>48879</v>
      </c>
      <c r="O712">
        <v>4.7619047620000003</v>
      </c>
      <c r="P712" s="6">
        <v>2443.9499999999998</v>
      </c>
      <c r="Q712">
        <v>8.9</v>
      </c>
      <c r="R712" s="6">
        <f>RawSales[[#This Row],[Unit price]]*RawSales[[#This Row],[Quantity]]</f>
        <v>48879</v>
      </c>
      <c r="S712" s="6">
        <f>RawSales[[#This Row],[Subtotal]]*$B$1</f>
        <v>2443.9500000000003</v>
      </c>
      <c r="T712" s="6" t="b">
        <f>ROUND(RawSales[[#This Row],[Subtotal]],2)=ROUND(RawSales[[#This Row],[cogs]],2)</f>
        <v>1</v>
      </c>
      <c r="U712" s="6" t="b">
        <f>ROUND(RawSales[[#This Row],[cogs]]*0.05,2)=ROUND(RawSales[[#This Row],[Tax 5%]],2)</f>
        <v>1</v>
      </c>
      <c r="V712" s="6" t="b">
        <f>ROUND(RawSales[[#This Row],[cogs]]+RawSales[[#This Row],[Tax 5%]],2)=ROUND(RawSales[[#This Row],[Sales]],2)</f>
        <v>1</v>
      </c>
    </row>
    <row r="713" spans="1:22" x14ac:dyDescent="0.35">
      <c r="A713" s="4" t="s">
        <v>1192</v>
      </c>
      <c r="B713" t="s">
        <v>20</v>
      </c>
      <c r="C713" t="s">
        <v>21</v>
      </c>
      <c r="D713" t="s">
        <v>30</v>
      </c>
      <c r="E713" t="s">
        <v>23</v>
      </c>
      <c r="F713" t="s">
        <v>40</v>
      </c>
      <c r="G713" s="6">
        <v>9388</v>
      </c>
      <c r="H713" s="7">
        <v>7</v>
      </c>
      <c r="I713" s="6">
        <v>3285.8</v>
      </c>
      <c r="J713" s="6">
        <v>69001.8</v>
      </c>
      <c r="K713" s="5">
        <v>43469.958333333336</v>
      </c>
      <c r="L713" s="4" t="s">
        <v>536</v>
      </c>
      <c r="M713" t="s">
        <v>51</v>
      </c>
      <c r="N713" s="6">
        <v>65716</v>
      </c>
      <c r="O713">
        <v>4.7619047620000003</v>
      </c>
      <c r="P713" s="6">
        <v>3285.8</v>
      </c>
      <c r="Q713">
        <v>7.3</v>
      </c>
      <c r="R713" s="6">
        <f>RawSales[[#This Row],[Unit price]]*RawSales[[#This Row],[Quantity]]</f>
        <v>65716</v>
      </c>
      <c r="S713" s="6">
        <f>RawSales[[#This Row],[Subtotal]]*$B$1</f>
        <v>3285.8</v>
      </c>
      <c r="T713" s="6" t="b">
        <f>ROUND(RawSales[[#This Row],[Subtotal]],2)=ROUND(RawSales[[#This Row],[cogs]],2)</f>
        <v>1</v>
      </c>
      <c r="U713" s="6" t="b">
        <f>ROUND(RawSales[[#This Row],[cogs]]*0.05,2)=ROUND(RawSales[[#This Row],[Tax 5%]],2)</f>
        <v>1</v>
      </c>
      <c r="V713" s="6" t="b">
        <f>ROUND(RawSales[[#This Row],[cogs]]+RawSales[[#This Row],[Tax 5%]],2)=ROUND(RawSales[[#This Row],[Sales]],2)</f>
        <v>1</v>
      </c>
    </row>
    <row r="714" spans="1:22" x14ac:dyDescent="0.35">
      <c r="A714" s="4" t="s">
        <v>1193</v>
      </c>
      <c r="B714" t="s">
        <v>28</v>
      </c>
      <c r="C714" t="s">
        <v>29</v>
      </c>
      <c r="D714" t="s">
        <v>22</v>
      </c>
      <c r="E714" t="s">
        <v>23</v>
      </c>
      <c r="F714" t="s">
        <v>40</v>
      </c>
      <c r="G714" s="6">
        <v>1322</v>
      </c>
      <c r="H714" s="7">
        <v>5</v>
      </c>
      <c r="I714" s="6">
        <v>330.5</v>
      </c>
      <c r="J714" s="6">
        <v>6940.5</v>
      </c>
      <c r="K714" s="5">
        <v>43525.958333333336</v>
      </c>
      <c r="L714" s="4" t="s">
        <v>801</v>
      </c>
      <c r="M714" t="s">
        <v>26</v>
      </c>
      <c r="N714" s="6">
        <v>6610</v>
      </c>
      <c r="O714">
        <v>4.7619047620000003</v>
      </c>
      <c r="P714" s="6">
        <v>330.5</v>
      </c>
      <c r="Q714">
        <v>4.3</v>
      </c>
      <c r="R714" s="6">
        <f>RawSales[[#This Row],[Unit price]]*RawSales[[#This Row],[Quantity]]</f>
        <v>6610</v>
      </c>
      <c r="S714" s="6">
        <f>RawSales[[#This Row],[Subtotal]]*$B$1</f>
        <v>330.5</v>
      </c>
      <c r="T714" s="6" t="b">
        <f>ROUND(RawSales[[#This Row],[Subtotal]],2)=ROUND(RawSales[[#This Row],[cogs]],2)</f>
        <v>1</v>
      </c>
      <c r="U714" s="6" t="b">
        <f>ROUND(RawSales[[#This Row],[cogs]]*0.05,2)=ROUND(RawSales[[#This Row],[Tax 5%]],2)</f>
        <v>1</v>
      </c>
      <c r="V714" s="6" t="b">
        <f>ROUND(RawSales[[#This Row],[cogs]]+RawSales[[#This Row],[Tax 5%]],2)=ROUND(RawSales[[#This Row],[Sales]],2)</f>
        <v>1</v>
      </c>
    </row>
    <row r="715" spans="1:22" x14ac:dyDescent="0.35">
      <c r="A715" s="4" t="s">
        <v>1194</v>
      </c>
      <c r="B715" t="s">
        <v>20</v>
      </c>
      <c r="C715" t="s">
        <v>21</v>
      </c>
      <c r="D715" t="s">
        <v>22</v>
      </c>
      <c r="E715" t="s">
        <v>23</v>
      </c>
      <c r="F715" t="s">
        <v>55</v>
      </c>
      <c r="G715" s="6">
        <v>3442</v>
      </c>
      <c r="H715" s="7">
        <v>6</v>
      </c>
      <c r="I715" s="6">
        <v>1032.5999999999999</v>
      </c>
      <c r="J715" s="6">
        <v>21684.6</v>
      </c>
      <c r="K715" s="5">
        <v>43513.958333333336</v>
      </c>
      <c r="L715" s="4" t="s">
        <v>1195</v>
      </c>
      <c r="M715" t="s">
        <v>26</v>
      </c>
      <c r="N715" s="6">
        <v>20652</v>
      </c>
      <c r="O715">
        <v>4.7619047620000003</v>
      </c>
      <c r="P715" s="6">
        <v>1032.5999999999999</v>
      </c>
      <c r="Q715">
        <v>9.8000000000000007</v>
      </c>
      <c r="R715" s="6">
        <f>RawSales[[#This Row],[Unit price]]*RawSales[[#This Row],[Quantity]]</f>
        <v>20652</v>
      </c>
      <c r="S715" s="6">
        <f>RawSales[[#This Row],[Subtotal]]*$B$1</f>
        <v>1032.6000000000001</v>
      </c>
      <c r="T715" s="6" t="b">
        <f>ROUND(RawSales[[#This Row],[Subtotal]],2)=ROUND(RawSales[[#This Row],[cogs]],2)</f>
        <v>1</v>
      </c>
      <c r="U715" s="6" t="b">
        <f>ROUND(RawSales[[#This Row],[cogs]]*0.05,2)=ROUND(RawSales[[#This Row],[Tax 5%]],2)</f>
        <v>1</v>
      </c>
      <c r="V715" s="6" t="b">
        <f>ROUND(RawSales[[#This Row],[cogs]]+RawSales[[#This Row],[Tax 5%]],2)=ROUND(RawSales[[#This Row],[Sales]],2)</f>
        <v>1</v>
      </c>
    </row>
    <row r="716" spans="1:22" x14ac:dyDescent="0.35">
      <c r="A716" s="4" t="s">
        <v>1196</v>
      </c>
      <c r="B716" t="s">
        <v>20</v>
      </c>
      <c r="C716" t="s">
        <v>21</v>
      </c>
      <c r="D716" t="s">
        <v>22</v>
      </c>
      <c r="E716" t="s">
        <v>23</v>
      </c>
      <c r="F716" t="s">
        <v>32</v>
      </c>
      <c r="G716" s="6">
        <v>5259</v>
      </c>
      <c r="H716" s="7">
        <v>8</v>
      </c>
      <c r="I716" s="6">
        <v>2103.6</v>
      </c>
      <c r="J716" s="6">
        <v>44175.6</v>
      </c>
      <c r="K716" s="5">
        <v>43545.958333333336</v>
      </c>
      <c r="L716" s="4" t="s">
        <v>343</v>
      </c>
      <c r="M716" t="s">
        <v>51</v>
      </c>
      <c r="N716" s="6">
        <v>42072</v>
      </c>
      <c r="O716">
        <v>4.7619047620000003</v>
      </c>
      <c r="P716" s="6">
        <v>2103.6</v>
      </c>
      <c r="Q716">
        <v>8.5</v>
      </c>
      <c r="R716" s="6">
        <f>RawSales[[#This Row],[Unit price]]*RawSales[[#This Row],[Quantity]]</f>
        <v>42072</v>
      </c>
      <c r="S716" s="6">
        <f>RawSales[[#This Row],[Subtotal]]*$B$1</f>
        <v>2103.6</v>
      </c>
      <c r="T716" s="6" t="b">
        <f>ROUND(RawSales[[#This Row],[Subtotal]],2)=ROUND(RawSales[[#This Row],[cogs]],2)</f>
        <v>1</v>
      </c>
      <c r="U716" s="6" t="b">
        <f>ROUND(RawSales[[#This Row],[cogs]]*0.05,2)=ROUND(RawSales[[#This Row],[Tax 5%]],2)</f>
        <v>1</v>
      </c>
      <c r="V716" s="6" t="b">
        <f>ROUND(RawSales[[#This Row],[cogs]]+RawSales[[#This Row],[Tax 5%]],2)=ROUND(RawSales[[#This Row],[Sales]],2)</f>
        <v>1</v>
      </c>
    </row>
    <row r="717" spans="1:22" x14ac:dyDescent="0.35">
      <c r="A717" s="4" t="s">
        <v>1197</v>
      </c>
      <c r="B717" t="s">
        <v>38</v>
      </c>
      <c r="C717" t="s">
        <v>39</v>
      </c>
      <c r="D717" t="s">
        <v>30</v>
      </c>
      <c r="E717" t="s">
        <v>31</v>
      </c>
      <c r="F717" t="s">
        <v>40</v>
      </c>
      <c r="G717" s="6">
        <v>7189</v>
      </c>
      <c r="H717" s="7">
        <v>8</v>
      </c>
      <c r="I717" s="6">
        <v>2875.6</v>
      </c>
      <c r="J717" s="6">
        <v>60387.6</v>
      </c>
      <c r="K717" s="5">
        <v>43514.958333333336</v>
      </c>
      <c r="L717" s="4" t="s">
        <v>1198</v>
      </c>
      <c r="M717" t="s">
        <v>34</v>
      </c>
      <c r="N717" s="6">
        <v>57512</v>
      </c>
      <c r="O717">
        <v>4.7619047620000003</v>
      </c>
      <c r="P717" s="6">
        <v>2875.6</v>
      </c>
      <c r="Q717">
        <v>5.5</v>
      </c>
      <c r="R717" s="6">
        <f>RawSales[[#This Row],[Unit price]]*RawSales[[#This Row],[Quantity]]</f>
        <v>57512</v>
      </c>
      <c r="S717" s="6">
        <f>RawSales[[#This Row],[Subtotal]]*$B$1</f>
        <v>2875.6000000000004</v>
      </c>
      <c r="T717" s="6" t="b">
        <f>ROUND(RawSales[[#This Row],[Subtotal]],2)=ROUND(RawSales[[#This Row],[cogs]],2)</f>
        <v>1</v>
      </c>
      <c r="U717" s="6" t="b">
        <f>ROUND(RawSales[[#This Row],[cogs]]*0.05,2)=ROUND(RawSales[[#This Row],[Tax 5%]],2)</f>
        <v>1</v>
      </c>
      <c r="V717" s="6" t="b">
        <f>ROUND(RawSales[[#This Row],[cogs]]+RawSales[[#This Row],[Tax 5%]],2)=ROUND(RawSales[[#This Row],[Sales]],2)</f>
        <v>1</v>
      </c>
    </row>
    <row r="718" spans="1:22" x14ac:dyDescent="0.35">
      <c r="A718" s="4" t="s">
        <v>667</v>
      </c>
      <c r="B718" t="s">
        <v>20</v>
      </c>
      <c r="C718" t="s">
        <v>21</v>
      </c>
      <c r="D718" t="s">
        <v>22</v>
      </c>
      <c r="E718" t="s">
        <v>31</v>
      </c>
      <c r="F718" t="s">
        <v>24</v>
      </c>
      <c r="G718" s="6">
        <v>3504</v>
      </c>
      <c r="H718" s="7">
        <v>9</v>
      </c>
      <c r="I718" s="6">
        <v>1576.8</v>
      </c>
      <c r="J718" s="6">
        <v>33112.800000000003</v>
      </c>
      <c r="K718" s="5">
        <v>43504.958333333336</v>
      </c>
      <c r="L718" s="4" t="s">
        <v>327</v>
      </c>
      <c r="M718" t="s">
        <v>34</v>
      </c>
      <c r="N718" s="6">
        <v>31536</v>
      </c>
      <c r="O718">
        <v>4.7619047620000003</v>
      </c>
      <c r="P718" s="6">
        <v>1576.8</v>
      </c>
      <c r="Q718">
        <v>4.5999999999999996</v>
      </c>
      <c r="R718" s="6">
        <f>RawSales[[#This Row],[Unit price]]*RawSales[[#This Row],[Quantity]]</f>
        <v>31536</v>
      </c>
      <c r="S718" s="6">
        <f>RawSales[[#This Row],[Subtotal]]*$B$1</f>
        <v>1576.8000000000002</v>
      </c>
      <c r="T718" s="6" t="b">
        <f>ROUND(RawSales[[#This Row],[Subtotal]],2)=ROUND(RawSales[[#This Row],[cogs]],2)</f>
        <v>1</v>
      </c>
      <c r="U718" s="6" t="b">
        <f>ROUND(RawSales[[#This Row],[cogs]]*0.05,2)=ROUND(RawSales[[#This Row],[Tax 5%]],2)</f>
        <v>1</v>
      </c>
      <c r="V718" s="6" t="b">
        <f>ROUND(RawSales[[#This Row],[cogs]]+RawSales[[#This Row],[Tax 5%]],2)=ROUND(RawSales[[#This Row],[Sales]],2)</f>
        <v>1</v>
      </c>
    </row>
    <row r="719" spans="1:22" x14ac:dyDescent="0.35">
      <c r="A719" s="4" t="s">
        <v>1199</v>
      </c>
      <c r="B719" t="s">
        <v>28</v>
      </c>
      <c r="C719" t="s">
        <v>29</v>
      </c>
      <c r="D719" t="s">
        <v>22</v>
      </c>
      <c r="E719" t="s">
        <v>31</v>
      </c>
      <c r="F719" t="s">
        <v>40</v>
      </c>
      <c r="G719" s="6">
        <v>4809</v>
      </c>
      <c r="H719" s="7">
        <v>3</v>
      </c>
      <c r="I719" s="6">
        <v>721.35</v>
      </c>
      <c r="J719" s="6">
        <v>15148.35</v>
      </c>
      <c r="K719" s="5">
        <v>43505.958333333336</v>
      </c>
      <c r="L719" s="4" t="s">
        <v>474</v>
      </c>
      <c r="M719" t="s">
        <v>51</v>
      </c>
      <c r="N719" s="6">
        <v>14427</v>
      </c>
      <c r="O719">
        <v>4.7619047620000003</v>
      </c>
      <c r="P719" s="6">
        <v>721.35</v>
      </c>
      <c r="Q719">
        <v>7.8</v>
      </c>
      <c r="R719" s="6">
        <f>RawSales[[#This Row],[Unit price]]*RawSales[[#This Row],[Quantity]]</f>
        <v>14427</v>
      </c>
      <c r="S719" s="6">
        <f>RawSales[[#This Row],[Subtotal]]*$B$1</f>
        <v>721.35</v>
      </c>
      <c r="T719" s="6" t="b">
        <f>ROUND(RawSales[[#This Row],[Subtotal]],2)=ROUND(RawSales[[#This Row],[cogs]],2)</f>
        <v>1</v>
      </c>
      <c r="U719" s="6" t="b">
        <f>ROUND(RawSales[[#This Row],[cogs]]*0.05,2)=ROUND(RawSales[[#This Row],[Tax 5%]],2)</f>
        <v>1</v>
      </c>
      <c r="V719" s="6" t="b">
        <f>ROUND(RawSales[[#This Row],[cogs]]+RawSales[[#This Row],[Tax 5%]],2)=ROUND(RawSales[[#This Row],[Sales]],2)</f>
        <v>1</v>
      </c>
    </row>
    <row r="720" spans="1:22" x14ac:dyDescent="0.35">
      <c r="A720" s="4" t="s">
        <v>1200</v>
      </c>
      <c r="B720" t="s">
        <v>38</v>
      </c>
      <c r="C720" t="s">
        <v>39</v>
      </c>
      <c r="D720" t="s">
        <v>22</v>
      </c>
      <c r="E720" t="s">
        <v>23</v>
      </c>
      <c r="F720" t="s">
        <v>32</v>
      </c>
      <c r="G720" s="6">
        <v>5573</v>
      </c>
      <c r="H720" s="7">
        <v>6</v>
      </c>
      <c r="I720" s="6">
        <v>1671.9</v>
      </c>
      <c r="J720" s="6">
        <v>35109.9</v>
      </c>
      <c r="K720" s="5">
        <v>43519.958333333336</v>
      </c>
      <c r="L720" s="4" t="s">
        <v>1089</v>
      </c>
      <c r="M720" t="s">
        <v>34</v>
      </c>
      <c r="N720" s="6">
        <v>33438</v>
      </c>
      <c r="O720">
        <v>4.7619047620000003</v>
      </c>
      <c r="P720" s="6">
        <v>1671.9</v>
      </c>
      <c r="Q720">
        <v>7</v>
      </c>
      <c r="R720" s="6">
        <f>RawSales[[#This Row],[Unit price]]*RawSales[[#This Row],[Quantity]]</f>
        <v>33438</v>
      </c>
      <c r="S720" s="6">
        <f>RawSales[[#This Row],[Subtotal]]*$B$1</f>
        <v>1671.9</v>
      </c>
      <c r="T720" s="6" t="b">
        <f>ROUND(RawSales[[#This Row],[Subtotal]],2)=ROUND(RawSales[[#This Row],[cogs]],2)</f>
        <v>1</v>
      </c>
      <c r="U720" s="6" t="b">
        <f>ROUND(RawSales[[#This Row],[cogs]]*0.05,2)=ROUND(RawSales[[#This Row],[Tax 5%]],2)</f>
        <v>1</v>
      </c>
      <c r="V720" s="6" t="b">
        <f>ROUND(RawSales[[#This Row],[cogs]]+RawSales[[#This Row],[Tax 5%]],2)=ROUND(RawSales[[#This Row],[Sales]],2)</f>
        <v>1</v>
      </c>
    </row>
    <row r="721" spans="1:22" x14ac:dyDescent="0.35">
      <c r="A721" s="4" t="s">
        <v>1201</v>
      </c>
      <c r="B721" t="s">
        <v>20</v>
      </c>
      <c r="C721" t="s">
        <v>21</v>
      </c>
      <c r="D721" t="s">
        <v>22</v>
      </c>
      <c r="E721" t="s">
        <v>23</v>
      </c>
      <c r="F721" t="s">
        <v>32</v>
      </c>
      <c r="G721" s="6">
        <v>8879</v>
      </c>
      <c r="H721" s="7">
        <v>8</v>
      </c>
      <c r="I721" s="6">
        <v>3551.6</v>
      </c>
      <c r="J721" s="6">
        <v>74583.600000000006</v>
      </c>
      <c r="K721" s="5">
        <v>43512.958333333336</v>
      </c>
      <c r="L721" s="4" t="s">
        <v>1202</v>
      </c>
      <c r="M721" t="s">
        <v>26</v>
      </c>
      <c r="N721" s="6">
        <v>71032</v>
      </c>
      <c r="O721">
        <v>4.7619047620000003</v>
      </c>
      <c r="P721" s="6">
        <v>3551.6</v>
      </c>
      <c r="Q721">
        <v>4.0999999999999996</v>
      </c>
      <c r="R721" s="6">
        <f>RawSales[[#This Row],[Unit price]]*RawSales[[#This Row],[Quantity]]</f>
        <v>71032</v>
      </c>
      <c r="S721" s="6">
        <f>RawSales[[#This Row],[Subtotal]]*$B$1</f>
        <v>3551.6000000000004</v>
      </c>
      <c r="T721" s="6" t="b">
        <f>ROUND(RawSales[[#This Row],[Subtotal]],2)=ROUND(RawSales[[#This Row],[cogs]],2)</f>
        <v>1</v>
      </c>
      <c r="U721" s="6" t="b">
        <f>ROUND(RawSales[[#This Row],[cogs]]*0.05,2)=ROUND(RawSales[[#This Row],[Tax 5%]],2)</f>
        <v>1</v>
      </c>
      <c r="V721" s="6" t="b">
        <f>ROUND(RawSales[[#This Row],[cogs]]+RawSales[[#This Row],[Tax 5%]],2)=ROUND(RawSales[[#This Row],[Sales]],2)</f>
        <v>1</v>
      </c>
    </row>
    <row r="722" spans="1:22" x14ac:dyDescent="0.35">
      <c r="A722" s="4" t="s">
        <v>1203</v>
      </c>
      <c r="B722" t="s">
        <v>28</v>
      </c>
      <c r="C722" t="s">
        <v>29</v>
      </c>
      <c r="D722" t="s">
        <v>22</v>
      </c>
      <c r="E722" t="s">
        <v>31</v>
      </c>
      <c r="F722" t="s">
        <v>43</v>
      </c>
      <c r="G722" s="6">
        <v>9722</v>
      </c>
      <c r="H722" s="7">
        <v>9</v>
      </c>
      <c r="I722" s="6">
        <v>4374.8999999999996</v>
      </c>
      <c r="J722" s="6">
        <v>91872.9</v>
      </c>
      <c r="K722" s="5">
        <v>43553.958333333336</v>
      </c>
      <c r="L722" s="4" t="s">
        <v>809</v>
      </c>
      <c r="M722" t="s">
        <v>34</v>
      </c>
      <c r="N722" s="6">
        <v>87498</v>
      </c>
      <c r="O722">
        <v>4.7619047620000003</v>
      </c>
      <c r="P722" s="6">
        <v>4374.8999999999996</v>
      </c>
      <c r="Q722">
        <v>6</v>
      </c>
      <c r="R722" s="6">
        <f>RawSales[[#This Row],[Unit price]]*RawSales[[#This Row],[Quantity]]</f>
        <v>87498</v>
      </c>
      <c r="S722" s="6">
        <f>RawSales[[#This Row],[Subtotal]]*$B$1</f>
        <v>4374.9000000000005</v>
      </c>
      <c r="T722" s="6" t="b">
        <f>ROUND(RawSales[[#This Row],[Subtotal]],2)=ROUND(RawSales[[#This Row],[cogs]],2)</f>
        <v>1</v>
      </c>
      <c r="U722" s="6" t="b">
        <f>ROUND(RawSales[[#This Row],[cogs]]*0.05,2)=ROUND(RawSales[[#This Row],[Tax 5%]],2)</f>
        <v>1</v>
      </c>
      <c r="V722" s="6" t="b">
        <f>ROUND(RawSales[[#This Row],[cogs]]+RawSales[[#This Row],[Tax 5%]],2)=ROUND(RawSales[[#This Row],[Sales]],2)</f>
        <v>1</v>
      </c>
    </row>
    <row r="723" spans="1:22" x14ac:dyDescent="0.35">
      <c r="A723" s="4" t="s">
        <v>1204</v>
      </c>
      <c r="B723" t="s">
        <v>38</v>
      </c>
      <c r="C723" t="s">
        <v>39</v>
      </c>
      <c r="D723" t="s">
        <v>30</v>
      </c>
      <c r="E723" t="s">
        <v>31</v>
      </c>
      <c r="F723" t="s">
        <v>43</v>
      </c>
      <c r="G723" s="6">
        <v>6287</v>
      </c>
      <c r="H723" s="7">
        <v>2</v>
      </c>
      <c r="I723" s="6">
        <v>628.70000000000005</v>
      </c>
      <c r="J723" s="6">
        <v>13202.7</v>
      </c>
      <c r="K723" s="5">
        <v>43465.958333333336</v>
      </c>
      <c r="L723" s="4" t="s">
        <v>1205</v>
      </c>
      <c r="M723" t="s">
        <v>26</v>
      </c>
      <c r="N723" s="6">
        <v>12574</v>
      </c>
      <c r="O723">
        <v>4.7619047620000003</v>
      </c>
      <c r="P723" s="6">
        <v>628.70000000000005</v>
      </c>
      <c r="Q723">
        <v>5</v>
      </c>
      <c r="R723" s="6">
        <f>RawSales[[#This Row],[Unit price]]*RawSales[[#This Row],[Quantity]]</f>
        <v>12574</v>
      </c>
      <c r="S723" s="6">
        <f>RawSales[[#This Row],[Subtotal]]*$B$1</f>
        <v>628.70000000000005</v>
      </c>
      <c r="T723" s="6" t="b">
        <f>ROUND(RawSales[[#This Row],[Subtotal]],2)=ROUND(RawSales[[#This Row],[cogs]],2)</f>
        <v>1</v>
      </c>
      <c r="U723" s="6" t="b">
        <f>ROUND(RawSales[[#This Row],[cogs]]*0.05,2)=ROUND(RawSales[[#This Row],[Tax 5%]],2)</f>
        <v>1</v>
      </c>
      <c r="V723" s="6" t="b">
        <f>ROUND(RawSales[[#This Row],[cogs]]+RawSales[[#This Row],[Tax 5%]],2)=ROUND(RawSales[[#This Row],[Sales]],2)</f>
        <v>1</v>
      </c>
    </row>
    <row r="724" spans="1:22" x14ac:dyDescent="0.35">
      <c r="A724" s="4" t="s">
        <v>1206</v>
      </c>
      <c r="B724" t="s">
        <v>20</v>
      </c>
      <c r="C724" t="s">
        <v>21</v>
      </c>
      <c r="D724" t="s">
        <v>22</v>
      </c>
      <c r="E724" t="s">
        <v>23</v>
      </c>
      <c r="F724" t="s">
        <v>62</v>
      </c>
      <c r="G724" s="6">
        <v>4005</v>
      </c>
      <c r="H724" s="7">
        <v>4</v>
      </c>
      <c r="I724" s="6">
        <v>801</v>
      </c>
      <c r="J724" s="6">
        <v>16821</v>
      </c>
      <c r="K724" s="5">
        <v>43489.958333333336</v>
      </c>
      <c r="L724" s="4" t="s">
        <v>567</v>
      </c>
      <c r="M724" t="s">
        <v>26</v>
      </c>
      <c r="N724" s="6">
        <v>16020</v>
      </c>
      <c r="O724">
        <v>4.7619047620000003</v>
      </c>
      <c r="P724" s="6">
        <v>801</v>
      </c>
      <c r="Q724">
        <v>9.6999999999999993</v>
      </c>
      <c r="R724" s="6">
        <f>RawSales[[#This Row],[Unit price]]*RawSales[[#This Row],[Quantity]]</f>
        <v>16020</v>
      </c>
      <c r="S724" s="6">
        <f>RawSales[[#This Row],[Subtotal]]*$B$1</f>
        <v>801</v>
      </c>
      <c r="T724" s="6" t="b">
        <f>ROUND(RawSales[[#This Row],[Subtotal]],2)=ROUND(RawSales[[#This Row],[cogs]],2)</f>
        <v>1</v>
      </c>
      <c r="U724" s="6" t="b">
        <f>ROUND(RawSales[[#This Row],[cogs]]*0.05,2)=ROUND(RawSales[[#This Row],[Tax 5%]],2)</f>
        <v>1</v>
      </c>
      <c r="V724" s="6" t="b">
        <f>ROUND(RawSales[[#This Row],[cogs]]+RawSales[[#This Row],[Tax 5%]],2)=ROUND(RawSales[[#This Row],[Sales]],2)</f>
        <v>1</v>
      </c>
    </row>
    <row r="725" spans="1:22" x14ac:dyDescent="0.35">
      <c r="A725" s="4" t="s">
        <v>1207</v>
      </c>
      <c r="B725" t="s">
        <v>20</v>
      </c>
      <c r="C725" t="s">
        <v>21</v>
      </c>
      <c r="D725" t="s">
        <v>22</v>
      </c>
      <c r="E725" t="s">
        <v>23</v>
      </c>
      <c r="F725" t="s">
        <v>62</v>
      </c>
      <c r="G725" s="6">
        <v>7261</v>
      </c>
      <c r="H725" s="7">
        <v>6</v>
      </c>
      <c r="I725" s="6">
        <v>2178.3000000000002</v>
      </c>
      <c r="J725" s="6">
        <v>45744.3</v>
      </c>
      <c r="K725" s="5">
        <v>43465.958333333336</v>
      </c>
      <c r="L725" s="4" t="s">
        <v>1208</v>
      </c>
      <c r="M725" t="s">
        <v>51</v>
      </c>
      <c r="N725" s="6">
        <v>43566</v>
      </c>
      <c r="O725">
        <v>4.7619047620000003</v>
      </c>
      <c r="P725" s="6">
        <v>2178.3000000000002</v>
      </c>
      <c r="Q725">
        <v>6.9</v>
      </c>
      <c r="R725" s="6">
        <f>RawSales[[#This Row],[Unit price]]*RawSales[[#This Row],[Quantity]]</f>
        <v>43566</v>
      </c>
      <c r="S725" s="6">
        <f>RawSales[[#This Row],[Subtotal]]*$B$1</f>
        <v>2178.3000000000002</v>
      </c>
      <c r="T725" s="6" t="b">
        <f>ROUND(RawSales[[#This Row],[Subtotal]],2)=ROUND(RawSales[[#This Row],[cogs]],2)</f>
        <v>1</v>
      </c>
      <c r="U725" s="6" t="b">
        <f>ROUND(RawSales[[#This Row],[cogs]]*0.05,2)=ROUND(RawSales[[#This Row],[Tax 5%]],2)</f>
        <v>1</v>
      </c>
      <c r="V725" s="6" t="b">
        <f>ROUND(RawSales[[#This Row],[cogs]]+RawSales[[#This Row],[Tax 5%]],2)=ROUND(RawSales[[#This Row],[Sales]],2)</f>
        <v>1</v>
      </c>
    </row>
    <row r="726" spans="1:22" x14ac:dyDescent="0.35">
      <c r="A726" s="4" t="s">
        <v>1209</v>
      </c>
      <c r="B726" t="s">
        <v>20</v>
      </c>
      <c r="C726" t="s">
        <v>21</v>
      </c>
      <c r="D726" t="s">
        <v>22</v>
      </c>
      <c r="E726" t="s">
        <v>31</v>
      </c>
      <c r="F726" t="s">
        <v>62</v>
      </c>
      <c r="G726" s="6">
        <v>7692</v>
      </c>
      <c r="H726" s="7">
        <v>10</v>
      </c>
      <c r="I726" s="6">
        <v>3846</v>
      </c>
      <c r="J726" s="6">
        <v>80766</v>
      </c>
      <c r="K726" s="5">
        <v>43540.958333333336</v>
      </c>
      <c r="L726" s="4" t="s">
        <v>819</v>
      </c>
      <c r="M726" t="s">
        <v>34</v>
      </c>
      <c r="N726" s="6">
        <v>76920</v>
      </c>
      <c r="O726">
        <v>4.7619047620000003</v>
      </c>
      <c r="P726" s="6">
        <v>3846</v>
      </c>
      <c r="Q726">
        <v>5.6</v>
      </c>
      <c r="R726" s="6">
        <f>RawSales[[#This Row],[Unit price]]*RawSales[[#This Row],[Quantity]]</f>
        <v>76920</v>
      </c>
      <c r="S726" s="6">
        <f>RawSales[[#This Row],[Subtotal]]*$B$1</f>
        <v>3846</v>
      </c>
      <c r="T726" s="6" t="b">
        <f>ROUND(RawSales[[#This Row],[Subtotal]],2)=ROUND(RawSales[[#This Row],[cogs]],2)</f>
        <v>1</v>
      </c>
      <c r="U726" s="6" t="b">
        <f>ROUND(RawSales[[#This Row],[cogs]]*0.05,2)=ROUND(RawSales[[#This Row],[Tax 5%]],2)</f>
        <v>1</v>
      </c>
      <c r="V726" s="6" t="b">
        <f>ROUND(RawSales[[#This Row],[cogs]]+RawSales[[#This Row],[Tax 5%]],2)=ROUND(RawSales[[#This Row],[Sales]],2)</f>
        <v>1</v>
      </c>
    </row>
    <row r="727" spans="1:22" x14ac:dyDescent="0.35">
      <c r="A727" s="4" t="s">
        <v>1210</v>
      </c>
      <c r="B727" t="s">
        <v>28</v>
      </c>
      <c r="C727" t="s">
        <v>29</v>
      </c>
      <c r="D727" t="s">
        <v>22</v>
      </c>
      <c r="E727" t="s">
        <v>23</v>
      </c>
      <c r="F727" t="s">
        <v>239</v>
      </c>
      <c r="G727" s="6">
        <v>9761</v>
      </c>
      <c r="H727" s="7">
        <v>6</v>
      </c>
      <c r="I727" s="6">
        <v>2928.3</v>
      </c>
      <c r="J727" s="6">
        <v>61494.3</v>
      </c>
      <c r="K727" s="5">
        <v>43471.958333333336</v>
      </c>
      <c r="L727" s="4" t="s">
        <v>774</v>
      </c>
      <c r="M727" t="s">
        <v>34</v>
      </c>
      <c r="N727" s="6">
        <v>58566</v>
      </c>
      <c r="O727">
        <v>4.7619047620000003</v>
      </c>
      <c r="P727" s="6">
        <v>2928.3</v>
      </c>
      <c r="Q727">
        <v>9.9</v>
      </c>
      <c r="R727" s="6">
        <f>RawSales[[#This Row],[Unit price]]*RawSales[[#This Row],[Quantity]]</f>
        <v>58566</v>
      </c>
      <c r="S727" s="6">
        <f>RawSales[[#This Row],[Subtotal]]*$B$1</f>
        <v>2928.3</v>
      </c>
      <c r="T727" s="6" t="b">
        <f>ROUND(RawSales[[#This Row],[Subtotal]],2)=ROUND(RawSales[[#This Row],[cogs]],2)</f>
        <v>1</v>
      </c>
      <c r="U727" s="6" t="b">
        <f>ROUND(RawSales[[#This Row],[cogs]]*0.05,2)=ROUND(RawSales[[#This Row],[Tax 5%]],2)</f>
        <v>1</v>
      </c>
      <c r="V727" s="6" t="b">
        <f>ROUND(RawSales[[#This Row],[cogs]]+RawSales[[#This Row],[Tax 5%]],2)=ROUND(RawSales[[#This Row],[Sales]],2)</f>
        <v>1</v>
      </c>
    </row>
    <row r="728" spans="1:22" x14ac:dyDescent="0.35">
      <c r="A728" s="4" t="s">
        <v>1211</v>
      </c>
      <c r="B728" t="s">
        <v>38</v>
      </c>
      <c r="C728" t="s">
        <v>39</v>
      </c>
      <c r="D728" t="s">
        <v>22</v>
      </c>
      <c r="E728" t="s">
        <v>31</v>
      </c>
      <c r="F728" t="s">
        <v>24</v>
      </c>
      <c r="G728" s="6">
        <v>6565</v>
      </c>
      <c r="H728" s="7">
        <v>2</v>
      </c>
      <c r="I728" s="6">
        <v>656.5</v>
      </c>
      <c r="J728" s="6">
        <v>13786.5</v>
      </c>
      <c r="K728" s="5">
        <v>43481.958333333336</v>
      </c>
      <c r="L728" s="4" t="s">
        <v>1171</v>
      </c>
      <c r="M728" t="s">
        <v>26</v>
      </c>
      <c r="N728" s="6">
        <v>13130</v>
      </c>
      <c r="O728">
        <v>4.7619047620000003</v>
      </c>
      <c r="P728" s="6">
        <v>656.5</v>
      </c>
      <c r="Q728">
        <v>6</v>
      </c>
      <c r="R728" s="6">
        <f>RawSales[[#This Row],[Unit price]]*RawSales[[#This Row],[Quantity]]</f>
        <v>13130</v>
      </c>
      <c r="S728" s="6">
        <f>RawSales[[#This Row],[Subtotal]]*$B$1</f>
        <v>656.5</v>
      </c>
      <c r="T728" s="6" t="b">
        <f>ROUND(RawSales[[#This Row],[Subtotal]],2)=ROUND(RawSales[[#This Row],[cogs]],2)</f>
        <v>1</v>
      </c>
      <c r="U728" s="6" t="b">
        <f>ROUND(RawSales[[#This Row],[cogs]]*0.05,2)=ROUND(RawSales[[#This Row],[Tax 5%]],2)</f>
        <v>1</v>
      </c>
      <c r="V728" s="6" t="b">
        <f>ROUND(RawSales[[#This Row],[cogs]]+RawSales[[#This Row],[Tax 5%]],2)=ROUND(RawSales[[#This Row],[Sales]],2)</f>
        <v>1</v>
      </c>
    </row>
    <row r="729" spans="1:22" x14ac:dyDescent="0.35">
      <c r="A729" s="4" t="s">
        <v>1212</v>
      </c>
      <c r="B729" t="s">
        <v>28</v>
      </c>
      <c r="C729" t="s">
        <v>29</v>
      </c>
      <c r="D729" t="s">
        <v>22</v>
      </c>
      <c r="E729" t="s">
        <v>23</v>
      </c>
      <c r="F729" t="s">
        <v>49</v>
      </c>
      <c r="G729" s="6">
        <v>2232</v>
      </c>
      <c r="H729" s="7">
        <v>4</v>
      </c>
      <c r="I729" s="6">
        <v>446.4</v>
      </c>
      <c r="J729" s="6">
        <v>9374.4</v>
      </c>
      <c r="K729" s="5">
        <v>43537.958333333336</v>
      </c>
      <c r="L729" s="4" t="s">
        <v>1213</v>
      </c>
      <c r="M729" t="s">
        <v>34</v>
      </c>
      <c r="N729" s="6">
        <v>8928</v>
      </c>
      <c r="O729">
        <v>4.7619047620000003</v>
      </c>
      <c r="P729" s="6">
        <v>446.4</v>
      </c>
      <c r="Q729">
        <v>4.0999999999999996</v>
      </c>
      <c r="R729" s="6">
        <f>RawSales[[#This Row],[Unit price]]*RawSales[[#This Row],[Quantity]]</f>
        <v>8928</v>
      </c>
      <c r="S729" s="6">
        <f>RawSales[[#This Row],[Subtotal]]*$B$1</f>
        <v>446.40000000000003</v>
      </c>
      <c r="T729" s="6" t="b">
        <f>ROUND(RawSales[[#This Row],[Subtotal]],2)=ROUND(RawSales[[#This Row],[cogs]],2)</f>
        <v>1</v>
      </c>
      <c r="U729" s="6" t="b">
        <f>ROUND(RawSales[[#This Row],[cogs]]*0.05,2)=ROUND(RawSales[[#This Row],[Tax 5%]],2)</f>
        <v>1</v>
      </c>
      <c r="V729" s="6" t="b">
        <f>ROUND(RawSales[[#This Row],[cogs]]+RawSales[[#This Row],[Tax 5%]],2)=ROUND(RawSales[[#This Row],[Sales]],2)</f>
        <v>1</v>
      </c>
    </row>
    <row r="730" spans="1:22" x14ac:dyDescent="0.35">
      <c r="A730" s="4" t="s">
        <v>1214</v>
      </c>
      <c r="B730" t="s">
        <v>38</v>
      </c>
      <c r="C730" t="s">
        <v>39</v>
      </c>
      <c r="D730" t="s">
        <v>22</v>
      </c>
      <c r="E730" t="s">
        <v>23</v>
      </c>
      <c r="F730" t="s">
        <v>62</v>
      </c>
      <c r="G730" s="6">
        <v>9063</v>
      </c>
      <c r="H730" s="7">
        <v>9</v>
      </c>
      <c r="I730" s="6">
        <v>4078.35</v>
      </c>
      <c r="J730" s="6">
        <v>85645.35</v>
      </c>
      <c r="K730" s="5">
        <v>43482.958333333336</v>
      </c>
      <c r="L730" s="4" t="s">
        <v>865</v>
      </c>
      <c r="M730" t="s">
        <v>26</v>
      </c>
      <c r="N730" s="6">
        <v>81567</v>
      </c>
      <c r="O730">
        <v>4.7619047620000003</v>
      </c>
      <c r="P730" s="6">
        <v>4078.35</v>
      </c>
      <c r="Q730">
        <v>5.0999999999999996</v>
      </c>
      <c r="R730" s="6">
        <f>RawSales[[#This Row],[Unit price]]*RawSales[[#This Row],[Quantity]]</f>
        <v>81567</v>
      </c>
      <c r="S730" s="6">
        <f>RawSales[[#This Row],[Subtotal]]*$B$1</f>
        <v>4078.3500000000004</v>
      </c>
      <c r="T730" s="6" t="b">
        <f>ROUND(RawSales[[#This Row],[Subtotal]],2)=ROUND(RawSales[[#This Row],[cogs]],2)</f>
        <v>1</v>
      </c>
      <c r="U730" s="6" t="b">
        <f>ROUND(RawSales[[#This Row],[cogs]]*0.05,2)=ROUND(RawSales[[#This Row],[Tax 5%]],2)</f>
        <v>1</v>
      </c>
      <c r="V730" s="6" t="b">
        <f>ROUND(RawSales[[#This Row],[cogs]]+RawSales[[#This Row],[Tax 5%]],2)=ROUND(RawSales[[#This Row],[Sales]],2)</f>
        <v>1</v>
      </c>
    </row>
    <row r="731" spans="1:22" x14ac:dyDescent="0.35">
      <c r="A731" s="4" t="s">
        <v>1215</v>
      </c>
      <c r="B731" t="s">
        <v>28</v>
      </c>
      <c r="C731" t="s">
        <v>29</v>
      </c>
      <c r="D731" t="s">
        <v>22</v>
      </c>
      <c r="E731" t="s">
        <v>23</v>
      </c>
      <c r="F731" t="s">
        <v>49</v>
      </c>
      <c r="G731" s="6">
        <v>7284</v>
      </c>
      <c r="H731" s="7">
        <v>7</v>
      </c>
      <c r="I731" s="6">
        <v>2549.4</v>
      </c>
      <c r="J731" s="6">
        <v>53537.4</v>
      </c>
      <c r="K731" s="5">
        <v>43510.958333333336</v>
      </c>
      <c r="L731" s="4" t="s">
        <v>627</v>
      </c>
      <c r="M731" t="s">
        <v>26</v>
      </c>
      <c r="N731" s="6">
        <v>50988</v>
      </c>
      <c r="O731">
        <v>4.7619047620000003</v>
      </c>
      <c r="P731" s="6">
        <v>2549.4</v>
      </c>
      <c r="Q731">
        <v>8.4</v>
      </c>
      <c r="R731" s="6">
        <f>RawSales[[#This Row],[Unit price]]*RawSales[[#This Row],[Quantity]]</f>
        <v>50988</v>
      </c>
      <c r="S731" s="6">
        <f>RawSales[[#This Row],[Subtotal]]*$B$1</f>
        <v>2549.4</v>
      </c>
      <c r="T731" s="6" t="b">
        <f>ROUND(RawSales[[#This Row],[Subtotal]],2)=ROUND(RawSales[[#This Row],[cogs]],2)</f>
        <v>1</v>
      </c>
      <c r="U731" s="6" t="b">
        <f>ROUND(RawSales[[#This Row],[cogs]]*0.05,2)=ROUND(RawSales[[#This Row],[Tax 5%]],2)</f>
        <v>1</v>
      </c>
      <c r="V731" s="6" t="b">
        <f>ROUND(RawSales[[#This Row],[cogs]]+RawSales[[#This Row],[Tax 5%]],2)=ROUND(RawSales[[#This Row],[Sales]],2)</f>
        <v>1</v>
      </c>
    </row>
    <row r="732" spans="1:22" x14ac:dyDescent="0.35">
      <c r="A732" s="4" t="s">
        <v>1216</v>
      </c>
      <c r="B732" t="s">
        <v>20</v>
      </c>
      <c r="C732" t="s">
        <v>21</v>
      </c>
      <c r="D732" t="s">
        <v>30</v>
      </c>
      <c r="E732" t="s">
        <v>31</v>
      </c>
      <c r="F732" t="s">
        <v>49</v>
      </c>
      <c r="G732" s="6">
        <v>5194</v>
      </c>
      <c r="H732" s="7">
        <v>3</v>
      </c>
      <c r="I732" s="6">
        <v>779.1</v>
      </c>
      <c r="J732" s="6">
        <v>16361.1</v>
      </c>
      <c r="K732" s="5">
        <v>43510.958333333336</v>
      </c>
      <c r="L732" s="4" t="s">
        <v>1217</v>
      </c>
      <c r="M732" t="s">
        <v>26</v>
      </c>
      <c r="N732" s="6">
        <v>15582</v>
      </c>
      <c r="O732">
        <v>4.7619047620000003</v>
      </c>
      <c r="P732" s="6">
        <v>779.1</v>
      </c>
      <c r="Q732">
        <v>7.9</v>
      </c>
      <c r="R732" s="6">
        <f>RawSales[[#This Row],[Unit price]]*RawSales[[#This Row],[Quantity]]</f>
        <v>15582</v>
      </c>
      <c r="S732" s="6">
        <f>RawSales[[#This Row],[Subtotal]]*$B$1</f>
        <v>779.1</v>
      </c>
      <c r="T732" s="6" t="b">
        <f>ROUND(RawSales[[#This Row],[Subtotal]],2)=ROUND(RawSales[[#This Row],[cogs]],2)</f>
        <v>1</v>
      </c>
      <c r="U732" s="6" t="b">
        <f>ROUND(RawSales[[#This Row],[cogs]]*0.05,2)=ROUND(RawSales[[#This Row],[Tax 5%]],2)</f>
        <v>1</v>
      </c>
      <c r="V732" s="6" t="b">
        <f>ROUND(RawSales[[#This Row],[cogs]]+RawSales[[#This Row],[Tax 5%]],2)=ROUND(RawSales[[#This Row],[Sales]],2)</f>
        <v>1</v>
      </c>
    </row>
    <row r="733" spans="1:22" x14ac:dyDescent="0.35">
      <c r="A733" s="4" t="s">
        <v>1218</v>
      </c>
      <c r="B733" t="s">
        <v>38</v>
      </c>
      <c r="C733" t="s">
        <v>39</v>
      </c>
      <c r="D733" t="s">
        <v>22</v>
      </c>
      <c r="E733" t="s">
        <v>23</v>
      </c>
      <c r="F733" t="s">
        <v>43</v>
      </c>
      <c r="G733" s="6">
        <v>2850</v>
      </c>
      <c r="H733" s="7">
        <v>8</v>
      </c>
      <c r="I733" s="6">
        <v>1140</v>
      </c>
      <c r="J733" s="6">
        <v>23940</v>
      </c>
      <c r="K733" s="5">
        <v>43501.958333333336</v>
      </c>
      <c r="L733" s="4" t="s">
        <v>1219</v>
      </c>
      <c r="M733" t="s">
        <v>26</v>
      </c>
      <c r="N733" s="6">
        <v>22800</v>
      </c>
      <c r="O733">
        <v>4.7619047620000003</v>
      </c>
      <c r="P733" s="6">
        <v>1140</v>
      </c>
      <c r="Q733">
        <v>6.6</v>
      </c>
      <c r="R733" s="6">
        <f>RawSales[[#This Row],[Unit price]]*RawSales[[#This Row],[Quantity]]</f>
        <v>22800</v>
      </c>
      <c r="S733" s="6">
        <f>RawSales[[#This Row],[Subtotal]]*$B$1</f>
        <v>1140</v>
      </c>
      <c r="T733" s="6" t="b">
        <f>ROUND(RawSales[[#This Row],[Subtotal]],2)=ROUND(RawSales[[#This Row],[cogs]],2)</f>
        <v>1</v>
      </c>
      <c r="U733" s="6" t="b">
        <f>ROUND(RawSales[[#This Row],[cogs]]*0.05,2)=ROUND(RawSales[[#This Row],[Tax 5%]],2)</f>
        <v>1</v>
      </c>
      <c r="V733" s="6" t="b">
        <f>ROUND(RawSales[[#This Row],[cogs]]+RawSales[[#This Row],[Tax 5%]],2)=ROUND(RawSales[[#This Row],[Sales]],2)</f>
        <v>1</v>
      </c>
    </row>
    <row r="734" spans="1:22" x14ac:dyDescent="0.35">
      <c r="A734" s="4" t="s">
        <v>1220</v>
      </c>
      <c r="B734" t="s">
        <v>20</v>
      </c>
      <c r="C734" t="s">
        <v>21</v>
      </c>
      <c r="D734" t="s">
        <v>22</v>
      </c>
      <c r="E734" t="s">
        <v>31</v>
      </c>
      <c r="F734" t="s">
        <v>24</v>
      </c>
      <c r="G734" s="6">
        <v>9853</v>
      </c>
      <c r="H734" s="7">
        <v>6</v>
      </c>
      <c r="I734" s="6">
        <v>2955.9</v>
      </c>
      <c r="J734" s="6">
        <v>62073.9</v>
      </c>
      <c r="K734" s="5">
        <v>43487.958333333336</v>
      </c>
      <c r="L734" s="4" t="s">
        <v>735</v>
      </c>
      <c r="M734" t="s">
        <v>51</v>
      </c>
      <c r="N734" s="6">
        <v>59118</v>
      </c>
      <c r="O734">
        <v>4.7619047620000003</v>
      </c>
      <c r="P734" s="6">
        <v>2955.9</v>
      </c>
      <c r="Q734">
        <v>4</v>
      </c>
      <c r="R734" s="6">
        <f>RawSales[[#This Row],[Unit price]]*RawSales[[#This Row],[Quantity]]</f>
        <v>59118</v>
      </c>
      <c r="S734" s="6">
        <f>RawSales[[#This Row],[Subtotal]]*$B$1</f>
        <v>2955.9</v>
      </c>
      <c r="T734" s="6" t="b">
        <f>ROUND(RawSales[[#This Row],[Subtotal]],2)=ROUND(RawSales[[#This Row],[cogs]],2)</f>
        <v>1</v>
      </c>
      <c r="U734" s="6" t="b">
        <f>ROUND(RawSales[[#This Row],[cogs]]*0.05,2)=ROUND(RawSales[[#This Row],[Tax 5%]],2)</f>
        <v>1</v>
      </c>
      <c r="V734" s="6" t="b">
        <f>ROUND(RawSales[[#This Row],[cogs]]+RawSales[[#This Row],[Tax 5%]],2)=ROUND(RawSales[[#This Row],[Sales]],2)</f>
        <v>1</v>
      </c>
    </row>
    <row r="735" spans="1:22" x14ac:dyDescent="0.35">
      <c r="A735" s="4" t="s">
        <v>1221</v>
      </c>
      <c r="B735" t="s">
        <v>28</v>
      </c>
      <c r="C735" t="s">
        <v>29</v>
      </c>
      <c r="D735" t="s">
        <v>22</v>
      </c>
      <c r="E735" t="s">
        <v>31</v>
      </c>
      <c r="F735" t="s">
        <v>43</v>
      </c>
      <c r="G735" s="6">
        <v>5486</v>
      </c>
      <c r="H735" s="7">
        <v>5</v>
      </c>
      <c r="I735" s="6">
        <v>1371.5</v>
      </c>
      <c r="J735" s="6">
        <v>28801.5</v>
      </c>
      <c r="K735" s="5">
        <v>43552.958333333336</v>
      </c>
      <c r="L735" s="4" t="s">
        <v>1222</v>
      </c>
      <c r="M735" t="s">
        <v>34</v>
      </c>
      <c r="N735" s="6">
        <v>27430</v>
      </c>
      <c r="O735">
        <v>4.7619047620000003</v>
      </c>
      <c r="P735" s="6">
        <v>1371.5</v>
      </c>
      <c r="Q735">
        <v>9.8000000000000007</v>
      </c>
      <c r="R735" s="6">
        <f>RawSales[[#This Row],[Unit price]]*RawSales[[#This Row],[Quantity]]</f>
        <v>27430</v>
      </c>
      <c r="S735" s="6">
        <f>RawSales[[#This Row],[Subtotal]]*$B$1</f>
        <v>1371.5</v>
      </c>
      <c r="T735" s="6" t="b">
        <f>ROUND(RawSales[[#This Row],[Subtotal]],2)=ROUND(RawSales[[#This Row],[cogs]],2)</f>
        <v>1</v>
      </c>
      <c r="U735" s="6" t="b">
        <f>ROUND(RawSales[[#This Row],[cogs]]*0.05,2)=ROUND(RawSales[[#This Row],[Tax 5%]],2)</f>
        <v>1</v>
      </c>
      <c r="V735" s="6" t="b">
        <f>ROUND(RawSales[[#This Row],[cogs]]+RawSales[[#This Row],[Tax 5%]],2)=ROUND(RawSales[[#This Row],[Sales]],2)</f>
        <v>1</v>
      </c>
    </row>
    <row r="736" spans="1:22" x14ac:dyDescent="0.35">
      <c r="A736" s="4" t="s">
        <v>1223</v>
      </c>
      <c r="B736" t="s">
        <v>20</v>
      </c>
      <c r="C736" t="s">
        <v>21</v>
      </c>
      <c r="D736" t="s">
        <v>30</v>
      </c>
      <c r="E736" t="s">
        <v>23</v>
      </c>
      <c r="F736" t="s">
        <v>62</v>
      </c>
      <c r="G736" s="6">
        <v>8948</v>
      </c>
      <c r="H736" s="7">
        <v>5</v>
      </c>
      <c r="I736" s="6">
        <v>2237</v>
      </c>
      <c r="J736" s="6">
        <v>46977</v>
      </c>
      <c r="K736" s="5">
        <v>43553.958333333336</v>
      </c>
      <c r="L736" s="4" t="s">
        <v>418</v>
      </c>
      <c r="M736" t="s">
        <v>26</v>
      </c>
      <c r="N736" s="6">
        <v>44740</v>
      </c>
      <c r="O736">
        <v>4.7619047620000003</v>
      </c>
      <c r="P736" s="6">
        <v>2237</v>
      </c>
      <c r="Q736">
        <v>7.4</v>
      </c>
      <c r="R736" s="6">
        <f>RawSales[[#This Row],[Unit price]]*RawSales[[#This Row],[Quantity]]</f>
        <v>44740</v>
      </c>
      <c r="S736" s="6">
        <f>RawSales[[#This Row],[Subtotal]]*$B$1</f>
        <v>2237</v>
      </c>
      <c r="T736" s="6" t="b">
        <f>ROUND(RawSales[[#This Row],[Subtotal]],2)=ROUND(RawSales[[#This Row],[cogs]],2)</f>
        <v>1</v>
      </c>
      <c r="U736" s="6" t="b">
        <f>ROUND(RawSales[[#This Row],[cogs]]*0.05,2)=ROUND(RawSales[[#This Row],[Tax 5%]],2)</f>
        <v>1</v>
      </c>
      <c r="V736" s="6" t="b">
        <f>ROUND(RawSales[[#This Row],[cogs]]+RawSales[[#This Row],[Tax 5%]],2)=ROUND(RawSales[[#This Row],[Sales]],2)</f>
        <v>1</v>
      </c>
    </row>
    <row r="737" spans="1:22" x14ac:dyDescent="0.35">
      <c r="A737" s="4" t="s">
        <v>1224</v>
      </c>
      <c r="B737" t="s">
        <v>38</v>
      </c>
      <c r="C737" t="s">
        <v>39</v>
      </c>
      <c r="D737" t="s">
        <v>22</v>
      </c>
      <c r="E737" t="s">
        <v>23</v>
      </c>
      <c r="F737" t="s">
        <v>40</v>
      </c>
      <c r="G737" s="6">
        <v>2307</v>
      </c>
      <c r="H737" s="7">
        <v>9</v>
      </c>
      <c r="I737" s="6">
        <v>1038.1500000000001</v>
      </c>
      <c r="J737" s="6">
        <v>21801.15</v>
      </c>
      <c r="K737" s="5">
        <v>43496.958333333336</v>
      </c>
      <c r="L737" s="4" t="s">
        <v>553</v>
      </c>
      <c r="M737" t="s">
        <v>26</v>
      </c>
      <c r="N737" s="6">
        <v>20763</v>
      </c>
      <c r="O737">
        <v>4.7619047620000003</v>
      </c>
      <c r="P737" s="6">
        <v>1038.1500000000001</v>
      </c>
      <c r="Q737">
        <v>4.9000000000000004</v>
      </c>
      <c r="R737" s="6">
        <f>RawSales[[#This Row],[Unit price]]*RawSales[[#This Row],[Quantity]]</f>
        <v>20763</v>
      </c>
      <c r="S737" s="6">
        <f>RawSales[[#This Row],[Subtotal]]*$B$1</f>
        <v>1038.1500000000001</v>
      </c>
      <c r="T737" s="6" t="b">
        <f>ROUND(RawSales[[#This Row],[Subtotal]],2)=ROUND(RawSales[[#This Row],[cogs]],2)</f>
        <v>1</v>
      </c>
      <c r="U737" s="6" t="b">
        <f>ROUND(RawSales[[#This Row],[cogs]]*0.05,2)=ROUND(RawSales[[#This Row],[Tax 5%]],2)</f>
        <v>1</v>
      </c>
      <c r="V737" s="6" t="b">
        <f>ROUND(RawSales[[#This Row],[cogs]]+RawSales[[#This Row],[Tax 5%]],2)=ROUND(RawSales[[#This Row],[Sales]],2)</f>
        <v>1</v>
      </c>
    </row>
    <row r="738" spans="1:22" x14ac:dyDescent="0.35">
      <c r="A738" s="4" t="s">
        <v>1225</v>
      </c>
      <c r="B738" t="s">
        <v>28</v>
      </c>
      <c r="C738" t="s">
        <v>29</v>
      </c>
      <c r="D738" t="s">
        <v>30</v>
      </c>
      <c r="E738" t="s">
        <v>31</v>
      </c>
      <c r="F738" t="s">
        <v>43</v>
      </c>
      <c r="G738" s="6">
        <v>9611</v>
      </c>
      <c r="H738" s="7">
        <v>1</v>
      </c>
      <c r="I738" s="6">
        <v>480.55</v>
      </c>
      <c r="J738" s="6">
        <v>10091.549999999999</v>
      </c>
      <c r="K738" s="4" t="s">
        <v>1106</v>
      </c>
      <c r="L738" s="4" t="s">
        <v>145</v>
      </c>
      <c r="M738" t="s">
        <v>34</v>
      </c>
      <c r="N738" s="6">
        <v>9611</v>
      </c>
      <c r="O738">
        <v>4.7619047620000003</v>
      </c>
      <c r="P738" s="6">
        <v>480.55</v>
      </c>
      <c r="Q738">
        <v>7.8</v>
      </c>
      <c r="R738" s="6">
        <f>RawSales[[#This Row],[Unit price]]*RawSales[[#This Row],[Quantity]]</f>
        <v>9611</v>
      </c>
      <c r="S738" s="6">
        <f>RawSales[[#This Row],[Subtotal]]*$B$1</f>
        <v>480.55</v>
      </c>
      <c r="T738" s="6" t="b">
        <f>ROUND(RawSales[[#This Row],[Subtotal]],2)=ROUND(RawSales[[#This Row],[cogs]],2)</f>
        <v>1</v>
      </c>
      <c r="U738" s="6" t="b">
        <f>ROUND(RawSales[[#This Row],[cogs]]*0.05,2)=ROUND(RawSales[[#This Row],[Tax 5%]],2)</f>
        <v>1</v>
      </c>
      <c r="V738" s="6" t="b">
        <f>ROUND(RawSales[[#This Row],[cogs]]+RawSales[[#This Row],[Tax 5%]],2)=ROUND(RawSales[[#This Row],[Sales]],2)</f>
        <v>1</v>
      </c>
    </row>
    <row r="739" spans="1:22" x14ac:dyDescent="0.35">
      <c r="A739" s="4" t="s">
        <v>1226</v>
      </c>
      <c r="B739" t="s">
        <v>20</v>
      </c>
      <c r="C739" t="s">
        <v>21</v>
      </c>
      <c r="D739" t="s">
        <v>30</v>
      </c>
      <c r="E739" t="s">
        <v>23</v>
      </c>
      <c r="F739" t="s">
        <v>49</v>
      </c>
      <c r="G739" s="6">
        <v>9729</v>
      </c>
      <c r="H739" s="7">
        <v>8</v>
      </c>
      <c r="I739" s="6">
        <v>3891.6</v>
      </c>
      <c r="J739" s="6">
        <v>81723.600000000006</v>
      </c>
      <c r="K739" s="5">
        <v>43532.958333333336</v>
      </c>
      <c r="L739" s="4" t="s">
        <v>1227</v>
      </c>
      <c r="M739" t="s">
        <v>51</v>
      </c>
      <c r="N739" s="6">
        <v>77832</v>
      </c>
      <c r="O739">
        <v>4.7619047620000003</v>
      </c>
      <c r="P739" s="6">
        <v>3891.6</v>
      </c>
      <c r="Q739">
        <v>6.2</v>
      </c>
      <c r="R739" s="6">
        <f>RawSales[[#This Row],[Unit price]]*RawSales[[#This Row],[Quantity]]</f>
        <v>77832</v>
      </c>
      <c r="S739" s="6">
        <f>RawSales[[#This Row],[Subtotal]]*$B$1</f>
        <v>3891.6000000000004</v>
      </c>
      <c r="T739" s="6" t="b">
        <f>ROUND(RawSales[[#This Row],[Subtotal]],2)=ROUND(RawSales[[#This Row],[cogs]],2)</f>
        <v>1</v>
      </c>
      <c r="U739" s="6" t="b">
        <f>ROUND(RawSales[[#This Row],[cogs]]*0.05,2)=ROUND(RawSales[[#This Row],[Tax 5%]],2)</f>
        <v>1</v>
      </c>
      <c r="V739" s="6" t="b">
        <f>ROUND(RawSales[[#This Row],[cogs]]+RawSales[[#This Row],[Tax 5%]],2)=ROUND(RawSales[[#This Row],[Sales]],2)</f>
        <v>1</v>
      </c>
    </row>
    <row r="740" spans="1:22" x14ac:dyDescent="0.35">
      <c r="A740" s="4" t="s">
        <v>1228</v>
      </c>
      <c r="B740" t="s">
        <v>20</v>
      </c>
      <c r="C740" t="s">
        <v>21</v>
      </c>
      <c r="D740" t="s">
        <v>30</v>
      </c>
      <c r="E740" t="s">
        <v>31</v>
      </c>
      <c r="F740" t="s">
        <v>49</v>
      </c>
      <c r="G740" s="6">
        <v>3715</v>
      </c>
      <c r="H740" s="7">
        <v>4</v>
      </c>
      <c r="I740" s="6">
        <v>743</v>
      </c>
      <c r="J740" s="6">
        <v>15603</v>
      </c>
      <c r="K740" s="5">
        <v>43546.958333333336</v>
      </c>
      <c r="L740" s="4" t="s">
        <v>872</v>
      </c>
      <c r="M740" t="s">
        <v>34</v>
      </c>
      <c r="N740" s="6">
        <v>14860</v>
      </c>
      <c r="O740">
        <v>4.7619047620000003</v>
      </c>
      <c r="P740" s="6">
        <v>743</v>
      </c>
      <c r="Q740">
        <v>8.3000000000000007</v>
      </c>
      <c r="R740" s="6">
        <f>RawSales[[#This Row],[Unit price]]*RawSales[[#This Row],[Quantity]]</f>
        <v>14860</v>
      </c>
      <c r="S740" s="6">
        <f>RawSales[[#This Row],[Subtotal]]*$B$1</f>
        <v>743</v>
      </c>
      <c r="T740" s="6" t="b">
        <f>ROUND(RawSales[[#This Row],[Subtotal]],2)=ROUND(RawSales[[#This Row],[cogs]],2)</f>
        <v>1</v>
      </c>
      <c r="U740" s="6" t="b">
        <f>ROUND(RawSales[[#This Row],[cogs]]*0.05,2)=ROUND(RawSales[[#This Row],[Tax 5%]],2)</f>
        <v>1</v>
      </c>
      <c r="V740" s="6" t="b">
        <f>ROUND(RawSales[[#This Row],[cogs]]+RawSales[[#This Row],[Tax 5%]],2)=ROUND(RawSales[[#This Row],[Sales]],2)</f>
        <v>1</v>
      </c>
    </row>
    <row r="741" spans="1:22" x14ac:dyDescent="0.35">
      <c r="A741" s="4" t="s">
        <v>1229</v>
      </c>
      <c r="B741" t="s">
        <v>28</v>
      </c>
      <c r="C741" t="s">
        <v>29</v>
      </c>
      <c r="D741" t="s">
        <v>22</v>
      </c>
      <c r="E741" t="s">
        <v>31</v>
      </c>
      <c r="F741" t="s">
        <v>100</v>
      </c>
      <c r="G741" s="6">
        <v>7257</v>
      </c>
      <c r="H741" s="7">
        <v>8</v>
      </c>
      <c r="I741" s="6">
        <v>2902.8</v>
      </c>
      <c r="J741" s="6">
        <v>60958.8</v>
      </c>
      <c r="K741" s="4" t="s">
        <v>775</v>
      </c>
      <c r="L741" s="4" t="s">
        <v>316</v>
      </c>
      <c r="M741" t="s">
        <v>26</v>
      </c>
      <c r="N741" s="6">
        <v>58056</v>
      </c>
      <c r="O741">
        <v>4.7619047620000003</v>
      </c>
      <c r="P741" s="6">
        <v>2902.8</v>
      </c>
      <c r="Q741">
        <v>4.5999999999999996</v>
      </c>
      <c r="R741" s="6">
        <f>RawSales[[#This Row],[Unit price]]*RawSales[[#This Row],[Quantity]]</f>
        <v>58056</v>
      </c>
      <c r="S741" s="6">
        <f>RawSales[[#This Row],[Subtotal]]*$B$1</f>
        <v>2902.8</v>
      </c>
      <c r="T741" s="6" t="b">
        <f>ROUND(RawSales[[#This Row],[Subtotal]],2)=ROUND(RawSales[[#This Row],[cogs]],2)</f>
        <v>1</v>
      </c>
      <c r="U741" s="6" t="b">
        <f>ROUND(RawSales[[#This Row],[cogs]]*0.05,2)=ROUND(RawSales[[#This Row],[Tax 5%]],2)</f>
        <v>1</v>
      </c>
      <c r="V741" s="6" t="b">
        <f>ROUND(RawSales[[#This Row],[cogs]]+RawSales[[#This Row],[Tax 5%]],2)=ROUND(RawSales[[#This Row],[Sales]],2)</f>
        <v>1</v>
      </c>
    </row>
    <row r="742" spans="1:22" x14ac:dyDescent="0.35">
      <c r="A742" s="4" t="s">
        <v>1230</v>
      </c>
      <c r="B742" t="s">
        <v>38</v>
      </c>
      <c r="C742" t="s">
        <v>39</v>
      </c>
      <c r="D742" t="s">
        <v>30</v>
      </c>
      <c r="E742" t="s">
        <v>31</v>
      </c>
      <c r="F742" t="s">
        <v>24</v>
      </c>
      <c r="G742" s="6">
        <v>8483</v>
      </c>
      <c r="H742" s="7">
        <v>1</v>
      </c>
      <c r="I742" s="6">
        <v>424.15</v>
      </c>
      <c r="J742" s="6">
        <v>8907.15</v>
      </c>
      <c r="K742" s="5">
        <v>43478.958333333336</v>
      </c>
      <c r="L742" s="4" t="s">
        <v>1231</v>
      </c>
      <c r="M742" t="s">
        <v>34</v>
      </c>
      <c r="N742" s="6">
        <v>8483</v>
      </c>
      <c r="O742">
        <v>4.7619047620000003</v>
      </c>
      <c r="P742" s="6">
        <v>424.15</v>
      </c>
      <c r="Q742">
        <v>8.8000000000000007</v>
      </c>
      <c r="R742" s="6">
        <f>RawSales[[#This Row],[Unit price]]*RawSales[[#This Row],[Quantity]]</f>
        <v>8483</v>
      </c>
      <c r="S742" s="6">
        <f>RawSales[[#This Row],[Subtotal]]*$B$1</f>
        <v>424.15000000000003</v>
      </c>
      <c r="T742" s="6" t="b">
        <f>ROUND(RawSales[[#This Row],[Subtotal]],2)=ROUND(RawSales[[#This Row],[cogs]],2)</f>
        <v>1</v>
      </c>
      <c r="U742" s="6" t="b">
        <f>ROUND(RawSales[[#This Row],[cogs]]*0.05,2)=ROUND(RawSales[[#This Row],[Tax 5%]],2)</f>
        <v>1</v>
      </c>
      <c r="V742" s="6" t="b">
        <f>ROUND(RawSales[[#This Row],[cogs]]+RawSales[[#This Row],[Tax 5%]],2)=ROUND(RawSales[[#This Row],[Sales]],2)</f>
        <v>1</v>
      </c>
    </row>
    <row r="743" spans="1:22" x14ac:dyDescent="0.35">
      <c r="A743" s="4" t="s">
        <v>1232</v>
      </c>
      <c r="B743" t="s">
        <v>28</v>
      </c>
      <c r="C743" t="s">
        <v>29</v>
      </c>
      <c r="D743" t="s">
        <v>30</v>
      </c>
      <c r="E743" t="s">
        <v>31</v>
      </c>
      <c r="F743" t="s">
        <v>24</v>
      </c>
      <c r="G743" s="6">
        <v>2112</v>
      </c>
      <c r="H743" s="7">
        <v>8</v>
      </c>
      <c r="I743" s="6">
        <v>844.8</v>
      </c>
      <c r="J743" s="6">
        <v>17740.8</v>
      </c>
      <c r="K743" s="5">
        <v>43465.958333333336</v>
      </c>
      <c r="L743" s="4" t="s">
        <v>1233</v>
      </c>
      <c r="M743" t="s">
        <v>26</v>
      </c>
      <c r="N743" s="6">
        <v>16896</v>
      </c>
      <c r="O743">
        <v>4.7619047620000003</v>
      </c>
      <c r="P743" s="6">
        <v>844.8</v>
      </c>
      <c r="Q743">
        <v>6.3</v>
      </c>
      <c r="R743" s="6">
        <f>RawSales[[#This Row],[Unit price]]*RawSales[[#This Row],[Quantity]]</f>
        <v>16896</v>
      </c>
      <c r="S743" s="6">
        <f>RawSales[[#This Row],[Subtotal]]*$B$1</f>
        <v>844.80000000000007</v>
      </c>
      <c r="T743" s="6" t="b">
        <f>ROUND(RawSales[[#This Row],[Subtotal]],2)=ROUND(RawSales[[#This Row],[cogs]],2)</f>
        <v>1</v>
      </c>
      <c r="U743" s="6" t="b">
        <f>ROUND(RawSales[[#This Row],[cogs]]*0.05,2)=ROUND(RawSales[[#This Row],[Tax 5%]],2)</f>
        <v>1</v>
      </c>
      <c r="V743" s="6" t="b">
        <f>ROUND(RawSales[[#This Row],[cogs]]+RawSales[[#This Row],[Tax 5%]],2)=ROUND(RawSales[[#This Row],[Sales]],2)</f>
        <v>1</v>
      </c>
    </row>
    <row r="744" spans="1:22" x14ac:dyDescent="0.35">
      <c r="A744" s="4" t="s">
        <v>1234</v>
      </c>
      <c r="B744" t="s">
        <v>38</v>
      </c>
      <c r="C744" t="s">
        <v>39</v>
      </c>
      <c r="D744" t="s">
        <v>30</v>
      </c>
      <c r="E744" t="s">
        <v>31</v>
      </c>
      <c r="F744" t="s">
        <v>40</v>
      </c>
      <c r="G744" s="6">
        <v>2785</v>
      </c>
      <c r="H744" s="7">
        <v>7</v>
      </c>
      <c r="I744" s="6">
        <v>974.75</v>
      </c>
      <c r="J744" s="6">
        <v>20469.75</v>
      </c>
      <c r="K744" s="5">
        <v>43537.958333333336</v>
      </c>
      <c r="L744" s="4" t="s">
        <v>1235</v>
      </c>
      <c r="M744" t="s">
        <v>34</v>
      </c>
      <c r="N744" s="6">
        <v>19495</v>
      </c>
      <c r="O744">
        <v>4.7619047620000003</v>
      </c>
      <c r="P744" s="6">
        <v>974.75</v>
      </c>
      <c r="Q744">
        <v>6</v>
      </c>
      <c r="R744" s="6">
        <f>RawSales[[#This Row],[Unit price]]*RawSales[[#This Row],[Quantity]]</f>
        <v>19495</v>
      </c>
      <c r="S744" s="6">
        <f>RawSales[[#This Row],[Subtotal]]*$B$1</f>
        <v>974.75</v>
      </c>
      <c r="T744" s="6" t="b">
        <f>ROUND(RawSales[[#This Row],[Subtotal]],2)=ROUND(RawSales[[#This Row],[cogs]],2)</f>
        <v>1</v>
      </c>
      <c r="U744" s="6" t="b">
        <f>ROUND(RawSales[[#This Row],[cogs]]*0.05,2)=ROUND(RawSales[[#This Row],[Tax 5%]],2)</f>
        <v>1</v>
      </c>
      <c r="V744" s="6" t="b">
        <f>ROUND(RawSales[[#This Row],[cogs]]+RawSales[[#This Row],[Tax 5%]],2)=ROUND(RawSales[[#This Row],[Sales]],2)</f>
        <v>1</v>
      </c>
    </row>
    <row r="745" spans="1:22" x14ac:dyDescent="0.35">
      <c r="A745" s="4" t="s">
        <v>1236</v>
      </c>
      <c r="B745" t="s">
        <v>20</v>
      </c>
      <c r="C745" t="s">
        <v>21</v>
      </c>
      <c r="D745" t="s">
        <v>22</v>
      </c>
      <c r="E745" t="s">
        <v>23</v>
      </c>
      <c r="F745" t="s">
        <v>62</v>
      </c>
      <c r="G745" s="6">
        <v>2224</v>
      </c>
      <c r="H745" s="7">
        <v>10</v>
      </c>
      <c r="I745" s="6">
        <v>1112</v>
      </c>
      <c r="J745" s="6">
        <v>23352</v>
      </c>
      <c r="K745" s="5">
        <v>43504.958333333336</v>
      </c>
      <c r="L745" s="4" t="s">
        <v>336</v>
      </c>
      <c r="M745" t="s">
        <v>26</v>
      </c>
      <c r="N745" s="6">
        <v>22240</v>
      </c>
      <c r="O745">
        <v>4.7619047620000003</v>
      </c>
      <c r="P745" s="6">
        <v>1112</v>
      </c>
      <c r="Q745">
        <v>4.2</v>
      </c>
      <c r="R745" s="6">
        <f>RawSales[[#This Row],[Unit price]]*RawSales[[#This Row],[Quantity]]</f>
        <v>22240</v>
      </c>
      <c r="S745" s="6">
        <f>RawSales[[#This Row],[Subtotal]]*$B$1</f>
        <v>1112</v>
      </c>
      <c r="T745" s="6" t="b">
        <f>ROUND(RawSales[[#This Row],[Subtotal]],2)=ROUND(RawSales[[#This Row],[cogs]],2)</f>
        <v>1</v>
      </c>
      <c r="U745" s="6" t="b">
        <f>ROUND(RawSales[[#This Row],[cogs]]*0.05,2)=ROUND(RawSales[[#This Row],[Tax 5%]],2)</f>
        <v>1</v>
      </c>
      <c r="V745" s="6" t="b">
        <f>ROUND(RawSales[[#This Row],[cogs]]+RawSales[[#This Row],[Tax 5%]],2)=ROUND(RawSales[[#This Row],[Sales]],2)</f>
        <v>1</v>
      </c>
    </row>
    <row r="746" spans="1:22" x14ac:dyDescent="0.35">
      <c r="A746" s="4" t="s">
        <v>1237</v>
      </c>
      <c r="B746" t="s">
        <v>38</v>
      </c>
      <c r="C746" t="s">
        <v>39</v>
      </c>
      <c r="D746" t="s">
        <v>22</v>
      </c>
      <c r="E746" t="s">
        <v>31</v>
      </c>
      <c r="F746" t="s">
        <v>49</v>
      </c>
      <c r="G746" s="6">
        <v>3519</v>
      </c>
      <c r="H746" s="7">
        <v>10</v>
      </c>
      <c r="I746" s="6">
        <v>1759.5</v>
      </c>
      <c r="J746" s="6">
        <v>36949.5</v>
      </c>
      <c r="K746" s="5">
        <v>43540.958333333336</v>
      </c>
      <c r="L746" s="4" t="s">
        <v>116</v>
      </c>
      <c r="M746" t="s">
        <v>51</v>
      </c>
      <c r="N746" s="6">
        <v>35190</v>
      </c>
      <c r="O746">
        <v>4.7619047620000003</v>
      </c>
      <c r="P746" s="6">
        <v>1759.5</v>
      </c>
      <c r="Q746">
        <v>8.4</v>
      </c>
      <c r="R746" s="6">
        <f>RawSales[[#This Row],[Unit price]]*RawSales[[#This Row],[Quantity]]</f>
        <v>35190</v>
      </c>
      <c r="S746" s="6">
        <f>RawSales[[#This Row],[Subtotal]]*$B$1</f>
        <v>1759.5</v>
      </c>
      <c r="T746" s="6" t="b">
        <f>ROUND(RawSales[[#This Row],[Subtotal]],2)=ROUND(RawSales[[#This Row],[cogs]],2)</f>
        <v>1</v>
      </c>
      <c r="U746" s="6" t="b">
        <f>ROUND(RawSales[[#This Row],[cogs]]*0.05,2)=ROUND(RawSales[[#This Row],[Tax 5%]],2)</f>
        <v>1</v>
      </c>
      <c r="V746" s="6" t="b">
        <f>ROUND(RawSales[[#This Row],[cogs]]+RawSales[[#This Row],[Tax 5%]],2)=ROUND(RawSales[[#This Row],[Sales]],2)</f>
        <v>1</v>
      </c>
    </row>
    <row r="747" spans="1:22" x14ac:dyDescent="0.35">
      <c r="A747" s="4" t="s">
        <v>1238</v>
      </c>
      <c r="B747" t="s">
        <v>28</v>
      </c>
      <c r="C747" t="s">
        <v>29</v>
      </c>
      <c r="D747" t="s">
        <v>30</v>
      </c>
      <c r="E747" t="s">
        <v>31</v>
      </c>
      <c r="F747" t="s">
        <v>32</v>
      </c>
      <c r="G747" s="6">
        <v>3175</v>
      </c>
      <c r="H747" s="7">
        <v>4</v>
      </c>
      <c r="I747" s="6">
        <v>635</v>
      </c>
      <c r="J747" s="6">
        <v>13335</v>
      </c>
      <c r="K747" s="5">
        <v>43503.958333333336</v>
      </c>
      <c r="L747" s="4" t="s">
        <v>435</v>
      </c>
      <c r="M747" t="s">
        <v>26</v>
      </c>
      <c r="N747" s="6">
        <v>12700</v>
      </c>
      <c r="O747">
        <v>4.7619047620000003</v>
      </c>
      <c r="P747" s="6">
        <v>635</v>
      </c>
      <c r="Q747">
        <v>8.6</v>
      </c>
      <c r="R747" s="6">
        <f>RawSales[[#This Row],[Unit price]]*RawSales[[#This Row],[Quantity]]</f>
        <v>12700</v>
      </c>
      <c r="S747" s="6">
        <f>RawSales[[#This Row],[Subtotal]]*$B$1</f>
        <v>635</v>
      </c>
      <c r="T747" s="6" t="b">
        <f>ROUND(RawSales[[#This Row],[Subtotal]],2)=ROUND(RawSales[[#This Row],[cogs]],2)</f>
        <v>1</v>
      </c>
      <c r="U747" s="6" t="b">
        <f>ROUND(RawSales[[#This Row],[cogs]]*0.05,2)=ROUND(RawSales[[#This Row],[Tax 5%]],2)</f>
        <v>1</v>
      </c>
      <c r="V747" s="6" t="b">
        <f>ROUND(RawSales[[#This Row],[cogs]]+RawSales[[#This Row],[Tax 5%]],2)=ROUND(RawSales[[#This Row],[Sales]],2)</f>
        <v>1</v>
      </c>
    </row>
    <row r="748" spans="1:22" x14ac:dyDescent="0.35">
      <c r="A748" s="4" t="s">
        <v>1239</v>
      </c>
      <c r="B748" t="s">
        <v>28</v>
      </c>
      <c r="C748" t="s">
        <v>29</v>
      </c>
      <c r="D748" t="s">
        <v>22</v>
      </c>
      <c r="E748" t="s">
        <v>31</v>
      </c>
      <c r="F748" t="s">
        <v>24</v>
      </c>
      <c r="G748" s="6">
        <v>9340</v>
      </c>
      <c r="H748" s="7">
        <v>2</v>
      </c>
      <c r="I748" s="6">
        <v>934</v>
      </c>
      <c r="J748" s="6">
        <v>19614</v>
      </c>
      <c r="K748" s="5">
        <v>43553.958333333336</v>
      </c>
      <c r="L748" s="4" t="s">
        <v>1101</v>
      </c>
      <c r="M748" t="s">
        <v>26</v>
      </c>
      <c r="N748" s="6">
        <v>18680</v>
      </c>
      <c r="O748">
        <v>4.7619047620000003</v>
      </c>
      <c r="P748" s="6">
        <v>934</v>
      </c>
      <c r="Q748">
        <v>5.5</v>
      </c>
      <c r="R748" s="6">
        <f>RawSales[[#This Row],[Unit price]]*RawSales[[#This Row],[Quantity]]</f>
        <v>18680</v>
      </c>
      <c r="S748" s="6">
        <f>RawSales[[#This Row],[Subtotal]]*$B$1</f>
        <v>934</v>
      </c>
      <c r="T748" s="6" t="b">
        <f>ROUND(RawSales[[#This Row],[Subtotal]],2)=ROUND(RawSales[[#This Row],[cogs]],2)</f>
        <v>1</v>
      </c>
      <c r="U748" s="6" t="b">
        <f>ROUND(RawSales[[#This Row],[cogs]]*0.05,2)=ROUND(RawSales[[#This Row],[Tax 5%]],2)</f>
        <v>1</v>
      </c>
      <c r="V748" s="6" t="b">
        <f>ROUND(RawSales[[#This Row],[cogs]]+RawSales[[#This Row],[Tax 5%]],2)=ROUND(RawSales[[#This Row],[Sales]],2)</f>
        <v>1</v>
      </c>
    </row>
    <row r="749" spans="1:22" x14ac:dyDescent="0.35">
      <c r="A749" s="4" t="s">
        <v>1240</v>
      </c>
      <c r="B749" t="s">
        <v>20</v>
      </c>
      <c r="C749" t="s">
        <v>21</v>
      </c>
      <c r="D749" t="s">
        <v>30</v>
      </c>
      <c r="E749" t="s">
        <v>23</v>
      </c>
      <c r="F749" t="s">
        <v>62</v>
      </c>
      <c r="G749" s="6">
        <v>9318</v>
      </c>
      <c r="H749" s="7">
        <v>2</v>
      </c>
      <c r="I749" s="6">
        <v>931.8</v>
      </c>
      <c r="J749" s="6">
        <v>19567.8</v>
      </c>
      <c r="K749" s="5">
        <v>43480.958333333336</v>
      </c>
      <c r="L749" s="4" t="s">
        <v>1241</v>
      </c>
      <c r="M749" t="s">
        <v>51</v>
      </c>
      <c r="N749" s="6">
        <v>18636</v>
      </c>
      <c r="O749">
        <v>4.7619047620000003</v>
      </c>
      <c r="P749" s="6">
        <v>931.8</v>
      </c>
      <c r="Q749">
        <v>8.5</v>
      </c>
      <c r="R749" s="6">
        <f>RawSales[[#This Row],[Unit price]]*RawSales[[#This Row],[Quantity]]</f>
        <v>18636</v>
      </c>
      <c r="S749" s="6">
        <f>RawSales[[#This Row],[Subtotal]]*$B$1</f>
        <v>931.80000000000007</v>
      </c>
      <c r="T749" s="6" t="b">
        <f>ROUND(RawSales[[#This Row],[Subtotal]],2)=ROUND(RawSales[[#This Row],[cogs]],2)</f>
        <v>1</v>
      </c>
      <c r="U749" s="6" t="b">
        <f>ROUND(RawSales[[#This Row],[cogs]]*0.05,2)=ROUND(RawSales[[#This Row],[Tax 5%]],2)</f>
        <v>1</v>
      </c>
      <c r="V749" s="6" t="b">
        <f>ROUND(RawSales[[#This Row],[cogs]]+RawSales[[#This Row],[Tax 5%]],2)=ROUND(RawSales[[#This Row],[Sales]],2)</f>
        <v>1</v>
      </c>
    </row>
    <row r="750" spans="1:22" x14ac:dyDescent="0.35">
      <c r="A750" s="4" t="s">
        <v>1242</v>
      </c>
      <c r="B750" t="s">
        <v>38</v>
      </c>
      <c r="C750" t="s">
        <v>39</v>
      </c>
      <c r="D750" t="s">
        <v>30</v>
      </c>
      <c r="E750" t="s">
        <v>23</v>
      </c>
      <c r="F750" t="s">
        <v>43</v>
      </c>
      <c r="G750" s="6">
        <v>1099</v>
      </c>
      <c r="H750" s="7">
        <v>5</v>
      </c>
      <c r="I750" s="6">
        <v>274.75</v>
      </c>
      <c r="J750" s="6">
        <v>5769.75</v>
      </c>
      <c r="K750" s="5">
        <v>43487.958333333336</v>
      </c>
      <c r="L750" s="4" t="s">
        <v>418</v>
      </c>
      <c r="M750" t="s">
        <v>51</v>
      </c>
      <c r="N750" s="6">
        <v>5495</v>
      </c>
      <c r="O750">
        <v>4.7619047620000003</v>
      </c>
      <c r="P750" s="6">
        <v>274.75</v>
      </c>
      <c r="Q750">
        <v>9.3000000000000007</v>
      </c>
      <c r="R750" s="6">
        <f>RawSales[[#This Row],[Unit price]]*RawSales[[#This Row],[Quantity]]</f>
        <v>5495</v>
      </c>
      <c r="S750" s="6">
        <f>RawSales[[#This Row],[Subtotal]]*$B$1</f>
        <v>274.75</v>
      </c>
      <c r="T750" s="6" t="b">
        <f>ROUND(RawSales[[#This Row],[Subtotal]],2)=ROUND(RawSales[[#This Row],[cogs]],2)</f>
        <v>1</v>
      </c>
      <c r="U750" s="6" t="b">
        <f>ROUND(RawSales[[#This Row],[cogs]]*0.05,2)=ROUND(RawSales[[#This Row],[Tax 5%]],2)</f>
        <v>1</v>
      </c>
      <c r="V750" s="6" t="b">
        <f>ROUND(RawSales[[#This Row],[cogs]]+RawSales[[#This Row],[Tax 5%]],2)=ROUND(RawSales[[#This Row],[Sales]],2)</f>
        <v>1</v>
      </c>
    </row>
    <row r="751" spans="1:22" x14ac:dyDescent="0.35">
      <c r="A751" s="4" t="s">
        <v>1243</v>
      </c>
      <c r="B751" t="s">
        <v>38</v>
      </c>
      <c r="C751" t="s">
        <v>39</v>
      </c>
      <c r="D751" t="s">
        <v>30</v>
      </c>
      <c r="E751" t="s">
        <v>23</v>
      </c>
      <c r="F751" t="s">
        <v>40</v>
      </c>
      <c r="G751" s="6">
        <v>1528</v>
      </c>
      <c r="H751" s="7">
        <v>5</v>
      </c>
      <c r="I751" s="6">
        <v>382</v>
      </c>
      <c r="J751" s="6">
        <v>8022</v>
      </c>
      <c r="K751" s="5">
        <v>43531.958333333336</v>
      </c>
      <c r="L751" s="4" t="s">
        <v>1244</v>
      </c>
      <c r="M751" t="s">
        <v>26</v>
      </c>
      <c r="N751" s="6">
        <v>7640</v>
      </c>
      <c r="O751">
        <v>4.7619047620000003</v>
      </c>
      <c r="P751" s="6">
        <v>382</v>
      </c>
      <c r="Q751">
        <v>9.6</v>
      </c>
      <c r="R751" s="6">
        <f>RawSales[[#This Row],[Unit price]]*RawSales[[#This Row],[Quantity]]</f>
        <v>7640</v>
      </c>
      <c r="S751" s="6">
        <f>RawSales[[#This Row],[Subtotal]]*$B$1</f>
        <v>382</v>
      </c>
      <c r="T751" s="6" t="b">
        <f>ROUND(RawSales[[#This Row],[Subtotal]],2)=ROUND(RawSales[[#This Row],[cogs]],2)</f>
        <v>1</v>
      </c>
      <c r="U751" s="6" t="b">
        <f>ROUND(RawSales[[#This Row],[cogs]]*0.05,2)=ROUND(RawSales[[#This Row],[Tax 5%]],2)</f>
        <v>1</v>
      </c>
      <c r="V751" s="6" t="b">
        <f>ROUND(RawSales[[#This Row],[cogs]]+RawSales[[#This Row],[Tax 5%]],2)=ROUND(RawSales[[#This Row],[Sales]],2)</f>
        <v>1</v>
      </c>
    </row>
    <row r="752" spans="1:22" x14ac:dyDescent="0.35">
      <c r="A752" s="4" t="s">
        <v>592</v>
      </c>
      <c r="B752" t="s">
        <v>20</v>
      </c>
      <c r="C752" t="s">
        <v>21</v>
      </c>
      <c r="D752" t="s">
        <v>30</v>
      </c>
      <c r="E752" t="s">
        <v>23</v>
      </c>
      <c r="F752" t="s">
        <v>40</v>
      </c>
      <c r="G752" s="6">
        <v>6606</v>
      </c>
      <c r="H752" s="7">
        <v>6</v>
      </c>
      <c r="I752" s="6">
        <v>1981.8</v>
      </c>
      <c r="J752" s="6">
        <v>41617.800000000003</v>
      </c>
      <c r="K752" s="5">
        <v>43487.958333333336</v>
      </c>
      <c r="L752" s="4" t="s">
        <v>593</v>
      </c>
      <c r="M752" t="s">
        <v>26</v>
      </c>
      <c r="N752" s="6">
        <v>39636</v>
      </c>
      <c r="O752">
        <v>4.7619047620000003</v>
      </c>
      <c r="P752" s="6">
        <v>1981.8</v>
      </c>
      <c r="Q752">
        <v>7.3</v>
      </c>
      <c r="R752" s="6">
        <f>RawSales[[#This Row],[Unit price]]*RawSales[[#This Row],[Quantity]]</f>
        <v>39636</v>
      </c>
      <c r="S752" s="6">
        <f>RawSales[[#This Row],[Subtotal]]*$B$1</f>
        <v>1981.8000000000002</v>
      </c>
      <c r="T752" s="6" t="b">
        <f>ROUND(RawSales[[#This Row],[Subtotal]],2)=ROUND(RawSales[[#This Row],[cogs]],2)</f>
        <v>1</v>
      </c>
      <c r="U752" s="6" t="b">
        <f>ROUND(RawSales[[#This Row],[cogs]]*0.05,2)=ROUND(RawSales[[#This Row],[Tax 5%]],2)</f>
        <v>1</v>
      </c>
      <c r="V752" s="6" t="b">
        <f>ROUND(RawSales[[#This Row],[cogs]]+RawSales[[#This Row],[Tax 5%]],2)=ROUND(RawSales[[#This Row],[Sales]],2)</f>
        <v>1</v>
      </c>
    </row>
    <row r="753" spans="1:22" x14ac:dyDescent="0.35">
      <c r="A753" s="4" t="s">
        <v>1245</v>
      </c>
      <c r="B753" t="s">
        <v>20</v>
      </c>
      <c r="C753" t="s">
        <v>21</v>
      </c>
      <c r="D753" t="s">
        <v>22</v>
      </c>
      <c r="E753" t="s">
        <v>23</v>
      </c>
      <c r="F753" t="s">
        <v>49</v>
      </c>
      <c r="G753" s="6">
        <v>9670</v>
      </c>
      <c r="H753" s="7">
        <v>5</v>
      </c>
      <c r="I753" s="6">
        <v>2417.5</v>
      </c>
      <c r="J753" s="6">
        <v>50767.5</v>
      </c>
      <c r="K753" s="5">
        <v>43478.958333333336</v>
      </c>
      <c r="L753" s="4" t="s">
        <v>196</v>
      </c>
      <c r="M753" t="s">
        <v>34</v>
      </c>
      <c r="N753" s="6">
        <v>48350</v>
      </c>
      <c r="O753">
        <v>4.7619047620000003</v>
      </c>
      <c r="P753" s="6">
        <v>2417.5</v>
      </c>
      <c r="Q753">
        <v>7</v>
      </c>
      <c r="R753" s="6">
        <f>RawSales[[#This Row],[Unit price]]*RawSales[[#This Row],[Quantity]]</f>
        <v>48350</v>
      </c>
      <c r="S753" s="6">
        <f>RawSales[[#This Row],[Subtotal]]*$B$1</f>
        <v>2417.5</v>
      </c>
      <c r="T753" s="6" t="b">
        <f>ROUND(RawSales[[#This Row],[Subtotal]],2)=ROUND(RawSales[[#This Row],[cogs]],2)</f>
        <v>1</v>
      </c>
      <c r="U753" s="6" t="b">
        <f>ROUND(RawSales[[#This Row],[cogs]]*0.05,2)=ROUND(RawSales[[#This Row],[Tax 5%]],2)</f>
        <v>1</v>
      </c>
      <c r="V753" s="6" t="b">
        <f>ROUND(RawSales[[#This Row],[cogs]]+RawSales[[#This Row],[Tax 5%]],2)=ROUND(RawSales[[#This Row],[Sales]],2)</f>
        <v>1</v>
      </c>
    </row>
    <row r="754" spans="1:22" x14ac:dyDescent="0.35">
      <c r="A754" s="4" t="s">
        <v>1246</v>
      </c>
      <c r="B754" t="s">
        <v>28</v>
      </c>
      <c r="C754" t="s">
        <v>29</v>
      </c>
      <c r="D754" t="s">
        <v>22</v>
      </c>
      <c r="E754" t="s">
        <v>23</v>
      </c>
      <c r="F754" t="s">
        <v>32</v>
      </c>
      <c r="G754" s="6">
        <v>2190</v>
      </c>
      <c r="H754" s="7">
        <v>3</v>
      </c>
      <c r="I754" s="6">
        <v>328.5</v>
      </c>
      <c r="J754" s="6">
        <v>6898.5</v>
      </c>
      <c r="K754" s="5">
        <v>43473.958333333336</v>
      </c>
      <c r="L754" s="4" t="s">
        <v>1035</v>
      </c>
      <c r="M754" t="s">
        <v>34</v>
      </c>
      <c r="N754" s="6">
        <v>6570</v>
      </c>
      <c r="O754">
        <v>4.7619047620000003</v>
      </c>
      <c r="P754" s="6">
        <v>328.5</v>
      </c>
      <c r="Q754">
        <v>4.7</v>
      </c>
      <c r="R754" s="6">
        <f>RawSales[[#This Row],[Unit price]]*RawSales[[#This Row],[Quantity]]</f>
        <v>6570</v>
      </c>
      <c r="S754" s="6">
        <f>RawSales[[#This Row],[Subtotal]]*$B$1</f>
        <v>328.5</v>
      </c>
      <c r="T754" s="6" t="b">
        <f>ROUND(RawSales[[#This Row],[Subtotal]],2)=ROUND(RawSales[[#This Row],[cogs]],2)</f>
        <v>1</v>
      </c>
      <c r="U754" s="6" t="b">
        <f>ROUND(RawSales[[#This Row],[cogs]]*0.05,2)=ROUND(RawSales[[#This Row],[Tax 5%]],2)</f>
        <v>1</v>
      </c>
      <c r="V754" s="6" t="b">
        <f>ROUND(RawSales[[#This Row],[cogs]]+RawSales[[#This Row],[Tax 5%]],2)=ROUND(RawSales[[#This Row],[Sales]],2)</f>
        <v>1</v>
      </c>
    </row>
    <row r="755" spans="1:22" x14ac:dyDescent="0.35">
      <c r="A755" s="4" t="s">
        <v>1247</v>
      </c>
      <c r="B755" t="s">
        <v>20</v>
      </c>
      <c r="C755" t="s">
        <v>21</v>
      </c>
      <c r="D755" t="s">
        <v>22</v>
      </c>
      <c r="E755" t="s">
        <v>23</v>
      </c>
      <c r="F755" t="s">
        <v>140</v>
      </c>
      <c r="G755" s="6">
        <v>7422</v>
      </c>
      <c r="H755" s="7">
        <v>10</v>
      </c>
      <c r="I755" s="6">
        <v>3711</v>
      </c>
      <c r="J755" s="6">
        <v>77931</v>
      </c>
      <c r="K755" s="5">
        <v>43465.958333333336</v>
      </c>
      <c r="L755" s="4" t="s">
        <v>381</v>
      </c>
      <c r="M755" t="s">
        <v>51</v>
      </c>
      <c r="N755" s="6">
        <v>74220</v>
      </c>
      <c r="O755">
        <v>4.7619047620000003</v>
      </c>
      <c r="P755" s="6">
        <v>3711</v>
      </c>
      <c r="Q755">
        <v>4.3</v>
      </c>
      <c r="R755" s="6">
        <f>RawSales[[#This Row],[Unit price]]*RawSales[[#This Row],[Quantity]]</f>
        <v>74220</v>
      </c>
      <c r="S755" s="6">
        <f>RawSales[[#This Row],[Subtotal]]*$B$1</f>
        <v>3711</v>
      </c>
      <c r="T755" s="6" t="b">
        <f>ROUND(RawSales[[#This Row],[Subtotal]],2)=ROUND(RawSales[[#This Row],[cogs]],2)</f>
        <v>1</v>
      </c>
      <c r="U755" s="6" t="b">
        <f>ROUND(RawSales[[#This Row],[cogs]]*0.05,2)=ROUND(RawSales[[#This Row],[Tax 5%]],2)</f>
        <v>1</v>
      </c>
      <c r="V755" s="6" t="b">
        <f>ROUND(RawSales[[#This Row],[cogs]]+RawSales[[#This Row],[Tax 5%]],2)=ROUND(RawSales[[#This Row],[Sales]],2)</f>
        <v>1</v>
      </c>
    </row>
    <row r="756" spans="1:22" x14ac:dyDescent="0.35">
      <c r="A756" s="4" t="s">
        <v>1248</v>
      </c>
      <c r="B756" t="s">
        <v>20</v>
      </c>
      <c r="C756" t="s">
        <v>21</v>
      </c>
      <c r="D756" t="s">
        <v>22</v>
      </c>
      <c r="E756" t="s">
        <v>31</v>
      </c>
      <c r="F756" t="s">
        <v>32</v>
      </c>
      <c r="G756" s="6">
        <v>6594</v>
      </c>
      <c r="H756" s="7">
        <v>4</v>
      </c>
      <c r="I756" s="6">
        <v>1318.8</v>
      </c>
      <c r="J756" s="6">
        <v>27694.799999999999</v>
      </c>
      <c r="K756" s="5">
        <v>43547.958333333336</v>
      </c>
      <c r="L756" s="4" t="s">
        <v>1244</v>
      </c>
      <c r="M756" t="s">
        <v>26</v>
      </c>
      <c r="N756" s="6">
        <v>26376</v>
      </c>
      <c r="O756">
        <v>4.7619047620000003</v>
      </c>
      <c r="P756" s="6">
        <v>1318.8</v>
      </c>
      <c r="Q756">
        <v>6</v>
      </c>
      <c r="R756" s="6">
        <f>RawSales[[#This Row],[Unit price]]*RawSales[[#This Row],[Quantity]]</f>
        <v>26376</v>
      </c>
      <c r="S756" s="6">
        <f>RawSales[[#This Row],[Subtotal]]*$B$1</f>
        <v>1318.8000000000002</v>
      </c>
      <c r="T756" s="6" t="b">
        <f>ROUND(RawSales[[#This Row],[Subtotal]],2)=ROUND(RawSales[[#This Row],[cogs]],2)</f>
        <v>1</v>
      </c>
      <c r="U756" s="6" t="b">
        <f>ROUND(RawSales[[#This Row],[cogs]]*0.05,2)=ROUND(RawSales[[#This Row],[Tax 5%]],2)</f>
        <v>1</v>
      </c>
      <c r="V756" s="6" t="b">
        <f>ROUND(RawSales[[#This Row],[cogs]]+RawSales[[#This Row],[Tax 5%]],2)=ROUND(RawSales[[#This Row],[Sales]],2)</f>
        <v>1</v>
      </c>
    </row>
    <row r="757" spans="1:22" x14ac:dyDescent="0.35">
      <c r="A757" s="4" t="s">
        <v>1249</v>
      </c>
      <c r="B757" t="s">
        <v>38</v>
      </c>
      <c r="C757" t="s">
        <v>39</v>
      </c>
      <c r="D757" t="s">
        <v>22</v>
      </c>
      <c r="E757" t="s">
        <v>31</v>
      </c>
      <c r="F757" t="s">
        <v>32</v>
      </c>
      <c r="G757" s="6">
        <v>1398</v>
      </c>
      <c r="H757" s="7">
        <v>1</v>
      </c>
      <c r="I757" s="6">
        <v>69.900000000000006</v>
      </c>
      <c r="J757" s="6">
        <v>1467.9</v>
      </c>
      <c r="K757" s="5">
        <v>43499.958333333336</v>
      </c>
      <c r="L757" s="4" t="s">
        <v>1250</v>
      </c>
      <c r="M757" t="s">
        <v>34</v>
      </c>
      <c r="N757" s="6">
        <v>1398</v>
      </c>
      <c r="O757">
        <v>4.7619047620000003</v>
      </c>
      <c r="P757" s="6">
        <v>69.900000000000006</v>
      </c>
      <c r="Q757">
        <v>9.8000000000000007</v>
      </c>
      <c r="R757" s="6">
        <f>RawSales[[#This Row],[Unit price]]*RawSales[[#This Row],[Quantity]]</f>
        <v>1398</v>
      </c>
      <c r="S757" s="6">
        <f>RawSales[[#This Row],[Subtotal]]*$B$1</f>
        <v>69.900000000000006</v>
      </c>
      <c r="T757" s="6" t="b">
        <f>ROUND(RawSales[[#This Row],[Subtotal]],2)=ROUND(RawSales[[#This Row],[cogs]],2)</f>
        <v>1</v>
      </c>
      <c r="U757" s="6" t="b">
        <f>ROUND(RawSales[[#This Row],[cogs]]*0.05,2)=ROUND(RawSales[[#This Row],[Tax 5%]],2)</f>
        <v>1</v>
      </c>
      <c r="V757" s="6" t="b">
        <f>ROUND(RawSales[[#This Row],[cogs]]+RawSales[[#This Row],[Tax 5%]],2)=ROUND(RawSales[[#This Row],[Sales]],2)</f>
        <v>1</v>
      </c>
    </row>
    <row r="758" spans="1:22" x14ac:dyDescent="0.35">
      <c r="A758" s="4" t="s">
        <v>1251</v>
      </c>
      <c r="B758" t="s">
        <v>38</v>
      </c>
      <c r="C758" t="s">
        <v>39</v>
      </c>
      <c r="D758" t="s">
        <v>30</v>
      </c>
      <c r="E758" t="s">
        <v>31</v>
      </c>
      <c r="F758" t="s">
        <v>43</v>
      </c>
      <c r="G758" s="6">
        <v>5895</v>
      </c>
      <c r="H758" s="7">
        <v>10</v>
      </c>
      <c r="I758" s="6">
        <v>2947.5</v>
      </c>
      <c r="J758" s="6">
        <v>61897.5</v>
      </c>
      <c r="K758" s="5">
        <v>43502.958333333336</v>
      </c>
      <c r="L758" s="4" t="s">
        <v>1252</v>
      </c>
      <c r="M758" t="s">
        <v>34</v>
      </c>
      <c r="N758" s="6">
        <v>58950</v>
      </c>
      <c r="O758">
        <v>4.7619047620000003</v>
      </c>
      <c r="P758" s="6">
        <v>2947.5</v>
      </c>
      <c r="Q758">
        <v>8.1</v>
      </c>
      <c r="R758" s="6">
        <f>RawSales[[#This Row],[Unit price]]*RawSales[[#This Row],[Quantity]]</f>
        <v>58950</v>
      </c>
      <c r="S758" s="6">
        <f>RawSales[[#This Row],[Subtotal]]*$B$1</f>
        <v>2947.5</v>
      </c>
      <c r="T758" s="6" t="b">
        <f>ROUND(RawSales[[#This Row],[Subtotal]],2)=ROUND(RawSales[[#This Row],[cogs]],2)</f>
        <v>1</v>
      </c>
      <c r="U758" s="6" t="b">
        <f>ROUND(RawSales[[#This Row],[cogs]]*0.05,2)=ROUND(RawSales[[#This Row],[Tax 5%]],2)</f>
        <v>1</v>
      </c>
      <c r="V758" s="6" t="b">
        <f>ROUND(RawSales[[#This Row],[cogs]]+RawSales[[#This Row],[Tax 5%]],2)=ROUND(RawSales[[#This Row],[Sales]],2)</f>
        <v>1</v>
      </c>
    </row>
    <row r="759" spans="1:22" x14ac:dyDescent="0.35">
      <c r="A759" s="4" t="s">
        <v>1253</v>
      </c>
      <c r="B759" t="s">
        <v>28</v>
      </c>
      <c r="C759" t="s">
        <v>29</v>
      </c>
      <c r="D759" t="s">
        <v>22</v>
      </c>
      <c r="E759" t="s">
        <v>31</v>
      </c>
      <c r="F759" t="s">
        <v>43</v>
      </c>
      <c r="G759" s="6">
        <v>9616</v>
      </c>
      <c r="H759" s="7">
        <v>4</v>
      </c>
      <c r="I759" s="6">
        <v>1923.2</v>
      </c>
      <c r="J759" s="6">
        <v>40387.199999999997</v>
      </c>
      <c r="K759" s="5">
        <v>43491.958333333336</v>
      </c>
      <c r="L759" s="4" t="s">
        <v>278</v>
      </c>
      <c r="M759" t="s">
        <v>51</v>
      </c>
      <c r="N759" s="6">
        <v>38464</v>
      </c>
      <c r="O759">
        <v>4.7619047620000003</v>
      </c>
      <c r="P759" s="6">
        <v>1923.2</v>
      </c>
      <c r="Q759">
        <v>8.4</v>
      </c>
      <c r="R759" s="6">
        <f>RawSales[[#This Row],[Unit price]]*RawSales[[#This Row],[Quantity]]</f>
        <v>38464</v>
      </c>
      <c r="S759" s="6">
        <f>RawSales[[#This Row],[Subtotal]]*$B$1</f>
        <v>1923.2</v>
      </c>
      <c r="T759" s="6" t="b">
        <f>ROUND(RawSales[[#This Row],[Subtotal]],2)=ROUND(RawSales[[#This Row],[cogs]],2)</f>
        <v>1</v>
      </c>
      <c r="U759" s="6" t="b">
        <f>ROUND(RawSales[[#This Row],[cogs]]*0.05,2)=ROUND(RawSales[[#This Row],[Tax 5%]],2)</f>
        <v>1</v>
      </c>
      <c r="V759" s="6" t="b">
        <f>ROUND(RawSales[[#This Row],[cogs]]+RawSales[[#This Row],[Tax 5%]],2)=ROUND(RawSales[[#This Row],[Sales]],2)</f>
        <v>1</v>
      </c>
    </row>
    <row r="760" spans="1:22" x14ac:dyDescent="0.35">
      <c r="A760" s="4" t="s">
        <v>1254</v>
      </c>
      <c r="B760" t="s">
        <v>20</v>
      </c>
      <c r="C760" t="s">
        <v>21</v>
      </c>
      <c r="D760" t="s">
        <v>30</v>
      </c>
      <c r="E760" t="s">
        <v>23</v>
      </c>
      <c r="F760" t="s">
        <v>32</v>
      </c>
      <c r="G760" s="6">
        <v>4633</v>
      </c>
      <c r="H760" s="7">
        <v>7</v>
      </c>
      <c r="I760" s="6">
        <v>1621.55</v>
      </c>
      <c r="J760" s="6">
        <v>34052.550000000003</v>
      </c>
      <c r="K760" s="5">
        <v>43526.958333333336</v>
      </c>
      <c r="L760" s="4" t="s">
        <v>973</v>
      </c>
      <c r="M760" t="s">
        <v>51</v>
      </c>
      <c r="N760" s="6">
        <v>32431</v>
      </c>
      <c r="O760">
        <v>4.7619047620000003</v>
      </c>
      <c r="P760" s="6">
        <v>1621.55</v>
      </c>
      <c r="Q760">
        <v>7.4</v>
      </c>
      <c r="R760" s="6">
        <f>RawSales[[#This Row],[Unit price]]*RawSales[[#This Row],[Quantity]]</f>
        <v>32431</v>
      </c>
      <c r="S760" s="6">
        <f>RawSales[[#This Row],[Subtotal]]*$B$1</f>
        <v>1621.5500000000002</v>
      </c>
      <c r="T760" s="6" t="b">
        <f>ROUND(RawSales[[#This Row],[Subtotal]],2)=ROUND(RawSales[[#This Row],[cogs]],2)</f>
        <v>1</v>
      </c>
      <c r="U760" s="6" t="b">
        <f>ROUND(RawSales[[#This Row],[cogs]]*0.05,2)=ROUND(RawSales[[#This Row],[Tax 5%]],2)</f>
        <v>1</v>
      </c>
      <c r="V760" s="6" t="b">
        <f>ROUND(RawSales[[#This Row],[cogs]]+RawSales[[#This Row],[Tax 5%]],2)=ROUND(RawSales[[#This Row],[Sales]],2)</f>
        <v>1</v>
      </c>
    </row>
    <row r="761" spans="1:22" x14ac:dyDescent="0.35">
      <c r="A761" s="4" t="s">
        <v>1255</v>
      </c>
      <c r="B761" t="s">
        <v>20</v>
      </c>
      <c r="C761" t="s">
        <v>21</v>
      </c>
      <c r="D761" t="s">
        <v>22</v>
      </c>
      <c r="E761" t="s">
        <v>23</v>
      </c>
      <c r="F761" t="s">
        <v>40</v>
      </c>
      <c r="G761" s="6">
        <v>9716</v>
      </c>
      <c r="H761" s="7">
        <v>1</v>
      </c>
      <c r="I761" s="6">
        <v>485.8</v>
      </c>
      <c r="J761" s="6">
        <v>10201.799999999999</v>
      </c>
      <c r="K761" s="5">
        <v>43531.958333333336</v>
      </c>
      <c r="L761" s="4" t="s">
        <v>1146</v>
      </c>
      <c r="M761" t="s">
        <v>34</v>
      </c>
      <c r="N761" s="6">
        <v>9716</v>
      </c>
      <c r="O761">
        <v>4.7619047620000003</v>
      </c>
      <c r="P761" s="6">
        <v>485.8</v>
      </c>
      <c r="Q761">
        <v>7.2</v>
      </c>
      <c r="R761" s="6">
        <f>RawSales[[#This Row],[Unit price]]*RawSales[[#This Row],[Quantity]]</f>
        <v>9716</v>
      </c>
      <c r="S761" s="6">
        <f>RawSales[[#This Row],[Subtotal]]*$B$1</f>
        <v>485.8</v>
      </c>
      <c r="T761" s="6" t="b">
        <f>ROUND(RawSales[[#This Row],[Subtotal]],2)=ROUND(RawSales[[#This Row],[cogs]],2)</f>
        <v>1</v>
      </c>
      <c r="U761" s="6" t="b">
        <f>ROUND(RawSales[[#This Row],[cogs]]*0.05,2)=ROUND(RawSales[[#This Row],[Tax 5%]],2)</f>
        <v>1</v>
      </c>
      <c r="V761" s="6" t="b">
        <f>ROUND(RawSales[[#This Row],[cogs]]+RawSales[[#This Row],[Tax 5%]],2)=ROUND(RawSales[[#This Row],[Sales]],2)</f>
        <v>1</v>
      </c>
    </row>
    <row r="762" spans="1:22" x14ac:dyDescent="0.35">
      <c r="A762" s="4" t="s">
        <v>1256</v>
      </c>
      <c r="B762" t="s">
        <v>38</v>
      </c>
      <c r="C762" t="s">
        <v>39</v>
      </c>
      <c r="D762" t="s">
        <v>30</v>
      </c>
      <c r="E762" t="s">
        <v>31</v>
      </c>
      <c r="F762" t="s">
        <v>32</v>
      </c>
      <c r="G762" s="6">
        <v>1667</v>
      </c>
      <c r="H762" s="7">
        <v>7</v>
      </c>
      <c r="I762" s="6">
        <v>583.45000000000005</v>
      </c>
      <c r="J762" s="6">
        <v>12252.45</v>
      </c>
      <c r="K762" s="5">
        <v>43502.958333333336</v>
      </c>
      <c r="L762" s="4" t="s">
        <v>416</v>
      </c>
      <c r="M762" t="s">
        <v>34</v>
      </c>
      <c r="N762" s="6">
        <v>11669</v>
      </c>
      <c r="O762">
        <v>4.7619047620000003</v>
      </c>
      <c r="P762" s="6">
        <v>583.45000000000005</v>
      </c>
      <c r="Q762">
        <v>7.4</v>
      </c>
      <c r="R762" s="6">
        <f>RawSales[[#This Row],[Unit price]]*RawSales[[#This Row],[Quantity]]</f>
        <v>11669</v>
      </c>
      <c r="S762" s="6">
        <f>RawSales[[#This Row],[Subtotal]]*$B$1</f>
        <v>583.45000000000005</v>
      </c>
      <c r="T762" s="6" t="b">
        <f>ROUND(RawSales[[#This Row],[Subtotal]],2)=ROUND(RawSales[[#This Row],[cogs]],2)</f>
        <v>1</v>
      </c>
      <c r="U762" s="6" t="b">
        <f>ROUND(RawSales[[#This Row],[cogs]]*0.05,2)=ROUND(RawSales[[#This Row],[Tax 5%]],2)</f>
        <v>1</v>
      </c>
      <c r="V762" s="6" t="b">
        <f>ROUND(RawSales[[#This Row],[cogs]]+RawSales[[#This Row],[Tax 5%]],2)=ROUND(RawSales[[#This Row],[Sales]],2)</f>
        <v>1</v>
      </c>
    </row>
    <row r="763" spans="1:22" x14ac:dyDescent="0.35">
      <c r="A763" s="4" t="s">
        <v>1257</v>
      </c>
      <c r="B763" t="s">
        <v>38</v>
      </c>
      <c r="C763" t="s">
        <v>39</v>
      </c>
      <c r="D763" t="s">
        <v>30</v>
      </c>
      <c r="E763" t="s">
        <v>23</v>
      </c>
      <c r="F763" t="s">
        <v>140</v>
      </c>
      <c r="G763" s="6">
        <v>6322</v>
      </c>
      <c r="H763" s="7">
        <v>2</v>
      </c>
      <c r="I763" s="6">
        <v>632.20000000000005</v>
      </c>
      <c r="J763" s="6">
        <v>13276.2</v>
      </c>
      <c r="K763" s="5">
        <v>43465.958333333336</v>
      </c>
      <c r="L763" s="4" t="s">
        <v>784</v>
      </c>
      <c r="M763" t="s">
        <v>26</v>
      </c>
      <c r="N763" s="6">
        <v>12644</v>
      </c>
      <c r="O763">
        <v>4.7619047620000003</v>
      </c>
      <c r="P763" s="6">
        <v>632.20000000000005</v>
      </c>
      <c r="Q763">
        <v>8.5</v>
      </c>
      <c r="R763" s="6">
        <f>RawSales[[#This Row],[Unit price]]*RawSales[[#This Row],[Quantity]]</f>
        <v>12644</v>
      </c>
      <c r="S763" s="6">
        <f>RawSales[[#This Row],[Subtotal]]*$B$1</f>
        <v>632.20000000000005</v>
      </c>
      <c r="T763" s="6" t="b">
        <f>ROUND(RawSales[[#This Row],[Subtotal]],2)=ROUND(RawSales[[#This Row],[cogs]],2)</f>
        <v>1</v>
      </c>
      <c r="U763" s="6" t="b">
        <f>ROUND(RawSales[[#This Row],[cogs]]*0.05,2)=ROUND(RawSales[[#This Row],[Tax 5%]],2)</f>
        <v>1</v>
      </c>
      <c r="V763" s="6" t="b">
        <f>ROUND(RawSales[[#This Row],[cogs]]+RawSales[[#This Row],[Tax 5%]],2)=ROUND(RawSales[[#This Row],[Sales]],2)</f>
        <v>1</v>
      </c>
    </row>
    <row r="764" spans="1:22" x14ac:dyDescent="0.35">
      <c r="A764" s="4" t="s">
        <v>1258</v>
      </c>
      <c r="B764" t="s">
        <v>28</v>
      </c>
      <c r="C764" t="s">
        <v>29</v>
      </c>
      <c r="D764" t="s">
        <v>22</v>
      </c>
      <c r="E764" t="s">
        <v>23</v>
      </c>
      <c r="F764" t="s">
        <v>32</v>
      </c>
      <c r="G764" s="6">
        <v>4073</v>
      </c>
      <c r="H764" s="7">
        <v>7</v>
      </c>
      <c r="I764" s="6">
        <v>1425.55</v>
      </c>
      <c r="J764" s="6">
        <v>29936.55</v>
      </c>
      <c r="K764" s="5">
        <v>43535.958333333336</v>
      </c>
      <c r="L764" s="4" t="s">
        <v>1259</v>
      </c>
      <c r="M764" t="s">
        <v>34</v>
      </c>
      <c r="N764" s="6">
        <v>28511</v>
      </c>
      <c r="O764">
        <v>4.7619047620000003</v>
      </c>
      <c r="P764" s="6">
        <v>1425.55</v>
      </c>
      <c r="Q764">
        <v>5.4</v>
      </c>
      <c r="R764" s="6">
        <f>RawSales[[#This Row],[Unit price]]*RawSales[[#This Row],[Quantity]]</f>
        <v>28511</v>
      </c>
      <c r="S764" s="6">
        <f>RawSales[[#This Row],[Subtotal]]*$B$1</f>
        <v>1425.5500000000002</v>
      </c>
      <c r="T764" s="6" t="b">
        <f>ROUND(RawSales[[#This Row],[Subtotal]],2)=ROUND(RawSales[[#This Row],[cogs]],2)</f>
        <v>1</v>
      </c>
      <c r="U764" s="6" t="b">
        <f>ROUND(RawSales[[#This Row],[cogs]]*0.05,2)=ROUND(RawSales[[#This Row],[Tax 5%]],2)</f>
        <v>1</v>
      </c>
      <c r="V764" s="6" t="b">
        <f>ROUND(RawSales[[#This Row],[cogs]]+RawSales[[#This Row],[Tax 5%]],2)=ROUND(RawSales[[#This Row],[Sales]],2)</f>
        <v>1</v>
      </c>
    </row>
    <row r="765" spans="1:22" x14ac:dyDescent="0.35">
      <c r="A765" s="4" t="s">
        <v>1260</v>
      </c>
      <c r="B765" t="s">
        <v>20</v>
      </c>
      <c r="C765" t="s">
        <v>21</v>
      </c>
      <c r="D765" t="s">
        <v>22</v>
      </c>
      <c r="E765" t="s">
        <v>23</v>
      </c>
      <c r="F765" t="s">
        <v>43</v>
      </c>
      <c r="G765" s="6">
        <v>2773</v>
      </c>
      <c r="H765" s="7">
        <v>5</v>
      </c>
      <c r="I765" s="6">
        <v>693.25</v>
      </c>
      <c r="J765" s="6">
        <v>14558.25</v>
      </c>
      <c r="K765" s="5">
        <v>43549.958333333336</v>
      </c>
      <c r="L765" s="4" t="s">
        <v>708</v>
      </c>
      <c r="M765" t="s">
        <v>51</v>
      </c>
      <c r="N765" s="6">
        <v>13865</v>
      </c>
      <c r="O765">
        <v>4.7619047620000003</v>
      </c>
      <c r="P765" s="6">
        <v>693.25</v>
      </c>
      <c r="Q765">
        <v>4.2</v>
      </c>
      <c r="R765" s="6">
        <f>RawSales[[#This Row],[Unit price]]*RawSales[[#This Row],[Quantity]]</f>
        <v>13865</v>
      </c>
      <c r="S765" s="6">
        <f>RawSales[[#This Row],[Subtotal]]*$B$1</f>
        <v>693.25</v>
      </c>
      <c r="T765" s="6" t="b">
        <f>ROUND(RawSales[[#This Row],[Subtotal]],2)=ROUND(RawSales[[#This Row],[cogs]],2)</f>
        <v>1</v>
      </c>
      <c r="U765" s="6" t="b">
        <f>ROUND(RawSales[[#This Row],[cogs]]*0.05,2)=ROUND(RawSales[[#This Row],[Tax 5%]],2)</f>
        <v>1</v>
      </c>
      <c r="V765" s="6" t="b">
        <f>ROUND(RawSales[[#This Row],[cogs]]+RawSales[[#This Row],[Tax 5%]],2)=ROUND(RawSales[[#This Row],[Sales]],2)</f>
        <v>1</v>
      </c>
    </row>
    <row r="766" spans="1:22" x14ac:dyDescent="0.35">
      <c r="A766" s="4" t="s">
        <v>1261</v>
      </c>
      <c r="B766" t="s">
        <v>20</v>
      </c>
      <c r="C766" t="s">
        <v>21</v>
      </c>
      <c r="D766" t="s">
        <v>22</v>
      </c>
      <c r="E766" t="s">
        <v>23</v>
      </c>
      <c r="F766" t="s">
        <v>100</v>
      </c>
      <c r="G766" s="6">
        <v>4767</v>
      </c>
      <c r="H766" s="7">
        <v>4</v>
      </c>
      <c r="I766" s="6">
        <v>953.4</v>
      </c>
      <c r="J766" s="6">
        <v>20021.400000000001</v>
      </c>
      <c r="K766" s="5">
        <v>43535.958333333336</v>
      </c>
      <c r="L766" s="4" t="s">
        <v>114</v>
      </c>
      <c r="M766" t="s">
        <v>26</v>
      </c>
      <c r="N766" s="6">
        <v>19068</v>
      </c>
      <c r="O766">
        <v>4.7619047620000003</v>
      </c>
      <c r="P766" s="6">
        <v>953.4</v>
      </c>
      <c r="Q766">
        <v>9.1</v>
      </c>
      <c r="R766" s="6">
        <f>RawSales[[#This Row],[Unit price]]*RawSales[[#This Row],[Quantity]]</f>
        <v>19068</v>
      </c>
      <c r="S766" s="6">
        <f>RawSales[[#This Row],[Subtotal]]*$B$1</f>
        <v>953.40000000000009</v>
      </c>
      <c r="T766" s="6" t="b">
        <f>ROUND(RawSales[[#This Row],[Subtotal]],2)=ROUND(RawSales[[#This Row],[cogs]],2)</f>
        <v>1</v>
      </c>
      <c r="U766" s="6" t="b">
        <f>ROUND(RawSales[[#This Row],[cogs]]*0.05,2)=ROUND(RawSales[[#This Row],[Tax 5%]],2)</f>
        <v>1</v>
      </c>
      <c r="V766" s="6" t="b">
        <f>ROUND(RawSales[[#This Row],[cogs]]+RawSales[[#This Row],[Tax 5%]],2)=ROUND(RawSales[[#This Row],[Sales]],2)</f>
        <v>1</v>
      </c>
    </row>
    <row r="767" spans="1:22" x14ac:dyDescent="0.35">
      <c r="A767" s="4" t="s">
        <v>1262</v>
      </c>
      <c r="B767" t="s">
        <v>38</v>
      </c>
      <c r="C767" t="s">
        <v>39</v>
      </c>
      <c r="D767" t="s">
        <v>30</v>
      </c>
      <c r="E767" t="s">
        <v>23</v>
      </c>
      <c r="F767" t="s">
        <v>24</v>
      </c>
      <c r="G767" s="6">
        <v>9326</v>
      </c>
      <c r="H767" s="7">
        <v>9</v>
      </c>
      <c r="I767" s="6">
        <v>4196.7</v>
      </c>
      <c r="J767" s="6">
        <v>88130.7</v>
      </c>
      <c r="K767" s="5">
        <v>43480.958333333336</v>
      </c>
      <c r="L767" s="4" t="s">
        <v>491</v>
      </c>
      <c r="M767" t="s">
        <v>26</v>
      </c>
      <c r="N767" s="6">
        <v>83934</v>
      </c>
      <c r="O767">
        <v>4.7619047620000003</v>
      </c>
      <c r="P767" s="6">
        <v>4196.7</v>
      </c>
      <c r="Q767">
        <v>8.8000000000000007</v>
      </c>
      <c r="R767" s="6">
        <f>RawSales[[#This Row],[Unit price]]*RawSales[[#This Row],[Quantity]]</f>
        <v>83934</v>
      </c>
      <c r="S767" s="6">
        <f>RawSales[[#This Row],[Subtotal]]*$B$1</f>
        <v>4196.7</v>
      </c>
      <c r="T767" s="6" t="b">
        <f>ROUND(RawSales[[#This Row],[Subtotal]],2)=ROUND(RawSales[[#This Row],[cogs]],2)</f>
        <v>1</v>
      </c>
      <c r="U767" s="6" t="b">
        <f>ROUND(RawSales[[#This Row],[cogs]]*0.05,2)=ROUND(RawSales[[#This Row],[Tax 5%]],2)</f>
        <v>1</v>
      </c>
      <c r="V767" s="6" t="b">
        <f>ROUND(RawSales[[#This Row],[cogs]]+RawSales[[#This Row],[Tax 5%]],2)=ROUND(RawSales[[#This Row],[Sales]],2)</f>
        <v>1</v>
      </c>
    </row>
    <row r="768" spans="1:22" x14ac:dyDescent="0.35">
      <c r="A768" s="4" t="s">
        <v>1263</v>
      </c>
      <c r="B768" t="s">
        <v>28</v>
      </c>
      <c r="C768" t="s">
        <v>29</v>
      </c>
      <c r="D768" t="s">
        <v>30</v>
      </c>
      <c r="E768" t="s">
        <v>23</v>
      </c>
      <c r="F768" t="s">
        <v>43</v>
      </c>
      <c r="G768" s="6">
        <v>3421</v>
      </c>
      <c r="H768" s="7">
        <v>10</v>
      </c>
      <c r="I768" s="6">
        <v>1710.5</v>
      </c>
      <c r="J768" s="6">
        <v>35920.5</v>
      </c>
      <c r="K768" s="5">
        <v>43466.958333333336</v>
      </c>
      <c r="L768" s="4" t="s">
        <v>679</v>
      </c>
      <c r="M768" t="s">
        <v>26</v>
      </c>
      <c r="N768" s="6">
        <v>34210</v>
      </c>
      <c r="O768">
        <v>4.7619047620000003</v>
      </c>
      <c r="P768" s="6">
        <v>1710.5</v>
      </c>
      <c r="Q768">
        <v>5.0999999999999996</v>
      </c>
      <c r="R768" s="6">
        <f>RawSales[[#This Row],[Unit price]]*RawSales[[#This Row],[Quantity]]</f>
        <v>34210</v>
      </c>
      <c r="S768" s="6">
        <f>RawSales[[#This Row],[Subtotal]]*$B$1</f>
        <v>1710.5</v>
      </c>
      <c r="T768" s="6" t="b">
        <f>ROUND(RawSales[[#This Row],[Subtotal]],2)=ROUND(RawSales[[#This Row],[cogs]],2)</f>
        <v>1</v>
      </c>
      <c r="U768" s="6" t="b">
        <f>ROUND(RawSales[[#This Row],[cogs]]*0.05,2)=ROUND(RawSales[[#This Row],[Tax 5%]],2)</f>
        <v>1</v>
      </c>
      <c r="V768" s="6" t="b">
        <f>ROUND(RawSales[[#This Row],[cogs]]+RawSales[[#This Row],[Tax 5%]],2)=ROUND(RawSales[[#This Row],[Sales]],2)</f>
        <v>1</v>
      </c>
    </row>
    <row r="769" spans="1:22" x14ac:dyDescent="0.35">
      <c r="A769" s="4" t="s">
        <v>1264</v>
      </c>
      <c r="B769" t="s">
        <v>20</v>
      </c>
      <c r="C769" t="s">
        <v>21</v>
      </c>
      <c r="D769" t="s">
        <v>22</v>
      </c>
      <c r="E769" t="s">
        <v>31</v>
      </c>
      <c r="F769" t="s">
        <v>32</v>
      </c>
      <c r="G769" s="6">
        <v>1936</v>
      </c>
      <c r="H769" s="7">
        <v>9</v>
      </c>
      <c r="I769" s="6">
        <v>871.2</v>
      </c>
      <c r="J769" s="6">
        <v>18295.2</v>
      </c>
      <c r="K769" s="5">
        <v>43482.958333333336</v>
      </c>
      <c r="L769" s="4" t="s">
        <v>1035</v>
      </c>
      <c r="M769" t="s">
        <v>34</v>
      </c>
      <c r="N769" s="6">
        <v>17424</v>
      </c>
      <c r="O769">
        <v>4.7619047620000003</v>
      </c>
      <c r="P769" s="6">
        <v>871.2</v>
      </c>
      <c r="Q769">
        <v>8.6999999999999993</v>
      </c>
      <c r="R769" s="6">
        <f>RawSales[[#This Row],[Unit price]]*RawSales[[#This Row],[Quantity]]</f>
        <v>17424</v>
      </c>
      <c r="S769" s="6">
        <f>RawSales[[#This Row],[Subtotal]]*$B$1</f>
        <v>871.2</v>
      </c>
      <c r="T769" s="6" t="b">
        <f>ROUND(RawSales[[#This Row],[Subtotal]],2)=ROUND(RawSales[[#This Row],[cogs]],2)</f>
        <v>1</v>
      </c>
      <c r="U769" s="6" t="b">
        <f>ROUND(RawSales[[#This Row],[cogs]]*0.05,2)=ROUND(RawSales[[#This Row],[Tax 5%]],2)</f>
        <v>1</v>
      </c>
      <c r="V769" s="6" t="b">
        <f>ROUND(RawSales[[#This Row],[cogs]]+RawSales[[#This Row],[Tax 5%]],2)=ROUND(RawSales[[#This Row],[Sales]],2)</f>
        <v>1</v>
      </c>
    </row>
    <row r="770" spans="1:22" x14ac:dyDescent="0.35">
      <c r="A770" s="4" t="s">
        <v>1265</v>
      </c>
      <c r="B770" t="s">
        <v>28</v>
      </c>
      <c r="C770" t="s">
        <v>29</v>
      </c>
      <c r="D770" t="s">
        <v>22</v>
      </c>
      <c r="E770" t="s">
        <v>31</v>
      </c>
      <c r="F770" t="s">
        <v>40</v>
      </c>
      <c r="G770" s="6">
        <v>5289</v>
      </c>
      <c r="H770" s="7">
        <v>6</v>
      </c>
      <c r="I770" s="6">
        <v>1586.7</v>
      </c>
      <c r="J770" s="6">
        <v>33320.699999999997</v>
      </c>
      <c r="K770" s="5">
        <v>43483.958333333336</v>
      </c>
      <c r="L770" s="4" t="s">
        <v>1266</v>
      </c>
      <c r="M770" t="s">
        <v>51</v>
      </c>
      <c r="N770" s="6">
        <v>31734</v>
      </c>
      <c r="O770">
        <v>4.7619047620000003</v>
      </c>
      <c r="P770" s="6">
        <v>1586.7</v>
      </c>
      <c r="Q770">
        <v>9.8000000000000007</v>
      </c>
      <c r="R770" s="6">
        <f>RawSales[[#This Row],[Unit price]]*RawSales[[#This Row],[Quantity]]</f>
        <v>31734</v>
      </c>
      <c r="S770" s="6">
        <f>RawSales[[#This Row],[Subtotal]]*$B$1</f>
        <v>1586.7</v>
      </c>
      <c r="T770" s="6" t="b">
        <f>ROUND(RawSales[[#This Row],[Subtotal]],2)=ROUND(RawSales[[#This Row],[cogs]],2)</f>
        <v>1</v>
      </c>
      <c r="U770" s="6" t="b">
        <f>ROUND(RawSales[[#This Row],[cogs]]*0.05,2)=ROUND(RawSales[[#This Row],[Tax 5%]],2)</f>
        <v>1</v>
      </c>
      <c r="V770" s="6" t="b">
        <f>ROUND(RawSales[[#This Row],[cogs]]+RawSales[[#This Row],[Tax 5%]],2)=ROUND(RawSales[[#This Row],[Sales]],2)</f>
        <v>1</v>
      </c>
    </row>
    <row r="771" spans="1:22" x14ac:dyDescent="0.35">
      <c r="A771" s="4" t="s">
        <v>1267</v>
      </c>
      <c r="B771" t="s">
        <v>38</v>
      </c>
      <c r="C771" t="s">
        <v>39</v>
      </c>
      <c r="D771" t="s">
        <v>30</v>
      </c>
      <c r="E771" t="s">
        <v>23</v>
      </c>
      <c r="F771" t="s">
        <v>62</v>
      </c>
      <c r="G771" s="6">
        <v>2375</v>
      </c>
      <c r="H771" s="7">
        <v>9</v>
      </c>
      <c r="I771" s="6">
        <v>1068.75</v>
      </c>
      <c r="J771" s="6">
        <v>22443.75</v>
      </c>
      <c r="K771" s="5">
        <v>43495.958333333336</v>
      </c>
      <c r="L771" s="4" t="s">
        <v>251</v>
      </c>
      <c r="M771" t="s">
        <v>26</v>
      </c>
      <c r="N771" s="6">
        <v>21375</v>
      </c>
      <c r="O771">
        <v>4.7619047620000003</v>
      </c>
      <c r="P771" s="6">
        <v>1068.75</v>
      </c>
      <c r="Q771">
        <v>9.5</v>
      </c>
      <c r="R771" s="6">
        <f>RawSales[[#This Row],[Unit price]]*RawSales[[#This Row],[Quantity]]</f>
        <v>21375</v>
      </c>
      <c r="S771" s="6">
        <f>RawSales[[#This Row],[Subtotal]]*$B$1</f>
        <v>1068.75</v>
      </c>
      <c r="T771" s="6" t="b">
        <f>ROUND(RawSales[[#This Row],[Subtotal]],2)=ROUND(RawSales[[#This Row],[cogs]],2)</f>
        <v>1</v>
      </c>
      <c r="U771" s="6" t="b">
        <f>ROUND(RawSales[[#This Row],[cogs]]*0.05,2)=ROUND(RawSales[[#This Row],[Tax 5%]],2)</f>
        <v>1</v>
      </c>
      <c r="V771" s="6" t="b">
        <f>ROUND(RawSales[[#This Row],[cogs]]+RawSales[[#This Row],[Tax 5%]],2)=ROUND(RawSales[[#This Row],[Sales]],2)</f>
        <v>1</v>
      </c>
    </row>
    <row r="772" spans="1:22" x14ac:dyDescent="0.35">
      <c r="A772" s="4" t="s">
        <v>1268</v>
      </c>
      <c r="B772" t="s">
        <v>38</v>
      </c>
      <c r="C772" t="s">
        <v>39</v>
      </c>
      <c r="D772" t="s">
        <v>22</v>
      </c>
      <c r="E772" t="s">
        <v>23</v>
      </c>
      <c r="F772" t="s">
        <v>43</v>
      </c>
      <c r="G772" s="6">
        <v>8587</v>
      </c>
      <c r="H772" s="7">
        <v>7</v>
      </c>
      <c r="I772" s="6">
        <v>3005.45</v>
      </c>
      <c r="J772" s="6">
        <v>63114.45</v>
      </c>
      <c r="K772" s="5">
        <v>43522.958333333336</v>
      </c>
      <c r="L772" s="4" t="s">
        <v>811</v>
      </c>
      <c r="M772" t="s">
        <v>51</v>
      </c>
      <c r="N772" s="6">
        <v>60109</v>
      </c>
      <c r="O772">
        <v>4.7619047620000003</v>
      </c>
      <c r="P772" s="6">
        <v>3005.45</v>
      </c>
      <c r="Q772">
        <v>8</v>
      </c>
      <c r="R772" s="6">
        <f>RawSales[[#This Row],[Unit price]]*RawSales[[#This Row],[Quantity]]</f>
        <v>60109</v>
      </c>
      <c r="S772" s="6">
        <f>RawSales[[#This Row],[Subtotal]]*$B$1</f>
        <v>3005.4500000000003</v>
      </c>
      <c r="T772" s="6" t="b">
        <f>ROUND(RawSales[[#This Row],[Subtotal]],2)=ROUND(RawSales[[#This Row],[cogs]],2)</f>
        <v>1</v>
      </c>
      <c r="U772" s="6" t="b">
        <f>ROUND(RawSales[[#This Row],[cogs]]*0.05,2)=ROUND(RawSales[[#This Row],[Tax 5%]],2)</f>
        <v>1</v>
      </c>
      <c r="V772" s="6" t="b">
        <f>ROUND(RawSales[[#This Row],[cogs]]+RawSales[[#This Row],[Tax 5%]],2)=ROUND(RawSales[[#This Row],[Sales]],2)</f>
        <v>1</v>
      </c>
    </row>
    <row r="773" spans="1:22" x14ac:dyDescent="0.35">
      <c r="A773" s="4" t="s">
        <v>1269</v>
      </c>
      <c r="B773" t="s">
        <v>38</v>
      </c>
      <c r="C773" t="s">
        <v>39</v>
      </c>
      <c r="D773" t="s">
        <v>22</v>
      </c>
      <c r="E773" t="s">
        <v>23</v>
      </c>
      <c r="F773" t="s">
        <v>43</v>
      </c>
      <c r="G773" s="6">
        <v>6860</v>
      </c>
      <c r="H773" s="7">
        <v>10</v>
      </c>
      <c r="I773" s="6">
        <v>3430</v>
      </c>
      <c r="J773" s="6">
        <v>72030</v>
      </c>
      <c r="K773" s="5">
        <v>43500.958333333336</v>
      </c>
      <c r="L773" s="4" t="s">
        <v>107</v>
      </c>
      <c r="M773" t="s">
        <v>26</v>
      </c>
      <c r="N773" s="6">
        <v>68600</v>
      </c>
      <c r="O773">
        <v>4.7619047620000003</v>
      </c>
      <c r="P773" s="6">
        <v>3430</v>
      </c>
      <c r="Q773">
        <v>9.1</v>
      </c>
      <c r="R773" s="6">
        <f>RawSales[[#This Row],[Unit price]]*RawSales[[#This Row],[Quantity]]</f>
        <v>68600</v>
      </c>
      <c r="S773" s="6">
        <f>RawSales[[#This Row],[Subtotal]]*$B$1</f>
        <v>3430</v>
      </c>
      <c r="T773" s="6" t="b">
        <f>ROUND(RawSales[[#This Row],[Subtotal]],2)=ROUND(RawSales[[#This Row],[cogs]],2)</f>
        <v>1</v>
      </c>
      <c r="U773" s="6" t="b">
        <f>ROUND(RawSales[[#This Row],[cogs]]*0.05,2)=ROUND(RawSales[[#This Row],[Tax 5%]],2)</f>
        <v>1</v>
      </c>
      <c r="V773" s="6" t="b">
        <f>ROUND(RawSales[[#This Row],[cogs]]+RawSales[[#This Row],[Tax 5%]],2)=ROUND(RawSales[[#This Row],[Sales]],2)</f>
        <v>1</v>
      </c>
    </row>
    <row r="774" spans="1:22" x14ac:dyDescent="0.35">
      <c r="A774" s="4" t="s">
        <v>1270</v>
      </c>
      <c r="B774" t="s">
        <v>20</v>
      </c>
      <c r="C774" t="s">
        <v>21</v>
      </c>
      <c r="D774" t="s">
        <v>22</v>
      </c>
      <c r="E774" t="s">
        <v>31</v>
      </c>
      <c r="F774" t="s">
        <v>43</v>
      </c>
      <c r="G774" s="6">
        <v>2097</v>
      </c>
      <c r="H774" s="7">
        <v>5</v>
      </c>
      <c r="I774" s="6">
        <v>524.25</v>
      </c>
      <c r="J774" s="6">
        <v>11009.25</v>
      </c>
      <c r="K774" s="5">
        <v>43468.958333333336</v>
      </c>
      <c r="L774" s="4" t="s">
        <v>448</v>
      </c>
      <c r="M774" t="s">
        <v>26</v>
      </c>
      <c r="N774" s="6">
        <v>10485</v>
      </c>
      <c r="O774">
        <v>4.7619047620000003</v>
      </c>
      <c r="P774" s="6">
        <v>524.25</v>
      </c>
      <c r="Q774">
        <v>7.8</v>
      </c>
      <c r="R774" s="6">
        <f>RawSales[[#This Row],[Unit price]]*RawSales[[#This Row],[Quantity]]</f>
        <v>10485</v>
      </c>
      <c r="S774" s="6">
        <f>RawSales[[#This Row],[Subtotal]]*$B$1</f>
        <v>524.25</v>
      </c>
      <c r="T774" s="6" t="b">
        <f>ROUND(RawSales[[#This Row],[Subtotal]],2)=ROUND(RawSales[[#This Row],[cogs]],2)</f>
        <v>1</v>
      </c>
      <c r="U774" s="6" t="b">
        <f>ROUND(RawSales[[#This Row],[cogs]]*0.05,2)=ROUND(RawSales[[#This Row],[Tax 5%]],2)</f>
        <v>1</v>
      </c>
      <c r="V774" s="6" t="b">
        <f>ROUND(RawSales[[#This Row],[cogs]]+RawSales[[#This Row],[Tax 5%]],2)=ROUND(RawSales[[#This Row],[Sales]],2)</f>
        <v>1</v>
      </c>
    </row>
    <row r="775" spans="1:22" x14ac:dyDescent="0.35">
      <c r="A775" s="4" t="s">
        <v>1271</v>
      </c>
      <c r="B775" t="s">
        <v>38</v>
      </c>
      <c r="C775" t="s">
        <v>39</v>
      </c>
      <c r="D775" t="s">
        <v>30</v>
      </c>
      <c r="E775" t="s">
        <v>23</v>
      </c>
      <c r="F775" t="s">
        <v>324</v>
      </c>
      <c r="G775" s="6">
        <v>8780</v>
      </c>
      <c r="H775" s="7">
        <v>9</v>
      </c>
      <c r="I775" s="6">
        <v>3951</v>
      </c>
      <c r="J775" s="6">
        <v>82971</v>
      </c>
      <c r="K775" s="5">
        <v>43539.958333333336</v>
      </c>
      <c r="L775" s="4" t="s">
        <v>257</v>
      </c>
      <c r="M775" t="s">
        <v>26</v>
      </c>
      <c r="N775" s="6">
        <v>79020</v>
      </c>
      <c r="O775">
        <v>4.7619047620000003</v>
      </c>
      <c r="P775" s="6">
        <v>3951</v>
      </c>
      <c r="Q775">
        <v>9.1999999999999993</v>
      </c>
      <c r="R775" s="6">
        <f>RawSales[[#This Row],[Unit price]]*RawSales[[#This Row],[Quantity]]</f>
        <v>79020</v>
      </c>
      <c r="S775" s="6">
        <f>RawSales[[#This Row],[Subtotal]]*$B$1</f>
        <v>3951</v>
      </c>
      <c r="T775" s="6" t="b">
        <f>ROUND(RawSales[[#This Row],[Subtotal]],2)=ROUND(RawSales[[#This Row],[cogs]],2)</f>
        <v>1</v>
      </c>
      <c r="U775" s="6" t="b">
        <f>ROUND(RawSales[[#This Row],[cogs]]*0.05,2)=ROUND(RawSales[[#This Row],[Tax 5%]],2)</f>
        <v>1</v>
      </c>
      <c r="V775" s="6" t="b">
        <f>ROUND(RawSales[[#This Row],[cogs]]+RawSales[[#This Row],[Tax 5%]],2)=ROUND(RawSales[[#This Row],[Sales]],2)</f>
        <v>1</v>
      </c>
    </row>
    <row r="776" spans="1:22" x14ac:dyDescent="0.35">
      <c r="A776" s="4" t="s">
        <v>1251</v>
      </c>
      <c r="B776" t="s">
        <v>38</v>
      </c>
      <c r="C776" t="s">
        <v>39</v>
      </c>
      <c r="D776" t="s">
        <v>30</v>
      </c>
      <c r="E776" t="s">
        <v>31</v>
      </c>
      <c r="F776" t="s">
        <v>43</v>
      </c>
      <c r="G776" s="6">
        <v>5895</v>
      </c>
      <c r="H776" s="7">
        <v>10</v>
      </c>
      <c r="I776" s="6">
        <v>2947.5</v>
      </c>
      <c r="J776" s="6">
        <v>61897.5</v>
      </c>
      <c r="K776" s="5">
        <v>43502.958333333336</v>
      </c>
      <c r="L776" s="4" t="s">
        <v>1252</v>
      </c>
      <c r="M776" t="s">
        <v>34</v>
      </c>
      <c r="N776" s="6">
        <v>58950</v>
      </c>
      <c r="O776">
        <v>4.7619047620000003</v>
      </c>
      <c r="P776" s="6">
        <v>2947.5</v>
      </c>
      <c r="Q776">
        <v>8.1</v>
      </c>
      <c r="R776" s="6">
        <f>RawSales[[#This Row],[Unit price]]*RawSales[[#This Row],[Quantity]]</f>
        <v>58950</v>
      </c>
      <c r="S776" s="6">
        <f>RawSales[[#This Row],[Subtotal]]*$B$1</f>
        <v>2947.5</v>
      </c>
      <c r="T776" s="6" t="b">
        <f>ROUND(RawSales[[#This Row],[Subtotal]],2)=ROUND(RawSales[[#This Row],[cogs]],2)</f>
        <v>1</v>
      </c>
      <c r="U776" s="6" t="b">
        <f>ROUND(RawSales[[#This Row],[cogs]]*0.05,2)=ROUND(RawSales[[#This Row],[Tax 5%]],2)</f>
        <v>1</v>
      </c>
      <c r="V776" s="6" t="b">
        <f>ROUND(RawSales[[#This Row],[cogs]]+RawSales[[#This Row],[Tax 5%]],2)=ROUND(RawSales[[#This Row],[Sales]],2)</f>
        <v>1</v>
      </c>
    </row>
    <row r="777" spans="1:22" x14ac:dyDescent="0.35">
      <c r="A777" s="4" t="s">
        <v>1272</v>
      </c>
      <c r="B777" t="s">
        <v>38</v>
      </c>
      <c r="C777" t="s">
        <v>39</v>
      </c>
      <c r="D777" t="s">
        <v>30</v>
      </c>
      <c r="E777" t="s">
        <v>31</v>
      </c>
      <c r="F777" t="s">
        <v>32</v>
      </c>
      <c r="G777" s="6">
        <v>4622</v>
      </c>
      <c r="H777" s="7">
        <v>4</v>
      </c>
      <c r="I777" s="6">
        <v>924.4</v>
      </c>
      <c r="J777" s="6">
        <v>19412.400000000001</v>
      </c>
      <c r="K777" s="5">
        <v>43535.958333333336</v>
      </c>
      <c r="L777" s="4" t="s">
        <v>1273</v>
      </c>
      <c r="M777" t="s">
        <v>51</v>
      </c>
      <c r="N777" s="6">
        <v>18488</v>
      </c>
      <c r="O777">
        <v>4.7619047620000003</v>
      </c>
      <c r="P777" s="6">
        <v>924.4</v>
      </c>
      <c r="Q777">
        <v>6.2</v>
      </c>
      <c r="R777" s="6">
        <f>RawSales[[#This Row],[Unit price]]*RawSales[[#This Row],[Quantity]]</f>
        <v>18488</v>
      </c>
      <c r="S777" s="6">
        <f>RawSales[[#This Row],[Subtotal]]*$B$1</f>
        <v>924.40000000000009</v>
      </c>
      <c r="T777" s="6" t="b">
        <f>ROUND(RawSales[[#This Row],[Subtotal]],2)=ROUND(RawSales[[#This Row],[cogs]],2)</f>
        <v>1</v>
      </c>
      <c r="U777" s="6" t="b">
        <f>ROUND(RawSales[[#This Row],[cogs]]*0.05,2)=ROUND(RawSales[[#This Row],[Tax 5%]],2)</f>
        <v>1</v>
      </c>
      <c r="V777" s="6" t="b">
        <f>ROUND(RawSales[[#This Row],[cogs]]+RawSales[[#This Row],[Tax 5%]],2)=ROUND(RawSales[[#This Row],[Sales]],2)</f>
        <v>1</v>
      </c>
    </row>
    <row r="778" spans="1:22" x14ac:dyDescent="0.35">
      <c r="A778" s="4" t="s">
        <v>1274</v>
      </c>
      <c r="B778" t="s">
        <v>20</v>
      </c>
      <c r="C778" t="s">
        <v>21</v>
      </c>
      <c r="D778" t="s">
        <v>30</v>
      </c>
      <c r="E778" t="s">
        <v>23</v>
      </c>
      <c r="F778" t="s">
        <v>32</v>
      </c>
      <c r="G778" s="6">
        <v>6342</v>
      </c>
      <c r="H778" s="7">
        <v>8</v>
      </c>
      <c r="I778" s="6">
        <v>2536.8000000000002</v>
      </c>
      <c r="J778" s="6">
        <v>53272.800000000003</v>
      </c>
      <c r="K778" s="5">
        <v>43534.958333333336</v>
      </c>
      <c r="L778" s="4" t="s">
        <v>577</v>
      </c>
      <c r="M778" t="s">
        <v>34</v>
      </c>
      <c r="N778" s="6">
        <v>50736</v>
      </c>
      <c r="O778">
        <v>4.7619047620000003</v>
      </c>
      <c r="P778" s="6">
        <v>2536.8000000000002</v>
      </c>
      <c r="Q778">
        <v>7.4</v>
      </c>
      <c r="R778" s="6">
        <f>RawSales[[#This Row],[Unit price]]*RawSales[[#This Row],[Quantity]]</f>
        <v>50736</v>
      </c>
      <c r="S778" s="6">
        <f>RawSales[[#This Row],[Subtotal]]*$B$1</f>
        <v>2536.8000000000002</v>
      </c>
      <c r="T778" s="6" t="b">
        <f>ROUND(RawSales[[#This Row],[Subtotal]],2)=ROUND(RawSales[[#This Row],[cogs]],2)</f>
        <v>1</v>
      </c>
      <c r="U778" s="6" t="b">
        <f>ROUND(RawSales[[#This Row],[cogs]]*0.05,2)=ROUND(RawSales[[#This Row],[Tax 5%]],2)</f>
        <v>1</v>
      </c>
      <c r="V778" s="6" t="b">
        <f>ROUND(RawSales[[#This Row],[cogs]]+RawSales[[#This Row],[Tax 5%]],2)=ROUND(RawSales[[#This Row],[Sales]],2)</f>
        <v>1</v>
      </c>
    </row>
    <row r="779" spans="1:22" x14ac:dyDescent="0.35">
      <c r="A779" s="4" t="s">
        <v>1275</v>
      </c>
      <c r="B779" t="s">
        <v>20</v>
      </c>
      <c r="C779" t="s">
        <v>21</v>
      </c>
      <c r="D779" t="s">
        <v>22</v>
      </c>
      <c r="E779" t="s">
        <v>23</v>
      </c>
      <c r="F779" t="s">
        <v>24</v>
      </c>
      <c r="G779" s="6">
        <v>9960</v>
      </c>
      <c r="H779" s="7">
        <v>3</v>
      </c>
      <c r="I779" s="6">
        <v>1494</v>
      </c>
      <c r="J779" s="6">
        <v>31374</v>
      </c>
      <c r="K779" s="5">
        <v>43520.958333333336</v>
      </c>
      <c r="L779" s="4" t="s">
        <v>452</v>
      </c>
      <c r="M779" t="s">
        <v>26</v>
      </c>
      <c r="N779" s="6">
        <v>29880</v>
      </c>
      <c r="O779">
        <v>4.7619047620000003</v>
      </c>
      <c r="P779" s="6">
        <v>1494</v>
      </c>
      <c r="Q779">
        <v>5.8</v>
      </c>
      <c r="R779" s="6">
        <f>RawSales[[#This Row],[Unit price]]*RawSales[[#This Row],[Quantity]]</f>
        <v>29880</v>
      </c>
      <c r="S779" s="6">
        <f>RawSales[[#This Row],[Subtotal]]*$B$1</f>
        <v>1494</v>
      </c>
      <c r="T779" s="6" t="b">
        <f>ROUND(RawSales[[#This Row],[Subtotal]],2)=ROUND(RawSales[[#This Row],[cogs]],2)</f>
        <v>1</v>
      </c>
      <c r="U779" s="6" t="b">
        <f>ROUND(RawSales[[#This Row],[cogs]]*0.05,2)=ROUND(RawSales[[#This Row],[Tax 5%]],2)</f>
        <v>1</v>
      </c>
      <c r="V779" s="6" t="b">
        <f>ROUND(RawSales[[#This Row],[cogs]]+RawSales[[#This Row],[Tax 5%]],2)=ROUND(RawSales[[#This Row],[Sales]],2)</f>
        <v>1</v>
      </c>
    </row>
    <row r="780" spans="1:22" x14ac:dyDescent="0.35">
      <c r="A780" s="4" t="s">
        <v>1276</v>
      </c>
      <c r="B780" t="s">
        <v>20</v>
      </c>
      <c r="C780" t="s">
        <v>21</v>
      </c>
      <c r="D780" t="s">
        <v>22</v>
      </c>
      <c r="E780" t="s">
        <v>31</v>
      </c>
      <c r="F780" t="s">
        <v>24</v>
      </c>
      <c r="G780" s="6">
        <v>1885</v>
      </c>
      <c r="H780" s="7">
        <v>10</v>
      </c>
      <c r="I780" s="6">
        <v>942.5</v>
      </c>
      <c r="J780" s="6">
        <v>19792.5</v>
      </c>
      <c r="K780" s="5">
        <v>43522.958333333336</v>
      </c>
      <c r="L780" s="4" t="s">
        <v>383</v>
      </c>
      <c r="M780" t="s">
        <v>34</v>
      </c>
      <c r="N780" s="6">
        <v>18850</v>
      </c>
      <c r="O780">
        <v>4.7619047620000003</v>
      </c>
      <c r="P780" s="6">
        <v>942.5</v>
      </c>
      <c r="Q780">
        <v>5.6</v>
      </c>
      <c r="R780" s="6">
        <f>RawSales[[#This Row],[Unit price]]*RawSales[[#This Row],[Quantity]]</f>
        <v>18850</v>
      </c>
      <c r="S780" s="6">
        <f>RawSales[[#This Row],[Subtotal]]*$B$1</f>
        <v>942.5</v>
      </c>
      <c r="T780" s="6" t="b">
        <f>ROUND(RawSales[[#This Row],[Subtotal]],2)=ROUND(RawSales[[#This Row],[cogs]],2)</f>
        <v>1</v>
      </c>
      <c r="U780" s="6" t="b">
        <f>ROUND(RawSales[[#This Row],[cogs]]*0.05,2)=ROUND(RawSales[[#This Row],[Tax 5%]],2)</f>
        <v>1</v>
      </c>
      <c r="V780" s="6" t="b">
        <f>ROUND(RawSales[[#This Row],[cogs]]+RawSales[[#This Row],[Tax 5%]],2)=ROUND(RawSales[[#This Row],[Sales]],2)</f>
        <v>1</v>
      </c>
    </row>
    <row r="781" spans="1:22" x14ac:dyDescent="0.35">
      <c r="A781" s="4" t="s">
        <v>1277</v>
      </c>
      <c r="B781" t="s">
        <v>20</v>
      </c>
      <c r="C781" t="s">
        <v>21</v>
      </c>
      <c r="D781" t="s">
        <v>22</v>
      </c>
      <c r="E781" t="s">
        <v>23</v>
      </c>
      <c r="F781" t="s">
        <v>40</v>
      </c>
      <c r="G781" s="6">
        <v>9464</v>
      </c>
      <c r="H781" s="7">
        <v>3</v>
      </c>
      <c r="I781" s="6">
        <v>1419.6</v>
      </c>
      <c r="J781" s="6">
        <v>29811.599999999999</v>
      </c>
      <c r="K781" s="5">
        <v>43516.958333333336</v>
      </c>
      <c r="L781" s="4" t="s">
        <v>1278</v>
      </c>
      <c r="M781" t="s">
        <v>26</v>
      </c>
      <c r="N781" s="6">
        <v>28392</v>
      </c>
      <c r="O781">
        <v>4.7619047620000003</v>
      </c>
      <c r="P781" s="6">
        <v>1419.6</v>
      </c>
      <c r="Q781">
        <v>5.5</v>
      </c>
      <c r="R781" s="6">
        <f>RawSales[[#This Row],[Unit price]]*RawSales[[#This Row],[Quantity]]</f>
        <v>28392</v>
      </c>
      <c r="S781" s="6">
        <f>RawSales[[#This Row],[Subtotal]]*$B$1</f>
        <v>1419.6000000000001</v>
      </c>
      <c r="T781" s="6" t="b">
        <f>ROUND(RawSales[[#This Row],[Subtotal]],2)=ROUND(RawSales[[#This Row],[cogs]],2)</f>
        <v>1</v>
      </c>
      <c r="U781" s="6" t="b">
        <f>ROUND(RawSales[[#This Row],[cogs]]*0.05,2)=ROUND(RawSales[[#This Row],[Tax 5%]],2)</f>
        <v>1</v>
      </c>
      <c r="V781" s="6" t="b">
        <f>ROUND(RawSales[[#This Row],[cogs]]+RawSales[[#This Row],[Tax 5%]],2)=ROUND(RawSales[[#This Row],[Sales]],2)</f>
        <v>1</v>
      </c>
    </row>
    <row r="782" spans="1:22" x14ac:dyDescent="0.35">
      <c r="A782" s="4" t="s">
        <v>1279</v>
      </c>
      <c r="B782" t="s">
        <v>38</v>
      </c>
      <c r="C782" t="s">
        <v>39</v>
      </c>
      <c r="D782" t="s">
        <v>30</v>
      </c>
      <c r="E782" t="s">
        <v>23</v>
      </c>
      <c r="F782" t="s">
        <v>62</v>
      </c>
      <c r="G782" s="6">
        <v>4666</v>
      </c>
      <c r="H782" s="7">
        <v>9</v>
      </c>
      <c r="I782" s="6">
        <v>2099.6999999999998</v>
      </c>
      <c r="J782" s="6">
        <v>44093.7</v>
      </c>
      <c r="K782" s="5">
        <v>43512.958333333336</v>
      </c>
      <c r="L782" s="4" t="s">
        <v>1280</v>
      </c>
      <c r="M782" t="s">
        <v>34</v>
      </c>
      <c r="N782" s="6">
        <v>41994</v>
      </c>
      <c r="O782">
        <v>4.7619047620000003</v>
      </c>
      <c r="P782" s="6">
        <v>2099.6999999999998</v>
      </c>
      <c r="Q782">
        <v>5.3</v>
      </c>
      <c r="R782" s="6">
        <f>RawSales[[#This Row],[Unit price]]*RawSales[[#This Row],[Quantity]]</f>
        <v>41994</v>
      </c>
      <c r="S782" s="6">
        <f>RawSales[[#This Row],[Subtotal]]*$B$1</f>
        <v>2099.7000000000003</v>
      </c>
      <c r="T782" s="6" t="b">
        <f>ROUND(RawSales[[#This Row],[Subtotal]],2)=ROUND(RawSales[[#This Row],[cogs]],2)</f>
        <v>1</v>
      </c>
      <c r="U782" s="6" t="b">
        <f>ROUND(RawSales[[#This Row],[cogs]]*0.05,2)=ROUND(RawSales[[#This Row],[Tax 5%]],2)</f>
        <v>1</v>
      </c>
      <c r="V782" s="6" t="b">
        <f>ROUND(RawSales[[#This Row],[cogs]]+RawSales[[#This Row],[Tax 5%]],2)=ROUND(RawSales[[#This Row],[Sales]],2)</f>
        <v>1</v>
      </c>
    </row>
    <row r="783" spans="1:22" x14ac:dyDescent="0.35">
      <c r="A783" s="4" t="s">
        <v>246</v>
      </c>
      <c r="B783" t="s">
        <v>28</v>
      </c>
      <c r="C783" t="s">
        <v>29</v>
      </c>
      <c r="D783" t="s">
        <v>30</v>
      </c>
      <c r="E783" t="s">
        <v>31</v>
      </c>
      <c r="F783" t="s">
        <v>40</v>
      </c>
      <c r="G783" s="6">
        <v>7213</v>
      </c>
      <c r="H783" s="7">
        <v>10</v>
      </c>
      <c r="I783" s="6">
        <v>3606.5</v>
      </c>
      <c r="J783" s="6">
        <v>75736.5</v>
      </c>
      <c r="K783" s="5">
        <v>43495.958333333336</v>
      </c>
      <c r="L783" s="4" t="s">
        <v>247</v>
      </c>
      <c r="M783" t="s">
        <v>51</v>
      </c>
      <c r="N783" s="6">
        <v>72130</v>
      </c>
      <c r="O783">
        <v>4.7619047620000003</v>
      </c>
      <c r="P783" s="6">
        <v>3606.5</v>
      </c>
      <c r="Q783">
        <v>4.2</v>
      </c>
      <c r="R783" s="6">
        <f>RawSales[[#This Row],[Unit price]]*RawSales[[#This Row],[Quantity]]</f>
        <v>72130</v>
      </c>
      <c r="S783" s="6">
        <f>RawSales[[#This Row],[Subtotal]]*$B$1</f>
        <v>3606.5</v>
      </c>
      <c r="T783" s="6" t="b">
        <f>ROUND(RawSales[[#This Row],[Subtotal]],2)=ROUND(RawSales[[#This Row],[cogs]],2)</f>
        <v>1</v>
      </c>
      <c r="U783" s="6" t="b">
        <f>ROUND(RawSales[[#This Row],[cogs]]*0.05,2)=ROUND(RawSales[[#This Row],[Tax 5%]],2)</f>
        <v>1</v>
      </c>
      <c r="V783" s="6" t="b">
        <f>ROUND(RawSales[[#This Row],[cogs]]+RawSales[[#This Row],[Tax 5%]],2)=ROUND(RawSales[[#This Row],[Sales]],2)</f>
        <v>1</v>
      </c>
    </row>
    <row r="784" spans="1:22" x14ac:dyDescent="0.35">
      <c r="A784" s="4" t="s">
        <v>1281</v>
      </c>
      <c r="B784" t="s">
        <v>38</v>
      </c>
      <c r="C784" t="s">
        <v>39</v>
      </c>
      <c r="D784" t="s">
        <v>30</v>
      </c>
      <c r="E784" t="s">
        <v>23</v>
      </c>
      <c r="F784" t="s">
        <v>62</v>
      </c>
      <c r="G784" s="6">
        <v>8097</v>
      </c>
      <c r="H784" s="7">
        <v>8</v>
      </c>
      <c r="I784" s="6">
        <v>3238.8</v>
      </c>
      <c r="J784" s="6">
        <v>68014.8</v>
      </c>
      <c r="K784" s="4" t="s">
        <v>1282</v>
      </c>
      <c r="L784" s="4" t="s">
        <v>602</v>
      </c>
      <c r="M784" t="s">
        <v>26</v>
      </c>
      <c r="N784" s="6">
        <v>64776</v>
      </c>
      <c r="O784">
        <v>4.7619047620000003</v>
      </c>
      <c r="P784" s="6">
        <v>3238.8</v>
      </c>
      <c r="Q784">
        <v>9.3000000000000007</v>
      </c>
      <c r="R784" s="6">
        <f>RawSales[[#This Row],[Unit price]]*RawSales[[#This Row],[Quantity]]</f>
        <v>64776</v>
      </c>
      <c r="S784" s="6">
        <f>RawSales[[#This Row],[Subtotal]]*$B$1</f>
        <v>3238.8</v>
      </c>
      <c r="T784" s="6" t="b">
        <f>ROUND(RawSales[[#This Row],[Subtotal]],2)=ROUND(RawSales[[#This Row],[cogs]],2)</f>
        <v>1</v>
      </c>
      <c r="U784" s="6" t="b">
        <f>ROUND(RawSales[[#This Row],[cogs]]*0.05,2)=ROUND(RawSales[[#This Row],[Tax 5%]],2)</f>
        <v>1</v>
      </c>
      <c r="V784" s="6" t="b">
        <f>ROUND(RawSales[[#This Row],[cogs]]+RawSales[[#This Row],[Tax 5%]],2)=ROUND(RawSales[[#This Row],[Sales]],2)</f>
        <v>1</v>
      </c>
    </row>
    <row r="785" spans="1:22" x14ac:dyDescent="0.35">
      <c r="A785" s="4" t="s">
        <v>1283</v>
      </c>
      <c r="B785" t="s">
        <v>28</v>
      </c>
      <c r="C785" t="s">
        <v>29</v>
      </c>
      <c r="D785" t="s">
        <v>30</v>
      </c>
      <c r="E785" t="s">
        <v>31</v>
      </c>
      <c r="F785" t="s">
        <v>49</v>
      </c>
      <c r="G785" s="6">
        <v>6908</v>
      </c>
      <c r="H785" s="7">
        <v>2</v>
      </c>
      <c r="I785" s="6">
        <v>690.8</v>
      </c>
      <c r="J785" s="6">
        <v>14506.8</v>
      </c>
      <c r="K785" s="5">
        <v>43495.958333333336</v>
      </c>
      <c r="L785" s="4" t="s">
        <v>212</v>
      </c>
      <c r="M785" t="s">
        <v>51</v>
      </c>
      <c r="N785" s="6">
        <v>13816</v>
      </c>
      <c r="O785">
        <v>4.7619047620000003</v>
      </c>
      <c r="P785" s="6">
        <v>690.8</v>
      </c>
      <c r="Q785">
        <v>6.9</v>
      </c>
      <c r="R785" s="6">
        <f>RawSales[[#This Row],[Unit price]]*RawSales[[#This Row],[Quantity]]</f>
        <v>13816</v>
      </c>
      <c r="S785" s="6">
        <f>RawSales[[#This Row],[Subtotal]]*$B$1</f>
        <v>690.80000000000007</v>
      </c>
      <c r="T785" s="6" t="b">
        <f>ROUND(RawSales[[#This Row],[Subtotal]],2)=ROUND(RawSales[[#This Row],[cogs]],2)</f>
        <v>1</v>
      </c>
      <c r="U785" s="6" t="b">
        <f>ROUND(RawSales[[#This Row],[cogs]]*0.05,2)=ROUND(RawSales[[#This Row],[Tax 5%]],2)</f>
        <v>1</v>
      </c>
      <c r="V785" s="6" t="b">
        <f>ROUND(RawSales[[#This Row],[cogs]]+RawSales[[#This Row],[Tax 5%]],2)=ROUND(RawSales[[#This Row],[Sales]],2)</f>
        <v>1</v>
      </c>
    </row>
    <row r="786" spans="1:22" x14ac:dyDescent="0.35">
      <c r="A786" s="4" t="s">
        <v>1284</v>
      </c>
      <c r="B786" t="s">
        <v>28</v>
      </c>
      <c r="C786" t="s">
        <v>29</v>
      </c>
      <c r="D786" t="s">
        <v>30</v>
      </c>
      <c r="E786" t="s">
        <v>23</v>
      </c>
      <c r="F786" t="s">
        <v>49</v>
      </c>
      <c r="G786" s="6">
        <v>3975</v>
      </c>
      <c r="H786" s="7">
        <v>5</v>
      </c>
      <c r="I786" s="6">
        <v>993.75</v>
      </c>
      <c r="J786" s="6">
        <v>20868.75</v>
      </c>
      <c r="K786" s="5">
        <v>43517.958333333336</v>
      </c>
      <c r="L786" s="4" t="s">
        <v>75</v>
      </c>
      <c r="M786" t="s">
        <v>34</v>
      </c>
      <c r="N786" s="6">
        <v>19875</v>
      </c>
      <c r="O786">
        <v>4.7619047620000003</v>
      </c>
      <c r="P786" s="6">
        <v>993.75</v>
      </c>
      <c r="Q786">
        <v>9.6</v>
      </c>
      <c r="R786" s="6">
        <f>RawSales[[#This Row],[Unit price]]*RawSales[[#This Row],[Quantity]]</f>
        <v>19875</v>
      </c>
      <c r="S786" s="6">
        <f>RawSales[[#This Row],[Subtotal]]*$B$1</f>
        <v>993.75</v>
      </c>
      <c r="T786" s="6" t="b">
        <f>ROUND(RawSales[[#This Row],[Subtotal]],2)=ROUND(RawSales[[#This Row],[cogs]],2)</f>
        <v>1</v>
      </c>
      <c r="U786" s="6" t="b">
        <f>ROUND(RawSales[[#This Row],[cogs]]*0.05,2)=ROUND(RawSales[[#This Row],[Tax 5%]],2)</f>
        <v>1</v>
      </c>
      <c r="V786" s="6" t="b">
        <f>ROUND(RawSales[[#This Row],[cogs]]+RawSales[[#This Row],[Tax 5%]],2)=ROUND(RawSales[[#This Row],[Sales]],2)</f>
        <v>1</v>
      </c>
    </row>
    <row r="787" spans="1:22" x14ac:dyDescent="0.35">
      <c r="A787" s="4" t="s">
        <v>1285</v>
      </c>
      <c r="B787" t="s">
        <v>38</v>
      </c>
      <c r="C787" t="s">
        <v>39</v>
      </c>
      <c r="D787" t="s">
        <v>22</v>
      </c>
      <c r="E787" t="s">
        <v>31</v>
      </c>
      <c r="F787" t="s">
        <v>24</v>
      </c>
      <c r="G787" s="6">
        <v>3847</v>
      </c>
      <c r="H787" s="7">
        <v>8</v>
      </c>
      <c r="I787" s="6">
        <v>1538.8</v>
      </c>
      <c r="J787" s="6">
        <v>32314.799999999999</v>
      </c>
      <c r="K787" s="4" t="s">
        <v>1286</v>
      </c>
      <c r="L787" s="4" t="s">
        <v>536</v>
      </c>
      <c r="M787" t="s">
        <v>26</v>
      </c>
      <c r="N787" s="6">
        <v>30776</v>
      </c>
      <c r="O787">
        <v>4.7619047620000003</v>
      </c>
      <c r="P787" s="6">
        <v>1538.8</v>
      </c>
      <c r="Q787">
        <v>7.7</v>
      </c>
      <c r="R787" s="6">
        <f>RawSales[[#This Row],[Unit price]]*RawSales[[#This Row],[Quantity]]</f>
        <v>30776</v>
      </c>
      <c r="S787" s="6">
        <f>RawSales[[#This Row],[Subtotal]]*$B$1</f>
        <v>1538.8000000000002</v>
      </c>
      <c r="T787" s="6" t="b">
        <f>ROUND(RawSales[[#This Row],[Subtotal]],2)=ROUND(RawSales[[#This Row],[cogs]],2)</f>
        <v>1</v>
      </c>
      <c r="U787" s="6" t="b">
        <f>ROUND(RawSales[[#This Row],[cogs]]*0.05,2)=ROUND(RawSales[[#This Row],[Tax 5%]],2)</f>
        <v>1</v>
      </c>
      <c r="V787" s="6" t="b">
        <f>ROUND(RawSales[[#This Row],[cogs]]+RawSales[[#This Row],[Tax 5%]],2)=ROUND(RawSales[[#This Row],[Sales]],2)</f>
        <v>1</v>
      </c>
    </row>
    <row r="788" spans="1:22" x14ac:dyDescent="0.35">
      <c r="A788" s="4" t="s">
        <v>1287</v>
      </c>
      <c r="B788" t="s">
        <v>20</v>
      </c>
      <c r="C788" t="s">
        <v>21</v>
      </c>
      <c r="D788" t="s">
        <v>22</v>
      </c>
      <c r="E788" t="s">
        <v>23</v>
      </c>
      <c r="F788" t="s">
        <v>140</v>
      </c>
      <c r="G788" s="6">
        <v>2845</v>
      </c>
      <c r="H788" s="7">
        <v>5</v>
      </c>
      <c r="I788" s="6">
        <v>711.25</v>
      </c>
      <c r="J788" s="6">
        <v>14936.25</v>
      </c>
      <c r="K788" s="5">
        <v>43544.958333333336</v>
      </c>
      <c r="L788" s="4" t="s">
        <v>499</v>
      </c>
      <c r="M788" t="s">
        <v>51</v>
      </c>
      <c r="N788" s="6">
        <v>14225</v>
      </c>
      <c r="O788">
        <v>4.7619047620000003</v>
      </c>
      <c r="P788" s="6">
        <v>711.25</v>
      </c>
      <c r="Q788">
        <v>9.1</v>
      </c>
      <c r="R788" s="6">
        <f>RawSales[[#This Row],[Unit price]]*RawSales[[#This Row],[Quantity]]</f>
        <v>14225</v>
      </c>
      <c r="S788" s="6">
        <f>RawSales[[#This Row],[Subtotal]]*$B$1</f>
        <v>711.25</v>
      </c>
      <c r="T788" s="6" t="b">
        <f>ROUND(RawSales[[#This Row],[Subtotal]],2)=ROUND(RawSales[[#This Row],[cogs]],2)</f>
        <v>1</v>
      </c>
      <c r="U788" s="6" t="b">
        <f>ROUND(RawSales[[#This Row],[cogs]]*0.05,2)=ROUND(RawSales[[#This Row],[Tax 5%]],2)</f>
        <v>1</v>
      </c>
      <c r="V788" s="6" t="b">
        <f>ROUND(RawSales[[#This Row],[cogs]]+RawSales[[#This Row],[Tax 5%]],2)=ROUND(RawSales[[#This Row],[Sales]],2)</f>
        <v>1</v>
      </c>
    </row>
    <row r="789" spans="1:22" x14ac:dyDescent="0.35">
      <c r="A789" s="4" t="s">
        <v>1288</v>
      </c>
      <c r="B789" t="s">
        <v>28</v>
      </c>
      <c r="C789" t="s">
        <v>29</v>
      </c>
      <c r="D789" t="s">
        <v>22</v>
      </c>
      <c r="E789" t="s">
        <v>23</v>
      </c>
      <c r="F789" t="s">
        <v>324</v>
      </c>
      <c r="G789" s="6">
        <v>6285</v>
      </c>
      <c r="H789" s="7">
        <v>4</v>
      </c>
      <c r="I789" s="6">
        <v>1257</v>
      </c>
      <c r="J789" s="6">
        <v>26397</v>
      </c>
      <c r="K789" s="5">
        <v>43520.958333333336</v>
      </c>
      <c r="L789" s="4" t="s">
        <v>782</v>
      </c>
      <c r="M789" t="s">
        <v>34</v>
      </c>
      <c r="N789" s="6">
        <v>25140</v>
      </c>
      <c r="O789">
        <v>4.7619047620000003</v>
      </c>
      <c r="P789" s="6">
        <v>1257</v>
      </c>
      <c r="Q789">
        <v>8.6999999999999993</v>
      </c>
      <c r="R789" s="6">
        <f>RawSales[[#This Row],[Unit price]]*RawSales[[#This Row],[Quantity]]</f>
        <v>25140</v>
      </c>
      <c r="S789" s="6">
        <f>RawSales[[#This Row],[Subtotal]]*$B$1</f>
        <v>1257</v>
      </c>
      <c r="T789" s="6" t="b">
        <f>ROUND(RawSales[[#This Row],[Subtotal]],2)=ROUND(RawSales[[#This Row],[cogs]],2)</f>
        <v>1</v>
      </c>
      <c r="U789" s="6" t="b">
        <f>ROUND(RawSales[[#This Row],[cogs]]*0.05,2)=ROUND(RawSales[[#This Row],[Tax 5%]],2)</f>
        <v>1</v>
      </c>
      <c r="V789" s="6" t="b">
        <f>ROUND(RawSales[[#This Row],[cogs]]+RawSales[[#This Row],[Tax 5%]],2)=ROUND(RawSales[[#This Row],[Sales]],2)</f>
        <v>1</v>
      </c>
    </row>
    <row r="790" spans="1:22" x14ac:dyDescent="0.35">
      <c r="A790" s="4" t="s">
        <v>1289</v>
      </c>
      <c r="B790" t="s">
        <v>20</v>
      </c>
      <c r="C790" t="s">
        <v>21</v>
      </c>
      <c r="D790" t="s">
        <v>22</v>
      </c>
      <c r="E790" t="s">
        <v>23</v>
      </c>
      <c r="F790" t="s">
        <v>32</v>
      </c>
      <c r="G790" s="6">
        <v>7467</v>
      </c>
      <c r="H790" s="7">
        <v>9</v>
      </c>
      <c r="I790" s="6">
        <v>3360.15</v>
      </c>
      <c r="J790" s="6">
        <v>70563.149999999994</v>
      </c>
      <c r="K790" s="5">
        <v>43486.958333333336</v>
      </c>
      <c r="L790" s="4" t="s">
        <v>1089</v>
      </c>
      <c r="M790" t="s">
        <v>34</v>
      </c>
      <c r="N790" s="6">
        <v>67203</v>
      </c>
      <c r="O790">
        <v>4.7619047620000003</v>
      </c>
      <c r="P790" s="6">
        <v>3360.15</v>
      </c>
      <c r="Q790">
        <v>9.4</v>
      </c>
      <c r="R790" s="6">
        <f>RawSales[[#This Row],[Unit price]]*RawSales[[#This Row],[Quantity]]</f>
        <v>67203</v>
      </c>
      <c r="S790" s="6">
        <f>RawSales[[#This Row],[Subtotal]]*$B$1</f>
        <v>3360.15</v>
      </c>
      <c r="T790" s="6" t="b">
        <f>ROUND(RawSales[[#This Row],[Subtotal]],2)=ROUND(RawSales[[#This Row],[cogs]],2)</f>
        <v>1</v>
      </c>
      <c r="U790" s="6" t="b">
        <f>ROUND(RawSales[[#This Row],[cogs]]*0.05,2)=ROUND(RawSales[[#This Row],[Tax 5%]],2)</f>
        <v>1</v>
      </c>
      <c r="V790" s="6" t="b">
        <f>ROUND(RawSales[[#This Row],[cogs]]+RawSales[[#This Row],[Tax 5%]],2)=ROUND(RawSales[[#This Row],[Sales]],2)</f>
        <v>1</v>
      </c>
    </row>
    <row r="791" spans="1:22" x14ac:dyDescent="0.35">
      <c r="A791" s="4" t="s">
        <v>1290</v>
      </c>
      <c r="B791" t="s">
        <v>20</v>
      </c>
      <c r="C791" t="s">
        <v>21</v>
      </c>
      <c r="D791" t="s">
        <v>30</v>
      </c>
      <c r="E791" t="s">
        <v>31</v>
      </c>
      <c r="F791" t="s">
        <v>32</v>
      </c>
      <c r="G791" s="6">
        <v>5093</v>
      </c>
      <c r="H791" s="7">
        <v>8</v>
      </c>
      <c r="I791" s="6">
        <v>2037.2</v>
      </c>
      <c r="J791" s="6">
        <v>42781.2</v>
      </c>
      <c r="K791" s="5">
        <v>43545.958333333336</v>
      </c>
      <c r="L791" s="4" t="s">
        <v>1291</v>
      </c>
      <c r="M791" t="s">
        <v>34</v>
      </c>
      <c r="N791" s="6">
        <v>40744</v>
      </c>
      <c r="O791">
        <v>4.7619047620000003</v>
      </c>
      <c r="P791" s="6">
        <v>2037.2</v>
      </c>
      <c r="Q791">
        <v>9.1999999999999993</v>
      </c>
      <c r="R791" s="6">
        <f>RawSales[[#This Row],[Unit price]]*RawSales[[#This Row],[Quantity]]</f>
        <v>40744</v>
      </c>
      <c r="S791" s="6">
        <f>RawSales[[#This Row],[Subtotal]]*$B$1</f>
        <v>2037.2</v>
      </c>
      <c r="T791" s="6" t="b">
        <f>ROUND(RawSales[[#This Row],[Subtotal]],2)=ROUND(RawSales[[#This Row],[cogs]],2)</f>
        <v>1</v>
      </c>
      <c r="U791" s="6" t="b">
        <f>ROUND(RawSales[[#This Row],[cogs]]*0.05,2)=ROUND(RawSales[[#This Row],[Tax 5%]],2)</f>
        <v>1</v>
      </c>
      <c r="V791" s="6" t="b">
        <f>ROUND(RawSales[[#This Row],[cogs]]+RawSales[[#This Row],[Tax 5%]],2)=ROUND(RawSales[[#This Row],[Sales]],2)</f>
        <v>1</v>
      </c>
    </row>
    <row r="792" spans="1:22" x14ac:dyDescent="0.35">
      <c r="A792" s="4" t="s">
        <v>1292</v>
      </c>
      <c r="B792" t="s">
        <v>38</v>
      </c>
      <c r="C792" t="s">
        <v>39</v>
      </c>
      <c r="D792" t="s">
        <v>30</v>
      </c>
      <c r="E792" t="s">
        <v>31</v>
      </c>
      <c r="F792" t="s">
        <v>62</v>
      </c>
      <c r="G792" s="6">
        <v>9924</v>
      </c>
      <c r="H792" s="7">
        <v>9</v>
      </c>
      <c r="I792" s="6">
        <v>4465.8</v>
      </c>
      <c r="J792" s="6">
        <v>93781.8</v>
      </c>
      <c r="K792" s="5">
        <v>43542.958333333336</v>
      </c>
      <c r="L792" s="4" t="s">
        <v>723</v>
      </c>
      <c r="M792" t="s">
        <v>34</v>
      </c>
      <c r="N792" s="6">
        <v>89316</v>
      </c>
      <c r="O792">
        <v>4.7619047620000003</v>
      </c>
      <c r="P792" s="6">
        <v>4465.8</v>
      </c>
      <c r="Q792">
        <v>9</v>
      </c>
      <c r="R792" s="6">
        <f>RawSales[[#This Row],[Unit price]]*RawSales[[#This Row],[Quantity]]</f>
        <v>89316</v>
      </c>
      <c r="S792" s="6">
        <f>RawSales[[#This Row],[Subtotal]]*$B$1</f>
        <v>4465.8</v>
      </c>
      <c r="T792" s="6" t="b">
        <f>ROUND(RawSales[[#This Row],[Subtotal]],2)=ROUND(RawSales[[#This Row],[cogs]],2)</f>
        <v>1</v>
      </c>
      <c r="U792" s="6" t="b">
        <f>ROUND(RawSales[[#This Row],[cogs]]*0.05,2)=ROUND(RawSales[[#This Row],[Tax 5%]],2)</f>
        <v>1</v>
      </c>
      <c r="V792" s="6" t="b">
        <f>ROUND(RawSales[[#This Row],[cogs]]+RawSales[[#This Row],[Tax 5%]],2)=ROUND(RawSales[[#This Row],[Sales]],2)</f>
        <v>1</v>
      </c>
    </row>
    <row r="793" spans="1:22" x14ac:dyDescent="0.35">
      <c r="A793" s="4" t="s">
        <v>1180</v>
      </c>
      <c r="B793" t="s">
        <v>28</v>
      </c>
      <c r="C793" t="s">
        <v>29</v>
      </c>
      <c r="D793" t="s">
        <v>22</v>
      </c>
      <c r="E793" t="s">
        <v>31</v>
      </c>
      <c r="F793" t="s">
        <v>49</v>
      </c>
      <c r="G793" s="6">
        <v>5986</v>
      </c>
      <c r="H793" s="7">
        <v>2</v>
      </c>
      <c r="I793" s="6">
        <v>598.6</v>
      </c>
      <c r="J793" s="6">
        <v>12570.6</v>
      </c>
      <c r="K793" s="5">
        <v>43477.958333333336</v>
      </c>
      <c r="L793" s="4" t="s">
        <v>539</v>
      </c>
      <c r="M793" t="s">
        <v>34</v>
      </c>
      <c r="N793" s="6">
        <v>11972</v>
      </c>
      <c r="O793">
        <v>4.7619047620000003</v>
      </c>
      <c r="P793" s="6">
        <v>598.6</v>
      </c>
      <c r="Q793">
        <v>6.7</v>
      </c>
      <c r="R793" s="6">
        <f>RawSales[[#This Row],[Unit price]]*RawSales[[#This Row],[Quantity]]</f>
        <v>11972</v>
      </c>
      <c r="S793" s="6">
        <f>RawSales[[#This Row],[Subtotal]]*$B$1</f>
        <v>598.6</v>
      </c>
      <c r="T793" s="6" t="b">
        <f>ROUND(RawSales[[#This Row],[Subtotal]],2)=ROUND(RawSales[[#This Row],[cogs]],2)</f>
        <v>1</v>
      </c>
      <c r="U793" s="6" t="b">
        <f>ROUND(RawSales[[#This Row],[cogs]]*0.05,2)=ROUND(RawSales[[#This Row],[Tax 5%]],2)</f>
        <v>1</v>
      </c>
      <c r="V793" s="6" t="b">
        <f>ROUND(RawSales[[#This Row],[cogs]]+RawSales[[#This Row],[Tax 5%]],2)=ROUND(RawSales[[#This Row],[Sales]],2)</f>
        <v>1</v>
      </c>
    </row>
    <row r="794" spans="1:22" x14ac:dyDescent="0.35">
      <c r="A794" s="4" t="s">
        <v>1293</v>
      </c>
      <c r="B794" t="s">
        <v>28</v>
      </c>
      <c r="C794" t="s">
        <v>29</v>
      </c>
      <c r="D794" t="s">
        <v>22</v>
      </c>
      <c r="E794" t="s">
        <v>23</v>
      </c>
      <c r="F794" t="s">
        <v>24</v>
      </c>
      <c r="G794" s="6">
        <v>7888</v>
      </c>
      <c r="H794" s="7">
        <v>2</v>
      </c>
      <c r="I794" s="6">
        <v>788.8</v>
      </c>
      <c r="J794" s="6">
        <v>16564.8</v>
      </c>
      <c r="K794" s="5">
        <v>43490.958333333336</v>
      </c>
      <c r="L794" s="4" t="s">
        <v>1294</v>
      </c>
      <c r="M794" t="s">
        <v>26</v>
      </c>
      <c r="N794" s="6">
        <v>15776</v>
      </c>
      <c r="O794">
        <v>4.7619047620000003</v>
      </c>
      <c r="P794" s="6">
        <v>788.8</v>
      </c>
      <c r="Q794">
        <v>9.1</v>
      </c>
      <c r="R794" s="6">
        <f>RawSales[[#This Row],[Unit price]]*RawSales[[#This Row],[Quantity]]</f>
        <v>15776</v>
      </c>
      <c r="S794" s="6">
        <f>RawSales[[#This Row],[Subtotal]]*$B$1</f>
        <v>788.80000000000007</v>
      </c>
      <c r="T794" s="6" t="b">
        <f>ROUND(RawSales[[#This Row],[Subtotal]],2)=ROUND(RawSales[[#This Row],[cogs]],2)</f>
        <v>1</v>
      </c>
      <c r="U794" s="6" t="b">
        <f>ROUND(RawSales[[#This Row],[cogs]]*0.05,2)=ROUND(RawSales[[#This Row],[Tax 5%]],2)</f>
        <v>1</v>
      </c>
      <c r="V794" s="6" t="b">
        <f>ROUND(RawSales[[#This Row],[cogs]]+RawSales[[#This Row],[Tax 5%]],2)=ROUND(RawSales[[#This Row],[Sales]],2)</f>
        <v>1</v>
      </c>
    </row>
    <row r="795" spans="1:22" x14ac:dyDescent="0.35">
      <c r="A795" s="4" t="s">
        <v>1295</v>
      </c>
      <c r="B795" t="s">
        <v>28</v>
      </c>
      <c r="C795" t="s">
        <v>29</v>
      </c>
      <c r="D795" t="s">
        <v>22</v>
      </c>
      <c r="E795" t="s">
        <v>23</v>
      </c>
      <c r="F795" t="s">
        <v>24</v>
      </c>
      <c r="G795" s="6">
        <v>9879</v>
      </c>
      <c r="H795" s="7">
        <v>3</v>
      </c>
      <c r="I795" s="6">
        <v>1481.85</v>
      </c>
      <c r="J795" s="6">
        <v>31118.85</v>
      </c>
      <c r="K795" s="5">
        <v>43518.958333333336</v>
      </c>
      <c r="L795" s="4" t="s">
        <v>1296</v>
      </c>
      <c r="M795" t="s">
        <v>34</v>
      </c>
      <c r="N795" s="6">
        <v>29637</v>
      </c>
      <c r="O795">
        <v>4.7619047620000003</v>
      </c>
      <c r="P795" s="6">
        <v>1481.85</v>
      </c>
      <c r="Q795">
        <v>6.4</v>
      </c>
      <c r="R795" s="6">
        <f>RawSales[[#This Row],[Unit price]]*RawSales[[#This Row],[Quantity]]</f>
        <v>29637</v>
      </c>
      <c r="S795" s="6">
        <f>RawSales[[#This Row],[Subtotal]]*$B$1</f>
        <v>1481.8500000000001</v>
      </c>
      <c r="T795" s="6" t="b">
        <f>ROUND(RawSales[[#This Row],[Subtotal]],2)=ROUND(RawSales[[#This Row],[cogs]],2)</f>
        <v>1</v>
      </c>
      <c r="U795" s="6" t="b">
        <f>ROUND(RawSales[[#This Row],[cogs]]*0.05,2)=ROUND(RawSales[[#This Row],[Tax 5%]],2)</f>
        <v>1</v>
      </c>
      <c r="V795" s="6" t="b">
        <f>ROUND(RawSales[[#This Row],[cogs]]+RawSales[[#This Row],[Tax 5%]],2)=ROUND(RawSales[[#This Row],[Sales]],2)</f>
        <v>1</v>
      </c>
    </row>
    <row r="796" spans="1:22" x14ac:dyDescent="0.35">
      <c r="A796" s="4" t="s">
        <v>1297</v>
      </c>
      <c r="B796" t="s">
        <v>28</v>
      </c>
      <c r="C796" t="s">
        <v>29</v>
      </c>
      <c r="D796" t="s">
        <v>22</v>
      </c>
      <c r="E796" t="s">
        <v>31</v>
      </c>
      <c r="F796" t="s">
        <v>49</v>
      </c>
      <c r="G796" s="6">
        <v>7382</v>
      </c>
      <c r="H796" s="7">
        <v>4</v>
      </c>
      <c r="I796" s="6">
        <v>1476.4</v>
      </c>
      <c r="J796" s="6">
        <v>31004.400000000001</v>
      </c>
      <c r="K796" s="5">
        <v>43516.958333333336</v>
      </c>
      <c r="L796" s="4" t="s">
        <v>825</v>
      </c>
      <c r="M796" t="s">
        <v>26</v>
      </c>
      <c r="N796" s="6">
        <v>29528</v>
      </c>
      <c r="O796">
        <v>4.7619047620000003</v>
      </c>
      <c r="P796" s="6">
        <v>1476.4</v>
      </c>
      <c r="Q796">
        <v>6.7</v>
      </c>
      <c r="R796" s="6">
        <f>RawSales[[#This Row],[Unit price]]*RawSales[[#This Row],[Quantity]]</f>
        <v>29528</v>
      </c>
      <c r="S796" s="6">
        <f>RawSales[[#This Row],[Subtotal]]*$B$1</f>
        <v>1476.4</v>
      </c>
      <c r="T796" s="6" t="b">
        <f>ROUND(RawSales[[#This Row],[Subtotal]],2)=ROUND(RawSales[[#This Row],[cogs]],2)</f>
        <v>1</v>
      </c>
      <c r="U796" s="6" t="b">
        <f>ROUND(RawSales[[#This Row],[cogs]]*0.05,2)=ROUND(RawSales[[#This Row],[Tax 5%]],2)</f>
        <v>1</v>
      </c>
      <c r="V796" s="6" t="b">
        <f>ROUND(RawSales[[#This Row],[cogs]]+RawSales[[#This Row],[Tax 5%]],2)=ROUND(RawSales[[#This Row],[Sales]],2)</f>
        <v>1</v>
      </c>
    </row>
    <row r="797" spans="1:22" x14ac:dyDescent="0.35">
      <c r="A797" s="4" t="s">
        <v>1298</v>
      </c>
      <c r="B797" t="s">
        <v>38</v>
      </c>
      <c r="C797" t="s">
        <v>39</v>
      </c>
      <c r="D797" t="s">
        <v>22</v>
      </c>
      <c r="E797" t="s">
        <v>23</v>
      </c>
      <c r="F797" t="s">
        <v>140</v>
      </c>
      <c r="G797" s="6">
        <v>8604</v>
      </c>
      <c r="H797" s="7">
        <v>5</v>
      </c>
      <c r="I797" s="6">
        <v>2151</v>
      </c>
      <c r="J797" s="6">
        <v>45171</v>
      </c>
      <c r="K797" s="5">
        <v>43520.958333333336</v>
      </c>
      <c r="L797" s="4" t="s">
        <v>1299</v>
      </c>
      <c r="M797" t="s">
        <v>34</v>
      </c>
      <c r="N797" s="6">
        <v>43020</v>
      </c>
      <c r="O797">
        <v>4.7619047620000003</v>
      </c>
      <c r="P797" s="6">
        <v>2151</v>
      </c>
      <c r="Q797">
        <v>4.8</v>
      </c>
      <c r="R797" s="6">
        <f>RawSales[[#This Row],[Unit price]]*RawSales[[#This Row],[Quantity]]</f>
        <v>43020</v>
      </c>
      <c r="S797" s="6">
        <f>RawSales[[#This Row],[Subtotal]]*$B$1</f>
        <v>2151</v>
      </c>
      <c r="T797" s="6" t="b">
        <f>ROUND(RawSales[[#This Row],[Subtotal]],2)=ROUND(RawSales[[#This Row],[cogs]],2)</f>
        <v>1</v>
      </c>
      <c r="U797" s="6" t="b">
        <f>ROUND(RawSales[[#This Row],[cogs]]*0.05,2)=ROUND(RawSales[[#This Row],[Tax 5%]],2)</f>
        <v>1</v>
      </c>
      <c r="V797" s="6" t="b">
        <f>ROUND(RawSales[[#This Row],[cogs]]+RawSales[[#This Row],[Tax 5%]],2)=ROUND(RawSales[[#This Row],[Sales]],2)</f>
        <v>1</v>
      </c>
    </row>
    <row r="798" spans="1:22" x14ac:dyDescent="0.35">
      <c r="A798" s="4" t="s">
        <v>1300</v>
      </c>
      <c r="B798" t="s">
        <v>20</v>
      </c>
      <c r="C798" t="s">
        <v>21</v>
      </c>
      <c r="D798" t="s">
        <v>30</v>
      </c>
      <c r="E798" t="s">
        <v>31</v>
      </c>
      <c r="F798" t="s">
        <v>40</v>
      </c>
      <c r="G798" s="6">
        <v>2623</v>
      </c>
      <c r="H798" s="7">
        <v>9</v>
      </c>
      <c r="I798" s="6">
        <v>1180.3499999999999</v>
      </c>
      <c r="J798" s="6">
        <v>24787.35</v>
      </c>
      <c r="K798" s="5">
        <v>43489.958333333336</v>
      </c>
      <c r="L798" s="4" t="s">
        <v>358</v>
      </c>
      <c r="M798" t="s">
        <v>34</v>
      </c>
      <c r="N798" s="6">
        <v>23607</v>
      </c>
      <c r="O798">
        <v>4.7619047620000003</v>
      </c>
      <c r="P798" s="6">
        <v>1180.3499999999999</v>
      </c>
      <c r="Q798">
        <v>5.9</v>
      </c>
      <c r="R798" s="6">
        <f>RawSales[[#This Row],[Unit price]]*RawSales[[#This Row],[Quantity]]</f>
        <v>23607</v>
      </c>
      <c r="S798" s="6">
        <f>RawSales[[#This Row],[Subtotal]]*$B$1</f>
        <v>1180.3500000000001</v>
      </c>
      <c r="T798" s="6" t="b">
        <f>ROUND(RawSales[[#This Row],[Subtotal]],2)=ROUND(RawSales[[#This Row],[cogs]],2)</f>
        <v>1</v>
      </c>
      <c r="U798" s="6" t="b">
        <f>ROUND(RawSales[[#This Row],[cogs]]*0.05,2)=ROUND(RawSales[[#This Row],[Tax 5%]],2)</f>
        <v>1</v>
      </c>
      <c r="V798" s="6" t="b">
        <f>ROUND(RawSales[[#This Row],[cogs]]+RawSales[[#This Row],[Tax 5%]],2)=ROUND(RawSales[[#This Row],[Sales]],2)</f>
        <v>1</v>
      </c>
    </row>
    <row r="799" spans="1:22" x14ac:dyDescent="0.35">
      <c r="A799" s="4" t="s">
        <v>1301</v>
      </c>
      <c r="B799" t="s">
        <v>20</v>
      </c>
      <c r="C799" t="s">
        <v>21</v>
      </c>
      <c r="D799" t="s">
        <v>30</v>
      </c>
      <c r="E799" t="s">
        <v>23</v>
      </c>
      <c r="F799" t="s">
        <v>32</v>
      </c>
      <c r="G799" s="6">
        <v>1143</v>
      </c>
      <c r="H799" s="7">
        <v>6</v>
      </c>
      <c r="I799" s="6">
        <v>342.9</v>
      </c>
      <c r="J799" s="6">
        <v>7200.9</v>
      </c>
      <c r="K799" s="5">
        <v>43479.958333333336</v>
      </c>
      <c r="L799" s="4" t="s">
        <v>947</v>
      </c>
      <c r="M799" t="s">
        <v>26</v>
      </c>
      <c r="N799" s="6">
        <v>6858</v>
      </c>
      <c r="O799">
        <v>4.7619047620000003</v>
      </c>
      <c r="P799" s="6">
        <v>342.9</v>
      </c>
      <c r="Q799">
        <v>7.7</v>
      </c>
      <c r="R799" s="6">
        <f>RawSales[[#This Row],[Unit price]]*RawSales[[#This Row],[Quantity]]</f>
        <v>6858</v>
      </c>
      <c r="S799" s="6">
        <f>RawSales[[#This Row],[Subtotal]]*$B$1</f>
        <v>342.90000000000003</v>
      </c>
      <c r="T799" s="6" t="b">
        <f>ROUND(RawSales[[#This Row],[Subtotal]],2)=ROUND(RawSales[[#This Row],[cogs]],2)</f>
        <v>1</v>
      </c>
      <c r="U799" s="6" t="b">
        <f>ROUND(RawSales[[#This Row],[cogs]]*0.05,2)=ROUND(RawSales[[#This Row],[Tax 5%]],2)</f>
        <v>1</v>
      </c>
      <c r="V799" s="6" t="b">
        <f>ROUND(RawSales[[#This Row],[cogs]]+RawSales[[#This Row],[Tax 5%]],2)=ROUND(RawSales[[#This Row],[Sales]],2)</f>
        <v>1</v>
      </c>
    </row>
    <row r="800" spans="1:22" x14ac:dyDescent="0.35">
      <c r="A800" s="4" t="s">
        <v>1302</v>
      </c>
      <c r="B800" t="s">
        <v>28</v>
      </c>
      <c r="C800" t="s">
        <v>29</v>
      </c>
      <c r="D800" t="s">
        <v>22</v>
      </c>
      <c r="E800" t="s">
        <v>31</v>
      </c>
      <c r="F800" t="s">
        <v>40</v>
      </c>
      <c r="G800" s="6">
        <v>5045</v>
      </c>
      <c r="H800" s="7">
        <v>6</v>
      </c>
      <c r="I800" s="6">
        <v>1513.5</v>
      </c>
      <c r="J800" s="6">
        <v>31783.5</v>
      </c>
      <c r="K800" s="5">
        <v>43501.958333333336</v>
      </c>
      <c r="L800" s="4" t="s">
        <v>69</v>
      </c>
      <c r="M800" t="s">
        <v>51</v>
      </c>
      <c r="N800" s="6">
        <v>30270</v>
      </c>
      <c r="O800">
        <v>4.7619047620000003</v>
      </c>
      <c r="P800" s="6">
        <v>1513.5</v>
      </c>
      <c r="Q800">
        <v>8.9</v>
      </c>
      <c r="R800" s="6">
        <f>RawSales[[#This Row],[Unit price]]*RawSales[[#This Row],[Quantity]]</f>
        <v>30270</v>
      </c>
      <c r="S800" s="6">
        <f>RawSales[[#This Row],[Subtotal]]*$B$1</f>
        <v>1513.5</v>
      </c>
      <c r="T800" s="6" t="b">
        <f>ROUND(RawSales[[#This Row],[Subtotal]],2)=ROUND(RawSales[[#This Row],[cogs]],2)</f>
        <v>1</v>
      </c>
      <c r="U800" s="6" t="b">
        <f>ROUND(RawSales[[#This Row],[cogs]]*0.05,2)=ROUND(RawSales[[#This Row],[Tax 5%]],2)</f>
        <v>1</v>
      </c>
      <c r="V800" s="6" t="b">
        <f>ROUND(RawSales[[#This Row],[cogs]]+RawSales[[#This Row],[Tax 5%]],2)=ROUND(RawSales[[#This Row],[Sales]],2)</f>
        <v>1</v>
      </c>
    </row>
    <row r="801" spans="1:22" x14ac:dyDescent="0.35">
      <c r="A801" s="4" t="s">
        <v>1303</v>
      </c>
      <c r="B801" t="s">
        <v>28</v>
      </c>
      <c r="C801" t="s">
        <v>29</v>
      </c>
      <c r="D801" t="s">
        <v>22</v>
      </c>
      <c r="E801" t="s">
        <v>31</v>
      </c>
      <c r="F801" t="s">
        <v>24</v>
      </c>
      <c r="G801" s="6">
        <v>5789</v>
      </c>
      <c r="H801" s="7">
        <v>2</v>
      </c>
      <c r="I801" s="6">
        <v>578.9</v>
      </c>
      <c r="J801" s="6">
        <v>12156.9</v>
      </c>
      <c r="K801" s="5">
        <v>43481.958333333336</v>
      </c>
      <c r="L801" s="4" t="s">
        <v>889</v>
      </c>
      <c r="M801" t="s">
        <v>34</v>
      </c>
      <c r="N801" s="6">
        <v>11578</v>
      </c>
      <c r="O801">
        <v>4.7619047620000003</v>
      </c>
      <c r="P801" s="6">
        <v>578.9</v>
      </c>
      <c r="Q801">
        <v>8.9</v>
      </c>
      <c r="R801" s="6">
        <f>RawSales[[#This Row],[Unit price]]*RawSales[[#This Row],[Quantity]]</f>
        <v>11578</v>
      </c>
      <c r="S801" s="6">
        <f>RawSales[[#This Row],[Subtotal]]*$B$1</f>
        <v>578.9</v>
      </c>
      <c r="T801" s="6" t="b">
        <f>ROUND(RawSales[[#This Row],[Subtotal]],2)=ROUND(RawSales[[#This Row],[cogs]],2)</f>
        <v>1</v>
      </c>
      <c r="U801" s="6" t="b">
        <f>ROUND(RawSales[[#This Row],[cogs]]*0.05,2)=ROUND(RawSales[[#This Row],[Tax 5%]],2)</f>
        <v>1</v>
      </c>
      <c r="V801" s="6" t="b">
        <f>ROUND(RawSales[[#This Row],[cogs]]+RawSales[[#This Row],[Tax 5%]],2)=ROUND(RawSales[[#This Row],[Sales]],2)</f>
        <v>1</v>
      </c>
    </row>
    <row r="802" spans="1:22" x14ac:dyDescent="0.35">
      <c r="A802" s="4" t="s">
        <v>1304</v>
      </c>
      <c r="B802" t="s">
        <v>20</v>
      </c>
      <c r="C802" t="s">
        <v>21</v>
      </c>
      <c r="D802" t="s">
        <v>30</v>
      </c>
      <c r="E802" t="s">
        <v>31</v>
      </c>
      <c r="F802" t="s">
        <v>43</v>
      </c>
      <c r="G802" s="6">
        <v>1462</v>
      </c>
      <c r="H802" s="7">
        <v>5</v>
      </c>
      <c r="I802" s="6">
        <v>365.5</v>
      </c>
      <c r="J802" s="6">
        <v>7675.5</v>
      </c>
      <c r="K802" s="5">
        <v>43527.958333333336</v>
      </c>
      <c r="L802" s="4" t="s">
        <v>1305</v>
      </c>
      <c r="M802" t="s">
        <v>26</v>
      </c>
      <c r="N802" s="6">
        <v>7310</v>
      </c>
      <c r="O802">
        <v>4.7619047620000003</v>
      </c>
      <c r="P802" s="6">
        <v>365.5</v>
      </c>
      <c r="Q802">
        <v>4.4000000000000004</v>
      </c>
      <c r="R802" s="6">
        <f>RawSales[[#This Row],[Unit price]]*RawSales[[#This Row],[Quantity]]</f>
        <v>7310</v>
      </c>
      <c r="S802" s="6">
        <f>RawSales[[#This Row],[Subtotal]]*$B$1</f>
        <v>365.5</v>
      </c>
      <c r="T802" s="6" t="b">
        <f>ROUND(RawSales[[#This Row],[Subtotal]],2)=ROUND(RawSales[[#This Row],[cogs]],2)</f>
        <v>1</v>
      </c>
      <c r="U802" s="6" t="b">
        <f>ROUND(RawSales[[#This Row],[cogs]]*0.05,2)=ROUND(RawSales[[#This Row],[Tax 5%]],2)</f>
        <v>1</v>
      </c>
      <c r="V802" s="6" t="b">
        <f>ROUND(RawSales[[#This Row],[cogs]]+RawSales[[#This Row],[Tax 5%]],2)=ROUND(RawSales[[#This Row],[Sales]],2)</f>
        <v>1</v>
      </c>
    </row>
    <row r="803" spans="1:22" x14ac:dyDescent="0.35">
      <c r="A803" s="4" t="s">
        <v>1306</v>
      </c>
      <c r="B803" t="s">
        <v>28</v>
      </c>
      <c r="C803" t="s">
        <v>29</v>
      </c>
      <c r="D803" t="s">
        <v>22</v>
      </c>
      <c r="E803" t="s">
        <v>23</v>
      </c>
      <c r="F803" t="s">
        <v>49</v>
      </c>
      <c r="G803" s="6">
        <v>9413</v>
      </c>
      <c r="H803" s="7">
        <v>5</v>
      </c>
      <c r="I803" s="6">
        <v>2353.25</v>
      </c>
      <c r="J803" s="6">
        <v>49418.25</v>
      </c>
      <c r="K803" s="5">
        <v>43520.958333333336</v>
      </c>
      <c r="L803" s="4" t="s">
        <v>1093</v>
      </c>
      <c r="M803" t="s">
        <v>51</v>
      </c>
      <c r="N803" s="6">
        <v>47065</v>
      </c>
      <c r="O803">
        <v>4.7619047620000003</v>
      </c>
      <c r="P803" s="6">
        <v>2353.25</v>
      </c>
      <c r="Q803">
        <v>4.8</v>
      </c>
      <c r="R803" s="6">
        <f>RawSales[[#This Row],[Unit price]]*RawSales[[#This Row],[Quantity]]</f>
        <v>47065</v>
      </c>
      <c r="S803" s="6">
        <f>RawSales[[#This Row],[Subtotal]]*$B$1</f>
        <v>2353.25</v>
      </c>
      <c r="T803" s="6" t="b">
        <f>ROUND(RawSales[[#This Row],[Subtotal]],2)=ROUND(RawSales[[#This Row],[cogs]],2)</f>
        <v>1</v>
      </c>
      <c r="U803" s="6" t="b">
        <f>ROUND(RawSales[[#This Row],[cogs]]*0.05,2)=ROUND(RawSales[[#This Row],[Tax 5%]],2)</f>
        <v>1</v>
      </c>
      <c r="V803" s="6" t="b">
        <f>ROUND(RawSales[[#This Row],[cogs]]+RawSales[[#This Row],[Tax 5%]],2)=ROUND(RawSales[[#This Row],[Sales]],2)</f>
        <v>1</v>
      </c>
    </row>
    <row r="804" spans="1:22" x14ac:dyDescent="0.35">
      <c r="A804" s="4" t="s">
        <v>1307</v>
      </c>
      <c r="B804" t="s">
        <v>28</v>
      </c>
      <c r="C804" t="s">
        <v>29</v>
      </c>
      <c r="D804" t="s">
        <v>22</v>
      </c>
      <c r="E804" t="s">
        <v>31</v>
      </c>
      <c r="F804" t="s">
        <v>40</v>
      </c>
      <c r="G804" s="6">
        <v>4030</v>
      </c>
      <c r="H804" s="7">
        <v>10</v>
      </c>
      <c r="I804" s="6">
        <v>2015</v>
      </c>
      <c r="J804" s="6">
        <v>42315</v>
      </c>
      <c r="K804" s="5">
        <v>43488.958333333336</v>
      </c>
      <c r="L804" s="4" t="s">
        <v>1308</v>
      </c>
      <c r="M804" t="s">
        <v>51</v>
      </c>
      <c r="N804" s="6">
        <v>40300</v>
      </c>
      <c r="O804">
        <v>4.7619047620000003</v>
      </c>
      <c r="P804" s="6">
        <v>2015</v>
      </c>
      <c r="Q804">
        <v>7</v>
      </c>
      <c r="R804" s="6">
        <f>RawSales[[#This Row],[Unit price]]*RawSales[[#This Row],[Quantity]]</f>
        <v>40300</v>
      </c>
      <c r="S804" s="6">
        <f>RawSales[[#This Row],[Subtotal]]*$B$1</f>
        <v>2015</v>
      </c>
      <c r="T804" s="6" t="b">
        <f>ROUND(RawSales[[#This Row],[Subtotal]],2)=ROUND(RawSales[[#This Row],[cogs]],2)</f>
        <v>1</v>
      </c>
      <c r="U804" s="6" t="b">
        <f>ROUND(RawSales[[#This Row],[cogs]]*0.05,2)=ROUND(RawSales[[#This Row],[Tax 5%]],2)</f>
        <v>1</v>
      </c>
      <c r="V804" s="6" t="b">
        <f>ROUND(RawSales[[#This Row],[cogs]]+RawSales[[#This Row],[Tax 5%]],2)=ROUND(RawSales[[#This Row],[Sales]],2)</f>
        <v>1</v>
      </c>
    </row>
    <row r="805" spans="1:22" x14ac:dyDescent="0.35">
      <c r="A805" s="4" t="s">
        <v>1309</v>
      </c>
      <c r="B805" t="s">
        <v>38</v>
      </c>
      <c r="C805" t="s">
        <v>39</v>
      </c>
      <c r="D805" t="s">
        <v>30</v>
      </c>
      <c r="E805" t="s">
        <v>23</v>
      </c>
      <c r="F805" t="s">
        <v>62</v>
      </c>
      <c r="G805" s="6">
        <v>1439</v>
      </c>
      <c r="H805" s="7">
        <v>2</v>
      </c>
      <c r="I805" s="6">
        <v>143.9</v>
      </c>
      <c r="J805" s="6">
        <v>3021.9</v>
      </c>
      <c r="K805" s="5">
        <v>43525.958333333336</v>
      </c>
      <c r="L805" s="4" t="s">
        <v>472</v>
      </c>
      <c r="M805" t="s">
        <v>51</v>
      </c>
      <c r="N805" s="6">
        <v>2878</v>
      </c>
      <c r="O805">
        <v>4.7619047620000003</v>
      </c>
      <c r="P805" s="6">
        <v>143.9</v>
      </c>
      <c r="Q805">
        <v>7.2</v>
      </c>
      <c r="R805" s="6">
        <f>RawSales[[#This Row],[Unit price]]*RawSales[[#This Row],[Quantity]]</f>
        <v>2878</v>
      </c>
      <c r="S805" s="6">
        <f>RawSales[[#This Row],[Subtotal]]*$B$1</f>
        <v>143.9</v>
      </c>
      <c r="T805" s="6" t="b">
        <f>ROUND(RawSales[[#This Row],[Subtotal]],2)=ROUND(RawSales[[#This Row],[cogs]],2)</f>
        <v>1</v>
      </c>
      <c r="U805" s="6" t="b">
        <f>ROUND(RawSales[[#This Row],[cogs]]*0.05,2)=ROUND(RawSales[[#This Row],[Tax 5%]],2)</f>
        <v>1</v>
      </c>
      <c r="V805" s="6" t="b">
        <f>ROUND(RawSales[[#This Row],[cogs]]+RawSales[[#This Row],[Tax 5%]],2)=ROUND(RawSales[[#This Row],[Sales]],2)</f>
        <v>1</v>
      </c>
    </row>
    <row r="806" spans="1:22" x14ac:dyDescent="0.35">
      <c r="A806" s="4" t="s">
        <v>1310</v>
      </c>
      <c r="B806" t="s">
        <v>20</v>
      </c>
      <c r="C806" t="s">
        <v>21</v>
      </c>
      <c r="D806" t="s">
        <v>22</v>
      </c>
      <c r="E806" t="s">
        <v>23</v>
      </c>
      <c r="F806" t="s">
        <v>43</v>
      </c>
      <c r="G806" s="6">
        <v>1833</v>
      </c>
      <c r="H806" s="7">
        <v>1</v>
      </c>
      <c r="I806" s="6">
        <v>91.65</v>
      </c>
      <c r="J806" s="6">
        <v>1924.65</v>
      </c>
      <c r="K806" s="5">
        <v>43497.958333333336</v>
      </c>
      <c r="L806" s="4" t="s">
        <v>298</v>
      </c>
      <c r="M806" t="s">
        <v>26</v>
      </c>
      <c r="N806" s="6">
        <v>1833</v>
      </c>
      <c r="O806">
        <v>4.7619047620000003</v>
      </c>
      <c r="P806" s="6">
        <v>91.65</v>
      </c>
      <c r="Q806">
        <v>4.3</v>
      </c>
      <c r="R806" s="6">
        <f>RawSales[[#This Row],[Unit price]]*RawSales[[#This Row],[Quantity]]</f>
        <v>1833</v>
      </c>
      <c r="S806" s="6">
        <f>RawSales[[#This Row],[Subtotal]]*$B$1</f>
        <v>91.65</v>
      </c>
      <c r="T806" s="6" t="b">
        <f>ROUND(RawSales[[#This Row],[Subtotal]],2)=ROUND(RawSales[[#This Row],[cogs]],2)</f>
        <v>1</v>
      </c>
      <c r="U806" s="6" t="b">
        <f>ROUND(RawSales[[#This Row],[cogs]]*0.05,2)=ROUND(RawSales[[#This Row],[Tax 5%]],2)</f>
        <v>1</v>
      </c>
      <c r="V806" s="6" t="b">
        <f>ROUND(RawSales[[#This Row],[cogs]]+RawSales[[#This Row],[Tax 5%]],2)=ROUND(RawSales[[#This Row],[Sales]],2)</f>
        <v>1</v>
      </c>
    </row>
    <row r="807" spans="1:22" x14ac:dyDescent="0.35">
      <c r="A807" s="4" t="s">
        <v>1311</v>
      </c>
      <c r="B807" t="s">
        <v>20</v>
      </c>
      <c r="C807" t="s">
        <v>21</v>
      </c>
      <c r="D807" t="s">
        <v>22</v>
      </c>
      <c r="E807" t="s">
        <v>23</v>
      </c>
      <c r="F807" t="s">
        <v>24</v>
      </c>
      <c r="G807" s="6">
        <v>4938</v>
      </c>
      <c r="H807" s="7">
        <v>7</v>
      </c>
      <c r="I807" s="6">
        <v>1728.3</v>
      </c>
      <c r="J807" s="6">
        <v>36294.300000000003</v>
      </c>
      <c r="K807" s="5">
        <v>43550.958333333336</v>
      </c>
      <c r="L807" s="4" t="s">
        <v>166</v>
      </c>
      <c r="M807" t="s">
        <v>51</v>
      </c>
      <c r="N807" s="6">
        <v>34566</v>
      </c>
      <c r="O807">
        <v>4.7619047620000003</v>
      </c>
      <c r="P807" s="6">
        <v>1728.3</v>
      </c>
      <c r="Q807">
        <v>7.3</v>
      </c>
      <c r="R807" s="6">
        <f>RawSales[[#This Row],[Unit price]]*RawSales[[#This Row],[Quantity]]</f>
        <v>34566</v>
      </c>
      <c r="S807" s="6">
        <f>RawSales[[#This Row],[Subtotal]]*$B$1</f>
        <v>1728.3000000000002</v>
      </c>
      <c r="T807" s="6" t="b">
        <f>ROUND(RawSales[[#This Row],[Subtotal]],2)=ROUND(RawSales[[#This Row],[cogs]],2)</f>
        <v>1</v>
      </c>
      <c r="U807" s="6" t="b">
        <f>ROUND(RawSales[[#This Row],[cogs]]*0.05,2)=ROUND(RawSales[[#This Row],[Tax 5%]],2)</f>
        <v>1</v>
      </c>
      <c r="V807" s="6" t="b">
        <f>ROUND(RawSales[[#This Row],[cogs]]+RawSales[[#This Row],[Tax 5%]],2)=ROUND(RawSales[[#This Row],[Sales]],2)</f>
        <v>1</v>
      </c>
    </row>
    <row r="808" spans="1:22" x14ac:dyDescent="0.35">
      <c r="A808" s="4" t="s">
        <v>1312</v>
      </c>
      <c r="B808" t="s">
        <v>38</v>
      </c>
      <c r="C808" t="s">
        <v>39</v>
      </c>
      <c r="D808" t="s">
        <v>22</v>
      </c>
      <c r="E808" t="s">
        <v>23</v>
      </c>
      <c r="F808" t="s">
        <v>32</v>
      </c>
      <c r="G808" s="6">
        <v>8079</v>
      </c>
      <c r="H808" s="7">
        <v>9</v>
      </c>
      <c r="I808" s="6">
        <v>3635.55</v>
      </c>
      <c r="J808" s="6">
        <v>76346.55</v>
      </c>
      <c r="K808" s="5">
        <v>43496.958333333336</v>
      </c>
      <c r="L808" s="4" t="s">
        <v>151</v>
      </c>
      <c r="M808" t="s">
        <v>51</v>
      </c>
      <c r="N808" s="6">
        <v>72711</v>
      </c>
      <c r="O808">
        <v>4.7619047620000003</v>
      </c>
      <c r="P808" s="6">
        <v>3635.55</v>
      </c>
      <c r="Q808">
        <v>9.5</v>
      </c>
      <c r="R808" s="6">
        <f>RawSales[[#This Row],[Unit price]]*RawSales[[#This Row],[Quantity]]</f>
        <v>72711</v>
      </c>
      <c r="S808" s="6">
        <f>RawSales[[#This Row],[Subtotal]]*$B$1</f>
        <v>3635.55</v>
      </c>
      <c r="T808" s="6" t="b">
        <f>ROUND(RawSales[[#This Row],[Subtotal]],2)=ROUND(RawSales[[#This Row],[cogs]],2)</f>
        <v>1</v>
      </c>
      <c r="U808" s="6" t="b">
        <f>ROUND(RawSales[[#This Row],[cogs]]*0.05,2)=ROUND(RawSales[[#This Row],[Tax 5%]],2)</f>
        <v>1</v>
      </c>
      <c r="V808" s="6" t="b">
        <f>ROUND(RawSales[[#This Row],[cogs]]+RawSales[[#This Row],[Tax 5%]],2)=ROUND(RawSales[[#This Row],[Sales]],2)</f>
        <v>1</v>
      </c>
    </row>
    <row r="809" spans="1:22" x14ac:dyDescent="0.35">
      <c r="A809" s="4" t="s">
        <v>1313</v>
      </c>
      <c r="B809" t="s">
        <v>28</v>
      </c>
      <c r="C809" t="s">
        <v>29</v>
      </c>
      <c r="D809" t="s">
        <v>30</v>
      </c>
      <c r="E809" t="s">
        <v>23</v>
      </c>
      <c r="F809" t="s">
        <v>62</v>
      </c>
      <c r="G809" s="6">
        <v>5154</v>
      </c>
      <c r="H809" s="7">
        <v>5</v>
      </c>
      <c r="I809" s="6">
        <v>1288.5</v>
      </c>
      <c r="J809" s="6">
        <v>27058.5</v>
      </c>
      <c r="K809" s="5">
        <v>43490.958333333336</v>
      </c>
      <c r="L809" s="4" t="s">
        <v>1314</v>
      </c>
      <c r="M809" t="s">
        <v>26</v>
      </c>
      <c r="N809" s="6">
        <v>25770</v>
      </c>
      <c r="O809">
        <v>4.7619047620000003</v>
      </c>
      <c r="P809" s="6">
        <v>1288.5</v>
      </c>
      <c r="Q809">
        <v>4.2</v>
      </c>
      <c r="R809" s="6">
        <f>RawSales[[#This Row],[Unit price]]*RawSales[[#This Row],[Quantity]]</f>
        <v>25770</v>
      </c>
      <c r="S809" s="6">
        <f>RawSales[[#This Row],[Subtotal]]*$B$1</f>
        <v>1288.5</v>
      </c>
      <c r="T809" s="6" t="b">
        <f>ROUND(RawSales[[#This Row],[Subtotal]],2)=ROUND(RawSales[[#This Row],[cogs]],2)</f>
        <v>1</v>
      </c>
      <c r="U809" s="6" t="b">
        <f>ROUND(RawSales[[#This Row],[cogs]]*0.05,2)=ROUND(RawSales[[#This Row],[Tax 5%]],2)</f>
        <v>1</v>
      </c>
      <c r="V809" s="6" t="b">
        <f>ROUND(RawSales[[#This Row],[cogs]]+RawSales[[#This Row],[Tax 5%]],2)=ROUND(RawSales[[#This Row],[Sales]],2)</f>
        <v>1</v>
      </c>
    </row>
    <row r="810" spans="1:22" x14ac:dyDescent="0.35">
      <c r="A810" s="4" t="s">
        <v>1315</v>
      </c>
      <c r="B810" t="s">
        <v>38</v>
      </c>
      <c r="C810" t="s">
        <v>39</v>
      </c>
      <c r="D810" t="s">
        <v>22</v>
      </c>
      <c r="E810" t="s">
        <v>23</v>
      </c>
      <c r="F810" t="s">
        <v>62</v>
      </c>
      <c r="G810" s="6">
        <v>4486</v>
      </c>
      <c r="H810" s="7">
        <v>10</v>
      </c>
      <c r="I810" s="6">
        <v>2243</v>
      </c>
      <c r="J810" s="6">
        <v>47103</v>
      </c>
      <c r="K810" s="5">
        <v>43490.958333333336</v>
      </c>
      <c r="L810" s="4" t="s">
        <v>760</v>
      </c>
      <c r="M810" t="s">
        <v>34</v>
      </c>
      <c r="N810" s="6">
        <v>44860</v>
      </c>
      <c r="O810">
        <v>4.7619047620000003</v>
      </c>
      <c r="P810" s="6">
        <v>2243</v>
      </c>
      <c r="Q810">
        <v>8.1999999999999993</v>
      </c>
      <c r="R810" s="6">
        <f>RawSales[[#This Row],[Unit price]]*RawSales[[#This Row],[Quantity]]</f>
        <v>44860</v>
      </c>
      <c r="S810" s="6">
        <f>RawSales[[#This Row],[Subtotal]]*$B$1</f>
        <v>2243</v>
      </c>
      <c r="T810" s="6" t="b">
        <f>ROUND(RawSales[[#This Row],[Subtotal]],2)=ROUND(RawSales[[#This Row],[cogs]],2)</f>
        <v>1</v>
      </c>
      <c r="U810" s="6" t="b">
        <f>ROUND(RawSales[[#This Row],[cogs]]*0.05,2)=ROUND(RawSales[[#This Row],[Tax 5%]],2)</f>
        <v>1</v>
      </c>
      <c r="V810" s="6" t="b">
        <f>ROUND(RawSales[[#This Row],[cogs]]+RawSales[[#This Row],[Tax 5%]],2)=ROUND(RawSales[[#This Row],[Sales]],2)</f>
        <v>1</v>
      </c>
    </row>
    <row r="811" spans="1:22" x14ac:dyDescent="0.35">
      <c r="A811" s="4" t="s">
        <v>1316</v>
      </c>
      <c r="B811" t="s">
        <v>38</v>
      </c>
      <c r="C811" t="s">
        <v>39</v>
      </c>
      <c r="D811" t="s">
        <v>22</v>
      </c>
      <c r="E811" t="s">
        <v>23</v>
      </c>
      <c r="F811" t="s">
        <v>46</v>
      </c>
      <c r="G811" s="6">
        <v>5455</v>
      </c>
      <c r="H811" s="7">
        <v>10</v>
      </c>
      <c r="I811" s="6">
        <v>2727.5</v>
      </c>
      <c r="J811" s="6">
        <v>57277.5</v>
      </c>
      <c r="K811" s="5">
        <v>43525.958333333336</v>
      </c>
      <c r="L811" s="4" t="s">
        <v>735</v>
      </c>
      <c r="M811" t="s">
        <v>51</v>
      </c>
      <c r="N811" s="6">
        <v>54550</v>
      </c>
      <c r="O811">
        <v>4.7619047620000003</v>
      </c>
      <c r="P811" s="6">
        <v>2727.5</v>
      </c>
      <c r="Q811">
        <v>7.1</v>
      </c>
      <c r="R811" s="6">
        <f>RawSales[[#This Row],[Unit price]]*RawSales[[#This Row],[Quantity]]</f>
        <v>54550</v>
      </c>
      <c r="S811" s="6">
        <f>RawSales[[#This Row],[Subtotal]]*$B$1</f>
        <v>2727.5</v>
      </c>
      <c r="T811" s="6" t="b">
        <f>ROUND(RawSales[[#This Row],[Subtotal]],2)=ROUND(RawSales[[#This Row],[cogs]],2)</f>
        <v>1</v>
      </c>
      <c r="U811" s="6" t="b">
        <f>ROUND(RawSales[[#This Row],[cogs]]*0.05,2)=ROUND(RawSales[[#This Row],[Tax 5%]],2)</f>
        <v>1</v>
      </c>
      <c r="V811" s="6" t="b">
        <f>ROUND(RawSales[[#This Row],[cogs]]+RawSales[[#This Row],[Tax 5%]],2)=ROUND(RawSales[[#This Row],[Sales]],2)</f>
        <v>1</v>
      </c>
    </row>
    <row r="812" spans="1:22" x14ac:dyDescent="0.35">
      <c r="A812" s="4" t="s">
        <v>1317</v>
      </c>
      <c r="B812" t="s">
        <v>38</v>
      </c>
      <c r="C812" t="s">
        <v>39</v>
      </c>
      <c r="D812" t="s">
        <v>22</v>
      </c>
      <c r="E812" t="s">
        <v>31</v>
      </c>
      <c r="F812" t="s">
        <v>49</v>
      </c>
      <c r="G812" s="6">
        <v>5235</v>
      </c>
      <c r="H812" s="7">
        <v>1</v>
      </c>
      <c r="I812" s="6">
        <v>261.75</v>
      </c>
      <c r="J812" s="6">
        <v>5496.75</v>
      </c>
      <c r="K812" s="5">
        <v>43507.958333333336</v>
      </c>
      <c r="L812" s="4" t="s">
        <v>1318</v>
      </c>
      <c r="M812" t="s">
        <v>26</v>
      </c>
      <c r="N812" s="6">
        <v>5235</v>
      </c>
      <c r="O812">
        <v>4.7619047620000003</v>
      </c>
      <c r="P812" s="6">
        <v>261.75</v>
      </c>
      <c r="Q812">
        <v>4</v>
      </c>
      <c r="R812" s="6">
        <f>RawSales[[#This Row],[Unit price]]*RawSales[[#This Row],[Quantity]]</f>
        <v>5235</v>
      </c>
      <c r="S812" s="6">
        <f>RawSales[[#This Row],[Subtotal]]*$B$1</f>
        <v>261.75</v>
      </c>
      <c r="T812" s="6" t="b">
        <f>ROUND(RawSales[[#This Row],[Subtotal]],2)=ROUND(RawSales[[#This Row],[cogs]],2)</f>
        <v>1</v>
      </c>
      <c r="U812" s="6" t="b">
        <f>ROUND(RawSales[[#This Row],[cogs]]*0.05,2)=ROUND(RawSales[[#This Row],[Tax 5%]],2)</f>
        <v>1</v>
      </c>
      <c r="V812" s="6" t="b">
        <f>ROUND(RawSales[[#This Row],[cogs]]+RawSales[[#This Row],[Tax 5%]],2)=ROUND(RawSales[[#This Row],[Sales]],2)</f>
        <v>1</v>
      </c>
    </row>
    <row r="813" spans="1:22" x14ac:dyDescent="0.35">
      <c r="A813" s="4" t="s">
        <v>1319</v>
      </c>
      <c r="B813" t="s">
        <v>38</v>
      </c>
      <c r="C813" t="s">
        <v>39</v>
      </c>
      <c r="D813" t="s">
        <v>30</v>
      </c>
      <c r="E813" t="s">
        <v>31</v>
      </c>
      <c r="F813" t="s">
        <v>49</v>
      </c>
      <c r="G813" s="6">
        <v>1562</v>
      </c>
      <c r="H813" s="7">
        <v>8</v>
      </c>
      <c r="I813" s="6">
        <v>624.79999999999995</v>
      </c>
      <c r="J813" s="6">
        <v>13120.8</v>
      </c>
      <c r="K813" s="5">
        <v>43484.958333333336</v>
      </c>
      <c r="L813" s="4" t="s">
        <v>468</v>
      </c>
      <c r="M813" t="s">
        <v>34</v>
      </c>
      <c r="N813" s="6">
        <v>12496</v>
      </c>
      <c r="O813">
        <v>4.7619047620000003</v>
      </c>
      <c r="P813" s="6">
        <v>624.79999999999995</v>
      </c>
      <c r="Q813">
        <v>9.1</v>
      </c>
      <c r="R813" s="6">
        <f>RawSales[[#This Row],[Unit price]]*RawSales[[#This Row],[Quantity]]</f>
        <v>12496</v>
      </c>
      <c r="S813" s="6">
        <f>RawSales[[#This Row],[Subtotal]]*$B$1</f>
        <v>624.80000000000007</v>
      </c>
      <c r="T813" s="6" t="b">
        <f>ROUND(RawSales[[#This Row],[Subtotal]],2)=ROUND(RawSales[[#This Row],[cogs]],2)</f>
        <v>1</v>
      </c>
      <c r="U813" s="6" t="b">
        <f>ROUND(RawSales[[#This Row],[cogs]]*0.05,2)=ROUND(RawSales[[#This Row],[Tax 5%]],2)</f>
        <v>1</v>
      </c>
      <c r="V813" s="6" t="b">
        <f>ROUND(RawSales[[#This Row],[cogs]]+RawSales[[#This Row],[Tax 5%]],2)=ROUND(RawSales[[#This Row],[Sales]],2)</f>
        <v>1</v>
      </c>
    </row>
    <row r="814" spans="1:22" x14ac:dyDescent="0.35">
      <c r="A814" s="4" t="s">
        <v>1320</v>
      </c>
      <c r="B814" t="s">
        <v>20</v>
      </c>
      <c r="C814" t="s">
        <v>21</v>
      </c>
      <c r="D814" t="s">
        <v>30</v>
      </c>
      <c r="E814" t="s">
        <v>31</v>
      </c>
      <c r="F814" t="s">
        <v>49</v>
      </c>
      <c r="G814" s="6">
        <v>9898</v>
      </c>
      <c r="H814" s="7">
        <v>10</v>
      </c>
      <c r="I814" s="6">
        <v>4949</v>
      </c>
      <c r="J814" s="6">
        <v>103929</v>
      </c>
      <c r="K814" s="5">
        <v>43503.958333333336</v>
      </c>
      <c r="L814" s="4" t="s">
        <v>1321</v>
      </c>
      <c r="M814" t="s">
        <v>51</v>
      </c>
      <c r="N814" s="6">
        <v>98980</v>
      </c>
      <c r="O814">
        <v>4.7619047620000003</v>
      </c>
      <c r="P814" s="6">
        <v>4949</v>
      </c>
      <c r="Q814">
        <v>8.6999999999999993</v>
      </c>
      <c r="R814" s="6">
        <f>RawSales[[#This Row],[Unit price]]*RawSales[[#This Row],[Quantity]]</f>
        <v>98980</v>
      </c>
      <c r="S814" s="6">
        <f>RawSales[[#This Row],[Subtotal]]*$B$1</f>
        <v>4949</v>
      </c>
      <c r="T814" s="6" t="b">
        <f>ROUND(RawSales[[#This Row],[Subtotal]],2)=ROUND(RawSales[[#This Row],[cogs]],2)</f>
        <v>1</v>
      </c>
      <c r="U814" s="6" t="b">
        <f>ROUND(RawSales[[#This Row],[cogs]]*0.05,2)=ROUND(RawSales[[#This Row],[Tax 5%]],2)</f>
        <v>1</v>
      </c>
      <c r="V814" s="6" t="b">
        <f>ROUND(RawSales[[#This Row],[cogs]]+RawSales[[#This Row],[Tax 5%]],2)=ROUND(RawSales[[#This Row],[Sales]],2)</f>
        <v>1</v>
      </c>
    </row>
    <row r="815" spans="1:22" x14ac:dyDescent="0.35">
      <c r="A815" s="4" t="s">
        <v>1322</v>
      </c>
      <c r="B815" t="s">
        <v>28</v>
      </c>
      <c r="C815" t="s">
        <v>29</v>
      </c>
      <c r="D815" t="s">
        <v>22</v>
      </c>
      <c r="E815" t="s">
        <v>23</v>
      </c>
      <c r="F815" t="s">
        <v>49</v>
      </c>
      <c r="G815" s="6">
        <v>6871</v>
      </c>
      <c r="H815" s="7">
        <v>4</v>
      </c>
      <c r="I815" s="6">
        <v>1374.2</v>
      </c>
      <c r="J815" s="6">
        <v>28858.2</v>
      </c>
      <c r="K815" s="5">
        <v>43468.958333333336</v>
      </c>
      <c r="L815" s="4" t="s">
        <v>811</v>
      </c>
      <c r="M815" t="s">
        <v>26</v>
      </c>
      <c r="N815" s="6">
        <v>27484</v>
      </c>
      <c r="O815">
        <v>4.7619047620000003</v>
      </c>
      <c r="P815" s="6">
        <v>1374.2</v>
      </c>
      <c r="Q815">
        <v>4.0999999999999996</v>
      </c>
      <c r="R815" s="6">
        <f>RawSales[[#This Row],[Unit price]]*RawSales[[#This Row],[Quantity]]</f>
        <v>27484</v>
      </c>
      <c r="S815" s="6">
        <f>RawSales[[#This Row],[Subtotal]]*$B$1</f>
        <v>1374.2</v>
      </c>
      <c r="T815" s="6" t="b">
        <f>ROUND(RawSales[[#This Row],[Subtotal]],2)=ROUND(RawSales[[#This Row],[cogs]],2)</f>
        <v>1</v>
      </c>
      <c r="U815" s="6" t="b">
        <f>ROUND(RawSales[[#This Row],[cogs]]*0.05,2)=ROUND(RawSales[[#This Row],[Tax 5%]],2)</f>
        <v>1</v>
      </c>
      <c r="V815" s="6" t="b">
        <f>ROUND(RawSales[[#This Row],[cogs]]+RawSales[[#This Row],[Tax 5%]],2)=ROUND(RawSales[[#This Row],[Sales]],2)</f>
        <v>1</v>
      </c>
    </row>
    <row r="816" spans="1:22" x14ac:dyDescent="0.35">
      <c r="A816" s="4" t="s">
        <v>1323</v>
      </c>
      <c r="B816" t="s">
        <v>28</v>
      </c>
      <c r="C816" t="s">
        <v>29</v>
      </c>
      <c r="D816" t="s">
        <v>22</v>
      </c>
      <c r="E816" t="s">
        <v>31</v>
      </c>
      <c r="F816" t="s">
        <v>62</v>
      </c>
      <c r="G816" s="6">
        <v>7260</v>
      </c>
      <c r="H816" s="7">
        <v>6</v>
      </c>
      <c r="I816" s="6">
        <v>2178</v>
      </c>
      <c r="J816" s="6">
        <v>45738</v>
      </c>
      <c r="K816" s="5">
        <v>43477.958333333336</v>
      </c>
      <c r="L816" s="4" t="s">
        <v>1324</v>
      </c>
      <c r="M816" t="s">
        <v>26</v>
      </c>
      <c r="N816" s="6">
        <v>43560</v>
      </c>
      <c r="O816">
        <v>4.7619047620000003</v>
      </c>
      <c r="P816" s="6">
        <v>2178</v>
      </c>
      <c r="Q816">
        <v>6.9</v>
      </c>
      <c r="R816" s="6">
        <f>RawSales[[#This Row],[Unit price]]*RawSales[[#This Row],[Quantity]]</f>
        <v>43560</v>
      </c>
      <c r="S816" s="6">
        <f>RawSales[[#This Row],[Subtotal]]*$B$1</f>
        <v>2178</v>
      </c>
      <c r="T816" s="6" t="b">
        <f>ROUND(RawSales[[#This Row],[Subtotal]],2)=ROUND(RawSales[[#This Row],[cogs]],2)</f>
        <v>1</v>
      </c>
      <c r="U816" s="6" t="b">
        <f>ROUND(RawSales[[#This Row],[cogs]]*0.05,2)=ROUND(RawSales[[#This Row],[Tax 5%]],2)</f>
        <v>1</v>
      </c>
      <c r="V816" s="6" t="b">
        <f>ROUND(RawSales[[#This Row],[cogs]]+RawSales[[#This Row],[Tax 5%]],2)=ROUND(RawSales[[#This Row],[Sales]],2)</f>
        <v>1</v>
      </c>
    </row>
    <row r="817" spans="1:22" x14ac:dyDescent="0.35">
      <c r="A817" s="4" t="s">
        <v>1325</v>
      </c>
      <c r="B817" t="s">
        <v>38</v>
      </c>
      <c r="C817" t="s">
        <v>39</v>
      </c>
      <c r="D817" t="s">
        <v>30</v>
      </c>
      <c r="E817" t="s">
        <v>23</v>
      </c>
      <c r="F817" t="s">
        <v>24</v>
      </c>
      <c r="G817" s="6">
        <v>2293</v>
      </c>
      <c r="H817" s="7">
        <v>9</v>
      </c>
      <c r="I817" s="6">
        <v>1031.8499999999999</v>
      </c>
      <c r="J817" s="6">
        <v>21668.85</v>
      </c>
      <c r="K817" s="5">
        <v>43521.958333333336</v>
      </c>
      <c r="L817" s="4" t="s">
        <v>1157</v>
      </c>
      <c r="M817" t="s">
        <v>26</v>
      </c>
      <c r="N817" s="6">
        <v>20637</v>
      </c>
      <c r="O817">
        <v>4.7619047620000003</v>
      </c>
      <c r="P817" s="6">
        <v>1031.8499999999999</v>
      </c>
      <c r="Q817">
        <v>5.5</v>
      </c>
      <c r="R817" s="6">
        <f>RawSales[[#This Row],[Unit price]]*RawSales[[#This Row],[Quantity]]</f>
        <v>20637</v>
      </c>
      <c r="S817" s="6">
        <f>RawSales[[#This Row],[Subtotal]]*$B$1</f>
        <v>1031.8500000000001</v>
      </c>
      <c r="T817" s="6" t="b">
        <f>ROUND(RawSales[[#This Row],[Subtotal]],2)=ROUND(RawSales[[#This Row],[cogs]],2)</f>
        <v>1</v>
      </c>
      <c r="U817" s="6" t="b">
        <f>ROUND(RawSales[[#This Row],[cogs]]*0.05,2)=ROUND(RawSales[[#This Row],[Tax 5%]],2)</f>
        <v>1</v>
      </c>
      <c r="V817" s="6" t="b">
        <f>ROUND(RawSales[[#This Row],[cogs]]+RawSales[[#This Row],[Tax 5%]],2)=ROUND(RawSales[[#This Row],[Sales]],2)</f>
        <v>1</v>
      </c>
    </row>
    <row r="818" spans="1:22" x14ac:dyDescent="0.35">
      <c r="A818" s="4" t="s">
        <v>1326</v>
      </c>
      <c r="B818" t="s">
        <v>38</v>
      </c>
      <c r="C818" t="s">
        <v>39</v>
      </c>
      <c r="D818" t="s">
        <v>22</v>
      </c>
      <c r="E818" t="s">
        <v>31</v>
      </c>
      <c r="F818" t="s">
        <v>55</v>
      </c>
      <c r="G818" s="6">
        <v>8572</v>
      </c>
      <c r="H818" s="7">
        <v>3</v>
      </c>
      <c r="I818" s="6">
        <v>1285.8</v>
      </c>
      <c r="J818" s="6">
        <v>27001.8</v>
      </c>
      <c r="K818" s="4" t="s">
        <v>1327</v>
      </c>
      <c r="L818" s="4" t="s">
        <v>464</v>
      </c>
      <c r="M818" t="s">
        <v>34</v>
      </c>
      <c r="N818" s="6">
        <v>25716</v>
      </c>
      <c r="O818">
        <v>4.7619047620000003</v>
      </c>
      <c r="P818" s="6">
        <v>1285.8</v>
      </c>
      <c r="Q818">
        <v>5.0999999999999996</v>
      </c>
      <c r="R818" s="6">
        <f>RawSales[[#This Row],[Unit price]]*RawSales[[#This Row],[Quantity]]</f>
        <v>25716</v>
      </c>
      <c r="S818" s="6">
        <f>RawSales[[#This Row],[Subtotal]]*$B$1</f>
        <v>1285.8000000000002</v>
      </c>
      <c r="T818" s="6" t="b">
        <f>ROUND(RawSales[[#This Row],[Subtotal]],2)=ROUND(RawSales[[#This Row],[cogs]],2)</f>
        <v>1</v>
      </c>
      <c r="U818" s="6" t="b">
        <f>ROUND(RawSales[[#This Row],[cogs]]*0.05,2)=ROUND(RawSales[[#This Row],[Tax 5%]],2)</f>
        <v>1</v>
      </c>
      <c r="V818" s="6" t="b">
        <f>ROUND(RawSales[[#This Row],[cogs]]+RawSales[[#This Row],[Tax 5%]],2)=ROUND(RawSales[[#This Row],[Sales]],2)</f>
        <v>1</v>
      </c>
    </row>
    <row r="819" spans="1:22" x14ac:dyDescent="0.35">
      <c r="A819" s="4" t="s">
        <v>1328</v>
      </c>
      <c r="B819" t="s">
        <v>20</v>
      </c>
      <c r="C819" t="s">
        <v>21</v>
      </c>
      <c r="D819" t="s">
        <v>30</v>
      </c>
      <c r="E819" t="s">
        <v>31</v>
      </c>
      <c r="F819" t="s">
        <v>43</v>
      </c>
      <c r="G819" s="6">
        <v>5171</v>
      </c>
      <c r="H819" s="7">
        <v>4</v>
      </c>
      <c r="I819" s="6">
        <v>1034.2</v>
      </c>
      <c r="J819" s="6">
        <v>21718.2</v>
      </c>
      <c r="K819" s="5">
        <v>43532.958333333336</v>
      </c>
      <c r="L819" s="4" t="s">
        <v>655</v>
      </c>
      <c r="M819" t="s">
        <v>51</v>
      </c>
      <c r="N819" s="6">
        <v>20684</v>
      </c>
      <c r="O819">
        <v>4.7619047620000003</v>
      </c>
      <c r="P819" s="6">
        <v>1034.2</v>
      </c>
      <c r="Q819">
        <v>9.8000000000000007</v>
      </c>
      <c r="R819" s="6">
        <f>RawSales[[#This Row],[Unit price]]*RawSales[[#This Row],[Quantity]]</f>
        <v>20684</v>
      </c>
      <c r="S819" s="6">
        <f>RawSales[[#This Row],[Subtotal]]*$B$1</f>
        <v>1034.2</v>
      </c>
      <c r="T819" s="6" t="b">
        <f>ROUND(RawSales[[#This Row],[Subtotal]],2)=ROUND(RawSales[[#This Row],[cogs]],2)</f>
        <v>1</v>
      </c>
      <c r="U819" s="6" t="b">
        <f>ROUND(RawSales[[#This Row],[cogs]]*0.05,2)=ROUND(RawSales[[#This Row],[Tax 5%]],2)</f>
        <v>1</v>
      </c>
      <c r="V819" s="6" t="b">
        <f>ROUND(RawSales[[#This Row],[cogs]]+RawSales[[#This Row],[Tax 5%]],2)=ROUND(RawSales[[#This Row],[Sales]],2)</f>
        <v>1</v>
      </c>
    </row>
    <row r="820" spans="1:22" x14ac:dyDescent="0.35">
      <c r="A820" s="4" t="s">
        <v>1329</v>
      </c>
      <c r="B820" t="s">
        <v>20</v>
      </c>
      <c r="C820" t="s">
        <v>21</v>
      </c>
      <c r="D820" t="s">
        <v>22</v>
      </c>
      <c r="E820" t="s">
        <v>23</v>
      </c>
      <c r="F820" t="s">
        <v>49</v>
      </c>
      <c r="G820" s="6">
        <v>2001</v>
      </c>
      <c r="H820" s="7">
        <v>9</v>
      </c>
      <c r="I820" s="6">
        <v>900.45</v>
      </c>
      <c r="J820" s="6">
        <v>18909.45</v>
      </c>
      <c r="K820" s="5">
        <v>43476.958333333336</v>
      </c>
      <c r="L820" s="4" t="s">
        <v>286</v>
      </c>
      <c r="M820" t="s">
        <v>51</v>
      </c>
      <c r="N820" s="6">
        <v>18009</v>
      </c>
      <c r="O820">
        <v>4.7619047620000003</v>
      </c>
      <c r="P820" s="6">
        <v>900.45</v>
      </c>
      <c r="Q820">
        <v>5.7</v>
      </c>
      <c r="R820" s="6">
        <f>RawSales[[#This Row],[Unit price]]*RawSales[[#This Row],[Quantity]]</f>
        <v>18009</v>
      </c>
      <c r="S820" s="6">
        <f>RawSales[[#This Row],[Subtotal]]*$B$1</f>
        <v>900.45</v>
      </c>
      <c r="T820" s="6" t="b">
        <f>ROUND(RawSales[[#This Row],[Subtotal]],2)=ROUND(RawSales[[#This Row],[cogs]],2)</f>
        <v>1</v>
      </c>
      <c r="U820" s="6" t="b">
        <f>ROUND(RawSales[[#This Row],[cogs]]*0.05,2)=ROUND(RawSales[[#This Row],[Tax 5%]],2)</f>
        <v>1</v>
      </c>
      <c r="V820" s="6" t="b">
        <f>ROUND(RawSales[[#This Row],[cogs]]+RawSales[[#This Row],[Tax 5%]],2)=ROUND(RawSales[[#This Row],[Sales]],2)</f>
        <v>1</v>
      </c>
    </row>
    <row r="821" spans="1:22" x14ac:dyDescent="0.35">
      <c r="A821" s="4" t="s">
        <v>1330</v>
      </c>
      <c r="B821" t="s">
        <v>28</v>
      </c>
      <c r="C821" t="s">
        <v>29</v>
      </c>
      <c r="D821" t="s">
        <v>22</v>
      </c>
      <c r="E821" t="s">
        <v>23</v>
      </c>
      <c r="F821" t="s">
        <v>32</v>
      </c>
      <c r="G821" s="6">
        <v>8839</v>
      </c>
      <c r="H821" s="7">
        <v>9</v>
      </c>
      <c r="I821" s="6">
        <v>3977.55</v>
      </c>
      <c r="J821" s="6">
        <v>83528.55</v>
      </c>
      <c r="K821" s="5">
        <v>43525.958333333336</v>
      </c>
      <c r="L821" s="4" t="s">
        <v>579</v>
      </c>
      <c r="M821" t="s">
        <v>26</v>
      </c>
      <c r="N821" s="6">
        <v>79551</v>
      </c>
      <c r="O821">
        <v>4.7619047620000003</v>
      </c>
      <c r="P821" s="6">
        <v>3977.55</v>
      </c>
      <c r="Q821">
        <v>6.3</v>
      </c>
      <c r="R821" s="6">
        <f>RawSales[[#This Row],[Unit price]]*RawSales[[#This Row],[Quantity]]</f>
        <v>79551</v>
      </c>
      <c r="S821" s="6">
        <f>RawSales[[#This Row],[Subtotal]]*$B$1</f>
        <v>3977.55</v>
      </c>
      <c r="T821" s="6" t="b">
        <f>ROUND(RawSales[[#This Row],[Subtotal]],2)=ROUND(RawSales[[#This Row],[cogs]],2)</f>
        <v>1</v>
      </c>
      <c r="U821" s="6" t="b">
        <f>ROUND(RawSales[[#This Row],[cogs]]*0.05,2)=ROUND(RawSales[[#This Row],[Tax 5%]],2)</f>
        <v>1</v>
      </c>
      <c r="V821" s="6" t="b">
        <f>ROUND(RawSales[[#This Row],[cogs]]+RawSales[[#This Row],[Tax 5%]],2)=ROUND(RawSales[[#This Row],[Sales]],2)</f>
        <v>1</v>
      </c>
    </row>
    <row r="822" spans="1:22" x14ac:dyDescent="0.35">
      <c r="A822" s="4" t="s">
        <v>1331</v>
      </c>
      <c r="B822" t="s">
        <v>38</v>
      </c>
      <c r="C822" t="s">
        <v>39</v>
      </c>
      <c r="D822" t="s">
        <v>30</v>
      </c>
      <c r="E822" t="s">
        <v>23</v>
      </c>
      <c r="F822" t="s">
        <v>62</v>
      </c>
      <c r="G822" s="6">
        <v>4933</v>
      </c>
      <c r="H822" s="7">
        <v>10</v>
      </c>
      <c r="I822" s="6">
        <v>2466.5</v>
      </c>
      <c r="J822" s="6">
        <v>51796.5</v>
      </c>
      <c r="K822" s="5">
        <v>43498.958333333336</v>
      </c>
      <c r="L822" s="4" t="s">
        <v>1332</v>
      </c>
      <c r="M822" t="s">
        <v>51</v>
      </c>
      <c r="N822" s="6">
        <v>49330</v>
      </c>
      <c r="O822">
        <v>4.7619047620000003</v>
      </c>
      <c r="P822" s="6">
        <v>2466.5</v>
      </c>
      <c r="Q822">
        <v>9.4</v>
      </c>
      <c r="R822" s="6">
        <f>RawSales[[#This Row],[Unit price]]*RawSales[[#This Row],[Quantity]]</f>
        <v>49330</v>
      </c>
      <c r="S822" s="6">
        <f>RawSales[[#This Row],[Subtotal]]*$B$1</f>
        <v>2466.5</v>
      </c>
      <c r="T822" s="6" t="b">
        <f>ROUND(RawSales[[#This Row],[Subtotal]],2)=ROUND(RawSales[[#This Row],[cogs]],2)</f>
        <v>1</v>
      </c>
      <c r="U822" s="6" t="b">
        <f>ROUND(RawSales[[#This Row],[cogs]]*0.05,2)=ROUND(RawSales[[#This Row],[Tax 5%]],2)</f>
        <v>1</v>
      </c>
      <c r="V822" s="6" t="b">
        <f>ROUND(RawSales[[#This Row],[cogs]]+RawSales[[#This Row],[Tax 5%]],2)=ROUND(RawSales[[#This Row],[Sales]],2)</f>
        <v>1</v>
      </c>
    </row>
    <row r="823" spans="1:22" x14ac:dyDescent="0.35">
      <c r="A823" s="4" t="s">
        <v>1333</v>
      </c>
      <c r="B823" t="s">
        <v>20</v>
      </c>
      <c r="C823" t="s">
        <v>21</v>
      </c>
      <c r="D823" t="s">
        <v>22</v>
      </c>
      <c r="E823" t="s">
        <v>31</v>
      </c>
      <c r="F823" t="s">
        <v>49</v>
      </c>
      <c r="G823" s="6">
        <v>8668</v>
      </c>
      <c r="H823" s="7">
        <v>8</v>
      </c>
      <c r="I823" s="6">
        <v>3467.2</v>
      </c>
      <c r="J823" s="6">
        <v>72811.199999999997</v>
      </c>
      <c r="K823" s="5">
        <v>43488.958333333336</v>
      </c>
      <c r="L823" s="4" t="s">
        <v>338</v>
      </c>
      <c r="M823" t="s">
        <v>51</v>
      </c>
      <c r="N823" s="6">
        <v>69344</v>
      </c>
      <c r="O823">
        <v>4.7619047620000003</v>
      </c>
      <c r="P823" s="6">
        <v>3467.2</v>
      </c>
      <c r="Q823">
        <v>7.2</v>
      </c>
      <c r="R823" s="6">
        <f>RawSales[[#This Row],[Unit price]]*RawSales[[#This Row],[Quantity]]</f>
        <v>69344</v>
      </c>
      <c r="S823" s="6">
        <f>RawSales[[#This Row],[Subtotal]]*$B$1</f>
        <v>3467.2000000000003</v>
      </c>
      <c r="T823" s="6" t="b">
        <f>ROUND(RawSales[[#This Row],[Subtotal]],2)=ROUND(RawSales[[#This Row],[cogs]],2)</f>
        <v>1</v>
      </c>
      <c r="U823" s="6" t="b">
        <f>ROUND(RawSales[[#This Row],[cogs]]*0.05,2)=ROUND(RawSales[[#This Row],[Tax 5%]],2)</f>
        <v>1</v>
      </c>
      <c r="V823" s="6" t="b">
        <f>ROUND(RawSales[[#This Row],[cogs]]+RawSales[[#This Row],[Tax 5%]],2)=ROUND(RawSales[[#This Row],[Sales]],2)</f>
        <v>1</v>
      </c>
    </row>
    <row r="824" spans="1:22" x14ac:dyDescent="0.35">
      <c r="A824" s="4" t="s">
        <v>1334</v>
      </c>
      <c r="B824" t="s">
        <v>38</v>
      </c>
      <c r="C824" t="s">
        <v>39</v>
      </c>
      <c r="D824" t="s">
        <v>30</v>
      </c>
      <c r="E824" t="s">
        <v>23</v>
      </c>
      <c r="F824" t="s">
        <v>49</v>
      </c>
      <c r="G824" s="6">
        <v>3685</v>
      </c>
      <c r="H824" s="7">
        <v>5</v>
      </c>
      <c r="I824" s="6">
        <v>921.25</v>
      </c>
      <c r="J824" s="6">
        <v>19346.25</v>
      </c>
      <c r="K824" s="5">
        <v>43490.958333333336</v>
      </c>
      <c r="L824" s="4" t="s">
        <v>796</v>
      </c>
      <c r="M824" t="s">
        <v>26</v>
      </c>
      <c r="N824" s="6">
        <v>18425</v>
      </c>
      <c r="O824">
        <v>4.7619047620000003</v>
      </c>
      <c r="P824" s="6">
        <v>921.25</v>
      </c>
      <c r="Q824">
        <v>9.1999999999999993</v>
      </c>
      <c r="R824" s="6">
        <f>RawSales[[#This Row],[Unit price]]*RawSales[[#This Row],[Quantity]]</f>
        <v>18425</v>
      </c>
      <c r="S824" s="6">
        <f>RawSales[[#This Row],[Subtotal]]*$B$1</f>
        <v>921.25</v>
      </c>
      <c r="T824" s="6" t="b">
        <f>ROUND(RawSales[[#This Row],[Subtotal]],2)=ROUND(RawSales[[#This Row],[cogs]],2)</f>
        <v>1</v>
      </c>
      <c r="U824" s="6" t="b">
        <f>ROUND(RawSales[[#This Row],[cogs]]*0.05,2)=ROUND(RawSales[[#This Row],[Tax 5%]],2)</f>
        <v>1</v>
      </c>
      <c r="V824" s="6" t="b">
        <f>ROUND(RawSales[[#This Row],[cogs]]+RawSales[[#This Row],[Tax 5%]],2)=ROUND(RawSales[[#This Row],[Sales]],2)</f>
        <v>1</v>
      </c>
    </row>
    <row r="825" spans="1:22" x14ac:dyDescent="0.35">
      <c r="A825" s="4" t="s">
        <v>1335</v>
      </c>
      <c r="B825" t="s">
        <v>38</v>
      </c>
      <c r="C825" t="s">
        <v>39</v>
      </c>
      <c r="D825" t="s">
        <v>22</v>
      </c>
      <c r="E825" t="s">
        <v>23</v>
      </c>
      <c r="F825" t="s">
        <v>62</v>
      </c>
      <c r="G825" s="6">
        <v>7019</v>
      </c>
      <c r="H825" s="7">
        <v>9</v>
      </c>
      <c r="I825" s="6">
        <v>3158.55</v>
      </c>
      <c r="J825" s="6">
        <v>66329.55</v>
      </c>
      <c r="K825" s="5">
        <v>43489.958333333336</v>
      </c>
      <c r="L825" s="4" t="s">
        <v>1250</v>
      </c>
      <c r="M825" t="s">
        <v>26</v>
      </c>
      <c r="N825" s="6">
        <v>63171</v>
      </c>
      <c r="O825">
        <v>4.7619047620000003</v>
      </c>
      <c r="P825" s="6">
        <v>3158.55</v>
      </c>
      <c r="Q825">
        <v>6.7</v>
      </c>
      <c r="R825" s="6">
        <f>RawSales[[#This Row],[Unit price]]*RawSales[[#This Row],[Quantity]]</f>
        <v>63171</v>
      </c>
      <c r="S825" s="6">
        <f>RawSales[[#This Row],[Subtotal]]*$B$1</f>
        <v>3158.55</v>
      </c>
      <c r="T825" s="6" t="b">
        <f>ROUND(RawSales[[#This Row],[Subtotal]],2)=ROUND(RawSales[[#This Row],[cogs]],2)</f>
        <v>1</v>
      </c>
      <c r="U825" s="6" t="b">
        <f>ROUND(RawSales[[#This Row],[cogs]]*0.05,2)=ROUND(RawSales[[#This Row],[Tax 5%]],2)</f>
        <v>1</v>
      </c>
      <c r="V825" s="6" t="b">
        <f>ROUND(RawSales[[#This Row],[cogs]]+RawSales[[#This Row],[Tax 5%]],2)=ROUND(RawSales[[#This Row],[Sales]],2)</f>
        <v>1</v>
      </c>
    </row>
    <row r="826" spans="1:22" x14ac:dyDescent="0.35">
      <c r="A826" s="4" t="s">
        <v>1336</v>
      </c>
      <c r="B826" t="s">
        <v>20</v>
      </c>
      <c r="C826" t="s">
        <v>21</v>
      </c>
      <c r="D826" t="s">
        <v>22</v>
      </c>
      <c r="E826" t="s">
        <v>31</v>
      </c>
      <c r="F826" t="s">
        <v>32</v>
      </c>
      <c r="G826" s="6">
        <v>2591</v>
      </c>
      <c r="H826" s="7">
        <v>6</v>
      </c>
      <c r="I826" s="6">
        <v>777.3</v>
      </c>
      <c r="J826" s="6">
        <v>16323.3</v>
      </c>
      <c r="K826" s="5">
        <v>43500.958333333336</v>
      </c>
      <c r="L826" s="4" t="s">
        <v>1012</v>
      </c>
      <c r="M826" t="s">
        <v>34</v>
      </c>
      <c r="N826" s="6">
        <v>15546</v>
      </c>
      <c r="O826">
        <v>4.7619047620000003</v>
      </c>
      <c r="P826" s="6">
        <v>777.3</v>
      </c>
      <c r="Q826">
        <v>8.6999999999999993</v>
      </c>
      <c r="R826" s="6">
        <f>RawSales[[#This Row],[Unit price]]*RawSales[[#This Row],[Quantity]]</f>
        <v>15546</v>
      </c>
      <c r="S826" s="6">
        <f>RawSales[[#This Row],[Subtotal]]*$B$1</f>
        <v>777.30000000000007</v>
      </c>
      <c r="T826" s="6" t="b">
        <f>ROUND(RawSales[[#This Row],[Subtotal]],2)=ROUND(RawSales[[#This Row],[cogs]],2)</f>
        <v>1</v>
      </c>
      <c r="U826" s="6" t="b">
        <f>ROUND(RawSales[[#This Row],[cogs]]*0.05,2)=ROUND(RawSales[[#This Row],[Tax 5%]],2)</f>
        <v>1</v>
      </c>
      <c r="V826" s="6" t="b">
        <f>ROUND(RawSales[[#This Row],[cogs]]+RawSales[[#This Row],[Tax 5%]],2)=ROUND(RawSales[[#This Row],[Sales]],2)</f>
        <v>1</v>
      </c>
    </row>
    <row r="827" spans="1:22" x14ac:dyDescent="0.35">
      <c r="A827" s="4" t="s">
        <v>1337</v>
      </c>
      <c r="B827" t="s">
        <v>28</v>
      </c>
      <c r="C827" t="s">
        <v>29</v>
      </c>
      <c r="D827" t="s">
        <v>22</v>
      </c>
      <c r="E827" t="s">
        <v>31</v>
      </c>
      <c r="F827" t="s">
        <v>49</v>
      </c>
      <c r="G827" s="6">
        <v>3262</v>
      </c>
      <c r="H827" s="7">
        <v>4</v>
      </c>
      <c r="I827" s="6">
        <v>652.4</v>
      </c>
      <c r="J827" s="6">
        <v>13700.4</v>
      </c>
      <c r="K827" s="4" t="s">
        <v>439</v>
      </c>
      <c r="L827" s="4" t="s">
        <v>450</v>
      </c>
      <c r="M827" t="s">
        <v>26</v>
      </c>
      <c r="N827" s="6">
        <v>13048</v>
      </c>
      <c r="O827">
        <v>4.7619047620000003</v>
      </c>
      <c r="P827" s="6">
        <v>652.4</v>
      </c>
      <c r="Q827">
        <v>9</v>
      </c>
      <c r="R827" s="6">
        <f>RawSales[[#This Row],[Unit price]]*RawSales[[#This Row],[Quantity]]</f>
        <v>13048</v>
      </c>
      <c r="S827" s="6">
        <f>RawSales[[#This Row],[Subtotal]]*$B$1</f>
        <v>652.40000000000009</v>
      </c>
      <c r="T827" s="6" t="b">
        <f>ROUND(RawSales[[#This Row],[Subtotal]],2)=ROUND(RawSales[[#This Row],[cogs]],2)</f>
        <v>1</v>
      </c>
      <c r="U827" s="6" t="b">
        <f>ROUND(RawSales[[#This Row],[cogs]]*0.05,2)=ROUND(RawSales[[#This Row],[Tax 5%]],2)</f>
        <v>1</v>
      </c>
      <c r="V827" s="6" t="b">
        <f>ROUND(RawSales[[#This Row],[cogs]]+RawSales[[#This Row],[Tax 5%]],2)=ROUND(RawSales[[#This Row],[Sales]],2)</f>
        <v>1</v>
      </c>
    </row>
    <row r="828" spans="1:22" x14ac:dyDescent="0.35">
      <c r="A828" s="4" t="s">
        <v>1338</v>
      </c>
      <c r="B828" t="s">
        <v>28</v>
      </c>
      <c r="C828" t="s">
        <v>29</v>
      </c>
      <c r="D828" t="s">
        <v>30</v>
      </c>
      <c r="E828" t="s">
        <v>31</v>
      </c>
      <c r="F828" t="s">
        <v>62</v>
      </c>
      <c r="G828" s="6">
        <v>6974</v>
      </c>
      <c r="H828" s="7">
        <v>10</v>
      </c>
      <c r="I828" s="6">
        <v>3487</v>
      </c>
      <c r="J828" s="6">
        <v>73227</v>
      </c>
      <c r="K828" s="5">
        <v>43528.958333333336</v>
      </c>
      <c r="L828" s="4" t="s">
        <v>1318</v>
      </c>
      <c r="M828" t="s">
        <v>51</v>
      </c>
      <c r="N828" s="6">
        <v>69740</v>
      </c>
      <c r="O828">
        <v>4.7619047620000003</v>
      </c>
      <c r="P828" s="6">
        <v>3487</v>
      </c>
      <c r="Q828">
        <v>8.9</v>
      </c>
      <c r="R828" s="6">
        <f>RawSales[[#This Row],[Unit price]]*RawSales[[#This Row],[Quantity]]</f>
        <v>69740</v>
      </c>
      <c r="S828" s="6">
        <f>RawSales[[#This Row],[Subtotal]]*$B$1</f>
        <v>3487</v>
      </c>
      <c r="T828" s="6" t="b">
        <f>ROUND(RawSales[[#This Row],[Subtotal]],2)=ROUND(RawSales[[#This Row],[cogs]],2)</f>
        <v>1</v>
      </c>
      <c r="U828" s="6" t="b">
        <f>ROUND(RawSales[[#This Row],[cogs]]*0.05,2)=ROUND(RawSales[[#This Row],[Tax 5%]],2)</f>
        <v>1</v>
      </c>
      <c r="V828" s="6" t="b">
        <f>ROUND(RawSales[[#This Row],[cogs]]+RawSales[[#This Row],[Tax 5%]],2)=ROUND(RawSales[[#This Row],[Sales]],2)</f>
        <v>1</v>
      </c>
    </row>
    <row r="829" spans="1:22" x14ac:dyDescent="0.35">
      <c r="A829" s="4" t="s">
        <v>1339</v>
      </c>
      <c r="B829" t="s">
        <v>28</v>
      </c>
      <c r="C829" t="s">
        <v>29</v>
      </c>
      <c r="D829" t="s">
        <v>30</v>
      </c>
      <c r="E829" t="s">
        <v>31</v>
      </c>
      <c r="F829" t="s">
        <v>62</v>
      </c>
      <c r="G829" s="6">
        <v>2531</v>
      </c>
      <c r="H829" s="7">
        <v>2</v>
      </c>
      <c r="I829" s="6">
        <v>253.1</v>
      </c>
      <c r="J829" s="6">
        <v>5315.1</v>
      </c>
      <c r="K829" s="5">
        <v>43525.958333333336</v>
      </c>
      <c r="L829" s="4" t="s">
        <v>801</v>
      </c>
      <c r="M829" t="s">
        <v>34</v>
      </c>
      <c r="N829" s="6">
        <v>5062</v>
      </c>
      <c r="O829">
        <v>4.7619047620000003</v>
      </c>
      <c r="P829" s="6">
        <v>253.1</v>
      </c>
      <c r="Q829">
        <v>7.2</v>
      </c>
      <c r="R829" s="6">
        <f>RawSales[[#This Row],[Unit price]]*RawSales[[#This Row],[Quantity]]</f>
        <v>5062</v>
      </c>
      <c r="S829" s="6">
        <f>RawSales[[#This Row],[Subtotal]]*$B$1</f>
        <v>253.10000000000002</v>
      </c>
      <c r="T829" s="6" t="b">
        <f>ROUND(RawSales[[#This Row],[Subtotal]],2)=ROUND(RawSales[[#This Row],[cogs]],2)</f>
        <v>1</v>
      </c>
      <c r="U829" s="6" t="b">
        <f>ROUND(RawSales[[#This Row],[cogs]]*0.05,2)=ROUND(RawSales[[#This Row],[Tax 5%]],2)</f>
        <v>1</v>
      </c>
      <c r="V829" s="6" t="b">
        <f>ROUND(RawSales[[#This Row],[cogs]]+RawSales[[#This Row],[Tax 5%]],2)=ROUND(RawSales[[#This Row],[Sales]],2)</f>
        <v>1</v>
      </c>
    </row>
    <row r="830" spans="1:22" x14ac:dyDescent="0.35">
      <c r="A830" s="4" t="s">
        <v>1340</v>
      </c>
      <c r="B830" t="s">
        <v>28</v>
      </c>
      <c r="C830" t="s">
        <v>29</v>
      </c>
      <c r="D830" t="s">
        <v>30</v>
      </c>
      <c r="E830" t="s">
        <v>31</v>
      </c>
      <c r="F830" t="s">
        <v>43</v>
      </c>
      <c r="G830" s="6">
        <v>7177</v>
      </c>
      <c r="H830" s="7">
        <v>7</v>
      </c>
      <c r="I830" s="6">
        <v>2511.9499999999998</v>
      </c>
      <c r="J830" s="6">
        <v>52750.95</v>
      </c>
      <c r="K830" s="5">
        <v>43552.958333333336</v>
      </c>
      <c r="L830" s="4" t="s">
        <v>1341</v>
      </c>
      <c r="M830" t="s">
        <v>26</v>
      </c>
      <c r="N830" s="6">
        <v>50239</v>
      </c>
      <c r="O830">
        <v>4.7619047620000003</v>
      </c>
      <c r="P830" s="6">
        <v>2511.9499999999998</v>
      </c>
      <c r="Q830">
        <v>8.9</v>
      </c>
      <c r="R830" s="6">
        <f>RawSales[[#This Row],[Unit price]]*RawSales[[#This Row],[Quantity]]</f>
        <v>50239</v>
      </c>
      <c r="S830" s="6">
        <f>RawSales[[#This Row],[Subtotal]]*$B$1</f>
        <v>2511.9500000000003</v>
      </c>
      <c r="T830" s="6" t="b">
        <f>ROUND(RawSales[[#This Row],[Subtotal]],2)=ROUND(RawSales[[#This Row],[cogs]],2)</f>
        <v>1</v>
      </c>
      <c r="U830" s="6" t="b">
        <f>ROUND(RawSales[[#This Row],[cogs]]*0.05,2)=ROUND(RawSales[[#This Row],[Tax 5%]],2)</f>
        <v>1</v>
      </c>
      <c r="V830" s="6" t="b">
        <f>ROUND(RawSales[[#This Row],[cogs]]+RawSales[[#This Row],[Tax 5%]],2)=ROUND(RawSales[[#This Row],[Sales]],2)</f>
        <v>1</v>
      </c>
    </row>
    <row r="831" spans="1:22" x14ac:dyDescent="0.35">
      <c r="A831" s="4" t="s">
        <v>1342</v>
      </c>
      <c r="B831" t="s">
        <v>38</v>
      </c>
      <c r="C831" t="s">
        <v>39</v>
      </c>
      <c r="D831" t="s">
        <v>30</v>
      </c>
      <c r="E831" t="s">
        <v>23</v>
      </c>
      <c r="F831" t="s">
        <v>24</v>
      </c>
      <c r="G831" s="6">
        <v>9024</v>
      </c>
      <c r="H831" s="7">
        <v>6</v>
      </c>
      <c r="I831" s="6">
        <v>2707.2</v>
      </c>
      <c r="J831" s="6">
        <v>56851.199999999997</v>
      </c>
      <c r="K831" s="5">
        <v>43491.958333333336</v>
      </c>
      <c r="L831" s="4" t="s">
        <v>1343</v>
      </c>
      <c r="M831" t="s">
        <v>26</v>
      </c>
      <c r="N831" s="6">
        <v>54144</v>
      </c>
      <c r="O831">
        <v>4.7619047620000003</v>
      </c>
      <c r="P831" s="6">
        <v>2707.2</v>
      </c>
      <c r="Q831">
        <v>6.2</v>
      </c>
      <c r="R831" s="6">
        <f>RawSales[[#This Row],[Unit price]]*RawSales[[#This Row],[Quantity]]</f>
        <v>54144</v>
      </c>
      <c r="S831" s="6">
        <f>RawSales[[#This Row],[Subtotal]]*$B$1</f>
        <v>2707.2000000000003</v>
      </c>
      <c r="T831" s="6" t="b">
        <f>ROUND(RawSales[[#This Row],[Subtotal]],2)=ROUND(RawSales[[#This Row],[cogs]],2)</f>
        <v>1</v>
      </c>
      <c r="U831" s="6" t="b">
        <f>ROUND(RawSales[[#This Row],[cogs]]*0.05,2)=ROUND(RawSales[[#This Row],[Tax 5%]],2)</f>
        <v>1</v>
      </c>
      <c r="V831" s="6" t="b">
        <f>ROUND(RawSales[[#This Row],[cogs]]+RawSales[[#This Row],[Tax 5%]],2)=ROUND(RawSales[[#This Row],[Sales]],2)</f>
        <v>1</v>
      </c>
    </row>
    <row r="832" spans="1:22" x14ac:dyDescent="0.35">
      <c r="A832" s="4" t="s">
        <v>1344</v>
      </c>
      <c r="B832" t="s">
        <v>28</v>
      </c>
      <c r="C832" t="s">
        <v>29</v>
      </c>
      <c r="D832" t="s">
        <v>30</v>
      </c>
      <c r="E832" t="s">
        <v>23</v>
      </c>
      <c r="F832" t="s">
        <v>49</v>
      </c>
      <c r="G832" s="6">
        <v>3962</v>
      </c>
      <c r="H832" s="7">
        <v>7</v>
      </c>
      <c r="I832" s="6">
        <v>1386.7</v>
      </c>
      <c r="J832" s="6">
        <v>29120.7</v>
      </c>
      <c r="K832" s="5">
        <v>43489.958333333336</v>
      </c>
      <c r="L832" s="4" t="s">
        <v>1227</v>
      </c>
      <c r="M832" t="s">
        <v>26</v>
      </c>
      <c r="N832" s="6">
        <v>27734</v>
      </c>
      <c r="O832">
        <v>4.7619047620000003</v>
      </c>
      <c r="P832" s="6">
        <v>1386.7</v>
      </c>
      <c r="Q832">
        <v>7.5</v>
      </c>
      <c r="R832" s="6">
        <f>RawSales[[#This Row],[Unit price]]*RawSales[[#This Row],[Quantity]]</f>
        <v>27734</v>
      </c>
      <c r="S832" s="6">
        <f>RawSales[[#This Row],[Subtotal]]*$B$1</f>
        <v>1386.7</v>
      </c>
      <c r="T832" s="6" t="b">
        <f>ROUND(RawSales[[#This Row],[Subtotal]],2)=ROUND(RawSales[[#This Row],[cogs]],2)</f>
        <v>1</v>
      </c>
      <c r="U832" s="6" t="b">
        <f>ROUND(RawSales[[#This Row],[cogs]]*0.05,2)=ROUND(RawSales[[#This Row],[Tax 5%]],2)</f>
        <v>1</v>
      </c>
      <c r="V832" s="6" t="b">
        <f>ROUND(RawSales[[#This Row],[cogs]]+RawSales[[#This Row],[Tax 5%]],2)=ROUND(RawSales[[#This Row],[Sales]],2)</f>
        <v>1</v>
      </c>
    </row>
    <row r="833" spans="1:22" x14ac:dyDescent="0.35">
      <c r="A833" s="4" t="s">
        <v>1345</v>
      </c>
      <c r="B833" t="s">
        <v>28</v>
      </c>
      <c r="C833" t="s">
        <v>29</v>
      </c>
      <c r="D833" t="s">
        <v>22</v>
      </c>
      <c r="E833" t="s">
        <v>31</v>
      </c>
      <c r="F833" t="s">
        <v>324</v>
      </c>
      <c r="G833" s="6">
        <v>2660</v>
      </c>
      <c r="H833" s="7">
        <v>6</v>
      </c>
      <c r="I833" s="6">
        <v>798</v>
      </c>
      <c r="J833" s="6">
        <v>16758</v>
      </c>
      <c r="K833" s="5">
        <v>43521.958333333336</v>
      </c>
      <c r="L833" s="4" t="s">
        <v>459</v>
      </c>
      <c r="M833" t="s">
        <v>34</v>
      </c>
      <c r="N833" s="6">
        <v>15960</v>
      </c>
      <c r="O833">
        <v>4.7619047620000003</v>
      </c>
      <c r="P833" s="6">
        <v>798</v>
      </c>
      <c r="Q833">
        <v>4.9000000000000004</v>
      </c>
      <c r="R833" s="6">
        <f>RawSales[[#This Row],[Unit price]]*RawSales[[#This Row],[Quantity]]</f>
        <v>15960</v>
      </c>
      <c r="S833" s="6">
        <f>RawSales[[#This Row],[Subtotal]]*$B$1</f>
        <v>798</v>
      </c>
      <c r="T833" s="6" t="b">
        <f>ROUND(RawSales[[#This Row],[Subtotal]],2)=ROUND(RawSales[[#This Row],[cogs]],2)</f>
        <v>1</v>
      </c>
      <c r="U833" s="6" t="b">
        <f>ROUND(RawSales[[#This Row],[cogs]]*0.05,2)=ROUND(RawSales[[#This Row],[Tax 5%]],2)</f>
        <v>1</v>
      </c>
      <c r="V833" s="6" t="b">
        <f>ROUND(RawSales[[#This Row],[cogs]]+RawSales[[#This Row],[Tax 5%]],2)=ROUND(RawSales[[#This Row],[Sales]],2)</f>
        <v>1</v>
      </c>
    </row>
    <row r="834" spans="1:22" x14ac:dyDescent="0.35">
      <c r="A834" s="4" t="s">
        <v>1346</v>
      </c>
      <c r="B834" t="s">
        <v>38</v>
      </c>
      <c r="C834" t="s">
        <v>39</v>
      </c>
      <c r="D834" t="s">
        <v>22</v>
      </c>
      <c r="E834" t="s">
        <v>23</v>
      </c>
      <c r="F834" t="s">
        <v>49</v>
      </c>
      <c r="G834" s="6">
        <v>4871</v>
      </c>
      <c r="H834" s="7">
        <v>1</v>
      </c>
      <c r="I834" s="6">
        <v>243.55</v>
      </c>
      <c r="J834" s="6">
        <v>5114.55</v>
      </c>
      <c r="K834" s="5">
        <v>43549.958333333336</v>
      </c>
      <c r="L834" s="4" t="s">
        <v>343</v>
      </c>
      <c r="M834" t="s">
        <v>26</v>
      </c>
      <c r="N834" s="6">
        <v>4871</v>
      </c>
      <c r="O834">
        <v>4.7619047620000003</v>
      </c>
      <c r="P834" s="6">
        <v>243.55</v>
      </c>
      <c r="Q834">
        <v>4.0999999999999996</v>
      </c>
      <c r="R834" s="6">
        <f>RawSales[[#This Row],[Unit price]]*RawSales[[#This Row],[Quantity]]</f>
        <v>4871</v>
      </c>
      <c r="S834" s="6">
        <f>RawSales[[#This Row],[Subtotal]]*$B$1</f>
        <v>243.55</v>
      </c>
      <c r="T834" s="6" t="b">
        <f>ROUND(RawSales[[#This Row],[Subtotal]],2)=ROUND(RawSales[[#This Row],[cogs]],2)</f>
        <v>1</v>
      </c>
      <c r="U834" s="6" t="b">
        <f>ROUND(RawSales[[#This Row],[cogs]]*0.05,2)=ROUND(RawSales[[#This Row],[Tax 5%]],2)</f>
        <v>1</v>
      </c>
      <c r="V834" s="6" t="b">
        <f>ROUND(RawSales[[#This Row],[cogs]]+RawSales[[#This Row],[Tax 5%]],2)=ROUND(RawSales[[#This Row],[Sales]],2)</f>
        <v>1</v>
      </c>
    </row>
    <row r="835" spans="1:22" x14ac:dyDescent="0.35">
      <c r="A835" s="4" t="s">
        <v>1347</v>
      </c>
      <c r="B835" t="s">
        <v>28</v>
      </c>
      <c r="C835" t="s">
        <v>29</v>
      </c>
      <c r="D835" t="s">
        <v>22</v>
      </c>
      <c r="E835" t="s">
        <v>31</v>
      </c>
      <c r="F835" t="s">
        <v>24</v>
      </c>
      <c r="G835" s="6">
        <v>8005</v>
      </c>
      <c r="H835" s="7">
        <v>5</v>
      </c>
      <c r="I835" s="6">
        <v>2001.25</v>
      </c>
      <c r="J835" s="6">
        <v>42026.25</v>
      </c>
      <c r="K835" s="5">
        <v>43490.958333333336</v>
      </c>
      <c r="L835" s="4" t="s">
        <v>478</v>
      </c>
      <c r="M835" t="s">
        <v>51</v>
      </c>
      <c r="N835" s="6">
        <v>40025</v>
      </c>
      <c r="O835">
        <v>4.7619047620000003</v>
      </c>
      <c r="P835" s="6">
        <v>2001.25</v>
      </c>
      <c r="Q835">
        <v>9.4</v>
      </c>
      <c r="R835" s="6">
        <f>RawSales[[#This Row],[Unit price]]*RawSales[[#This Row],[Quantity]]</f>
        <v>40025</v>
      </c>
      <c r="S835" s="6">
        <f>RawSales[[#This Row],[Subtotal]]*$B$1</f>
        <v>2001.25</v>
      </c>
      <c r="T835" s="6" t="b">
        <f>ROUND(RawSales[[#This Row],[Subtotal]],2)=ROUND(RawSales[[#This Row],[cogs]],2)</f>
        <v>1</v>
      </c>
      <c r="U835" s="6" t="b">
        <f>ROUND(RawSales[[#This Row],[cogs]]*0.05,2)=ROUND(RawSales[[#This Row],[Tax 5%]],2)</f>
        <v>1</v>
      </c>
      <c r="V835" s="6" t="b">
        <f>ROUND(RawSales[[#This Row],[cogs]]+RawSales[[#This Row],[Tax 5%]],2)=ROUND(RawSales[[#This Row],[Sales]],2)</f>
        <v>1</v>
      </c>
    </row>
    <row r="836" spans="1:22" x14ac:dyDescent="0.35">
      <c r="A836" s="4" t="s">
        <v>1348</v>
      </c>
      <c r="B836" t="s">
        <v>38</v>
      </c>
      <c r="C836" t="s">
        <v>39</v>
      </c>
      <c r="D836" t="s">
        <v>22</v>
      </c>
      <c r="E836" t="s">
        <v>23</v>
      </c>
      <c r="F836" t="s">
        <v>24</v>
      </c>
      <c r="G836" s="6">
        <v>2104</v>
      </c>
      <c r="H836" s="7">
        <v>4</v>
      </c>
      <c r="I836" s="6">
        <v>420.8</v>
      </c>
      <c r="J836" s="6">
        <v>8836.7999999999993</v>
      </c>
      <c r="K836" s="5">
        <v>43477.958333333336</v>
      </c>
      <c r="L836" s="4" t="s">
        <v>96</v>
      </c>
      <c r="M836" t="s">
        <v>26</v>
      </c>
      <c r="N836" s="6">
        <v>8416</v>
      </c>
      <c r="O836">
        <v>4.7619047620000003</v>
      </c>
      <c r="P836" s="6">
        <v>420.8</v>
      </c>
      <c r="Q836">
        <v>7.6</v>
      </c>
      <c r="R836" s="6">
        <f>RawSales[[#This Row],[Unit price]]*RawSales[[#This Row],[Quantity]]</f>
        <v>8416</v>
      </c>
      <c r="S836" s="6">
        <f>RawSales[[#This Row],[Subtotal]]*$B$1</f>
        <v>420.8</v>
      </c>
      <c r="T836" s="6" t="b">
        <f>ROUND(RawSales[[#This Row],[Subtotal]],2)=ROUND(RawSales[[#This Row],[cogs]],2)</f>
        <v>1</v>
      </c>
      <c r="U836" s="6" t="b">
        <f>ROUND(RawSales[[#This Row],[cogs]]*0.05,2)=ROUND(RawSales[[#This Row],[Tax 5%]],2)</f>
        <v>1</v>
      </c>
      <c r="V836" s="6" t="b">
        <f>ROUND(RawSales[[#This Row],[cogs]]+RawSales[[#This Row],[Tax 5%]],2)=ROUND(RawSales[[#This Row],[Sales]],2)</f>
        <v>1</v>
      </c>
    </row>
    <row r="837" spans="1:22" x14ac:dyDescent="0.35">
      <c r="A837" s="4" t="s">
        <v>1349</v>
      </c>
      <c r="B837" t="s">
        <v>28</v>
      </c>
      <c r="C837" t="s">
        <v>29</v>
      </c>
      <c r="D837" t="s">
        <v>22</v>
      </c>
      <c r="E837" t="s">
        <v>23</v>
      </c>
      <c r="F837" t="s">
        <v>49</v>
      </c>
      <c r="G837" s="6">
        <v>1977</v>
      </c>
      <c r="H837" s="7">
        <v>10</v>
      </c>
      <c r="I837" s="6">
        <v>988.5</v>
      </c>
      <c r="J837" s="6">
        <v>20758.5</v>
      </c>
      <c r="K837" s="4" t="s">
        <v>1350</v>
      </c>
      <c r="L837" s="4" t="s">
        <v>1351</v>
      </c>
      <c r="M837" t="s">
        <v>51</v>
      </c>
      <c r="N837" s="6">
        <v>19770</v>
      </c>
      <c r="O837">
        <v>4.7619047620000003</v>
      </c>
      <c r="P837" s="6">
        <v>988.5</v>
      </c>
      <c r="Q837">
        <v>5</v>
      </c>
      <c r="R837" s="6">
        <f>RawSales[[#This Row],[Unit price]]*RawSales[[#This Row],[Quantity]]</f>
        <v>19770</v>
      </c>
      <c r="S837" s="6">
        <f>RawSales[[#This Row],[Subtotal]]*$B$1</f>
        <v>988.5</v>
      </c>
      <c r="T837" s="6" t="b">
        <f>ROUND(RawSales[[#This Row],[Subtotal]],2)=ROUND(RawSales[[#This Row],[cogs]],2)</f>
        <v>1</v>
      </c>
      <c r="U837" s="6" t="b">
        <f>ROUND(RawSales[[#This Row],[cogs]]*0.05,2)=ROUND(RawSales[[#This Row],[Tax 5%]],2)</f>
        <v>1</v>
      </c>
      <c r="V837" s="6" t="b">
        <f>ROUND(RawSales[[#This Row],[cogs]]+RawSales[[#This Row],[Tax 5%]],2)=ROUND(RawSales[[#This Row],[Sales]],2)</f>
        <v>1</v>
      </c>
    </row>
    <row r="838" spans="1:22" x14ac:dyDescent="0.35">
      <c r="A838" s="4" t="s">
        <v>1352</v>
      </c>
      <c r="B838" t="s">
        <v>20</v>
      </c>
      <c r="C838" t="s">
        <v>21</v>
      </c>
      <c r="D838" t="s">
        <v>22</v>
      </c>
      <c r="E838" t="s">
        <v>23</v>
      </c>
      <c r="F838" t="s">
        <v>40</v>
      </c>
      <c r="G838" s="6">
        <v>7347</v>
      </c>
      <c r="H838" s="7">
        <v>10</v>
      </c>
      <c r="I838" s="6">
        <v>3673.5</v>
      </c>
      <c r="J838" s="6">
        <v>77143.5</v>
      </c>
      <c r="K838" s="5">
        <v>43546.958333333336</v>
      </c>
      <c r="L838" s="4" t="s">
        <v>1353</v>
      </c>
      <c r="M838" t="s">
        <v>34</v>
      </c>
      <c r="N838" s="6">
        <v>73470</v>
      </c>
      <c r="O838">
        <v>4.7619047620000003</v>
      </c>
      <c r="P838" s="6">
        <v>3673.5</v>
      </c>
      <c r="Q838">
        <v>9.5</v>
      </c>
      <c r="R838" s="6">
        <f>RawSales[[#This Row],[Unit price]]*RawSales[[#This Row],[Quantity]]</f>
        <v>73470</v>
      </c>
      <c r="S838" s="6">
        <f>RawSales[[#This Row],[Subtotal]]*$B$1</f>
        <v>3673.5</v>
      </c>
      <c r="T838" s="6" t="b">
        <f>ROUND(RawSales[[#This Row],[Subtotal]],2)=ROUND(RawSales[[#This Row],[cogs]],2)</f>
        <v>1</v>
      </c>
      <c r="U838" s="6" t="b">
        <f>ROUND(RawSales[[#This Row],[cogs]]*0.05,2)=ROUND(RawSales[[#This Row],[Tax 5%]],2)</f>
        <v>1</v>
      </c>
      <c r="V838" s="6" t="b">
        <f>ROUND(RawSales[[#This Row],[cogs]]+RawSales[[#This Row],[Tax 5%]],2)=ROUND(RawSales[[#This Row],[Sales]],2)</f>
        <v>1</v>
      </c>
    </row>
    <row r="839" spans="1:22" x14ac:dyDescent="0.35">
      <c r="A839" s="4" t="s">
        <v>1354</v>
      </c>
      <c r="B839" t="s">
        <v>20</v>
      </c>
      <c r="C839" t="s">
        <v>21</v>
      </c>
      <c r="D839" t="s">
        <v>30</v>
      </c>
      <c r="E839" t="s">
        <v>31</v>
      </c>
      <c r="F839" t="s">
        <v>43</v>
      </c>
      <c r="G839" s="6">
        <v>2500</v>
      </c>
      <c r="H839" s="7">
        <v>1</v>
      </c>
      <c r="I839" s="6">
        <v>125</v>
      </c>
      <c r="J839" s="6">
        <v>2625</v>
      </c>
      <c r="K839" s="5">
        <v>43526.958333333336</v>
      </c>
      <c r="L839" s="4" t="s">
        <v>1355</v>
      </c>
      <c r="M839" t="s">
        <v>34</v>
      </c>
      <c r="N839" s="6">
        <v>2500</v>
      </c>
      <c r="O839">
        <v>4.7619047620000003</v>
      </c>
      <c r="P839" s="6">
        <v>125</v>
      </c>
      <c r="Q839">
        <v>5.5</v>
      </c>
      <c r="R839" s="6">
        <f>RawSales[[#This Row],[Unit price]]*RawSales[[#This Row],[Quantity]]</f>
        <v>2500</v>
      </c>
      <c r="S839" s="6">
        <f>RawSales[[#This Row],[Subtotal]]*$B$1</f>
        <v>125</v>
      </c>
      <c r="T839" s="6" t="b">
        <f>ROUND(RawSales[[#This Row],[Subtotal]],2)=ROUND(RawSales[[#This Row],[cogs]],2)</f>
        <v>1</v>
      </c>
      <c r="U839" s="6" t="b">
        <f>ROUND(RawSales[[#This Row],[cogs]]*0.05,2)=ROUND(RawSales[[#This Row],[Tax 5%]],2)</f>
        <v>1</v>
      </c>
      <c r="V839" s="6" t="b">
        <f>ROUND(RawSales[[#This Row],[cogs]]+RawSales[[#This Row],[Tax 5%]],2)=ROUND(RawSales[[#This Row],[Sales]],2)</f>
        <v>1</v>
      </c>
    </row>
    <row r="840" spans="1:22" x14ac:dyDescent="0.35">
      <c r="A840" s="4" t="s">
        <v>1356</v>
      </c>
      <c r="B840" t="s">
        <v>38</v>
      </c>
      <c r="C840" t="s">
        <v>39</v>
      </c>
      <c r="D840" t="s">
        <v>22</v>
      </c>
      <c r="E840" t="s">
        <v>23</v>
      </c>
      <c r="F840" t="s">
        <v>40</v>
      </c>
      <c r="G840" s="6">
        <v>6095</v>
      </c>
      <c r="H840" s="7">
        <v>1</v>
      </c>
      <c r="I840" s="6">
        <v>304.75</v>
      </c>
      <c r="J840" s="6">
        <v>6399.75</v>
      </c>
      <c r="K840" s="5">
        <v>43513.958333333336</v>
      </c>
      <c r="L840" s="4" t="s">
        <v>567</v>
      </c>
      <c r="M840" t="s">
        <v>34</v>
      </c>
      <c r="N840" s="6">
        <v>6095</v>
      </c>
      <c r="O840">
        <v>4.7619047620000003</v>
      </c>
      <c r="P840" s="6">
        <v>304.75</v>
      </c>
      <c r="Q840">
        <v>5.9</v>
      </c>
      <c r="R840" s="6">
        <f>RawSales[[#This Row],[Unit price]]*RawSales[[#This Row],[Quantity]]</f>
        <v>6095</v>
      </c>
      <c r="S840" s="6">
        <f>RawSales[[#This Row],[Subtotal]]*$B$1</f>
        <v>304.75</v>
      </c>
      <c r="T840" s="6" t="b">
        <f>ROUND(RawSales[[#This Row],[Subtotal]],2)=ROUND(RawSales[[#This Row],[cogs]],2)</f>
        <v>1</v>
      </c>
      <c r="U840" s="6" t="b">
        <f>ROUND(RawSales[[#This Row],[cogs]]*0.05,2)=ROUND(RawSales[[#This Row],[Tax 5%]],2)</f>
        <v>1</v>
      </c>
      <c r="V840" s="6" t="b">
        <f>ROUND(RawSales[[#This Row],[cogs]]+RawSales[[#This Row],[Tax 5%]],2)=ROUND(RawSales[[#This Row],[Sales]],2)</f>
        <v>1</v>
      </c>
    </row>
    <row r="841" spans="1:22" x14ac:dyDescent="0.35">
      <c r="A841" s="4" t="s">
        <v>1357</v>
      </c>
      <c r="B841" t="s">
        <v>20</v>
      </c>
      <c r="C841" t="s">
        <v>21</v>
      </c>
      <c r="D841" t="s">
        <v>30</v>
      </c>
      <c r="E841" t="s">
        <v>23</v>
      </c>
      <c r="F841" t="s">
        <v>40</v>
      </c>
      <c r="G841" s="6">
        <v>1569</v>
      </c>
      <c r="H841" s="7">
        <v>3</v>
      </c>
      <c r="I841" s="6">
        <v>235.35</v>
      </c>
      <c r="J841" s="6">
        <v>4942.3500000000004</v>
      </c>
      <c r="K841" s="5">
        <v>43537.958333333336</v>
      </c>
      <c r="L841" s="4" t="s">
        <v>1000</v>
      </c>
      <c r="M841" t="s">
        <v>51</v>
      </c>
      <c r="N841" s="6">
        <v>4707</v>
      </c>
      <c r="O841">
        <v>4.7619047620000003</v>
      </c>
      <c r="P841" s="6">
        <v>235.35</v>
      </c>
      <c r="Q841">
        <v>5.8</v>
      </c>
      <c r="R841" s="6">
        <f>RawSales[[#This Row],[Unit price]]*RawSales[[#This Row],[Quantity]]</f>
        <v>4707</v>
      </c>
      <c r="S841" s="6">
        <f>RawSales[[#This Row],[Subtotal]]*$B$1</f>
        <v>235.35000000000002</v>
      </c>
      <c r="T841" s="6" t="b">
        <f>ROUND(RawSales[[#This Row],[Subtotal]],2)=ROUND(RawSales[[#This Row],[cogs]],2)</f>
        <v>1</v>
      </c>
      <c r="U841" s="6" t="b">
        <f>ROUND(RawSales[[#This Row],[cogs]]*0.05,2)=ROUND(RawSales[[#This Row],[Tax 5%]],2)</f>
        <v>1</v>
      </c>
      <c r="V841" s="6" t="b">
        <f>ROUND(RawSales[[#This Row],[cogs]]+RawSales[[#This Row],[Tax 5%]],2)=ROUND(RawSales[[#This Row],[Sales]],2)</f>
        <v>1</v>
      </c>
    </row>
    <row r="842" spans="1:22" x14ac:dyDescent="0.35">
      <c r="A842" s="4" t="s">
        <v>1358</v>
      </c>
      <c r="B842" t="s">
        <v>20</v>
      </c>
      <c r="C842" t="s">
        <v>21</v>
      </c>
      <c r="D842" t="s">
        <v>30</v>
      </c>
      <c r="E842" t="s">
        <v>23</v>
      </c>
      <c r="F842" t="s">
        <v>49</v>
      </c>
      <c r="G842" s="6">
        <v>1550</v>
      </c>
      <c r="H842" s="7">
        <v>1</v>
      </c>
      <c r="I842" s="6">
        <v>77.5</v>
      </c>
      <c r="J842" s="6">
        <v>1627.5</v>
      </c>
      <c r="K842" s="5">
        <v>43542.958333333336</v>
      </c>
      <c r="L842" s="4" t="s">
        <v>1359</v>
      </c>
      <c r="M842" t="s">
        <v>51</v>
      </c>
      <c r="N842" s="6">
        <v>1550</v>
      </c>
      <c r="O842">
        <v>4.7619047620000003</v>
      </c>
      <c r="P842" s="6">
        <v>77.5</v>
      </c>
      <c r="Q842">
        <v>7.4</v>
      </c>
      <c r="R842" s="6">
        <f>RawSales[[#This Row],[Unit price]]*RawSales[[#This Row],[Quantity]]</f>
        <v>1550</v>
      </c>
      <c r="S842" s="6">
        <f>RawSales[[#This Row],[Subtotal]]*$B$1</f>
        <v>77.5</v>
      </c>
      <c r="T842" s="6" t="b">
        <f>ROUND(RawSales[[#This Row],[Subtotal]],2)=ROUND(RawSales[[#This Row],[cogs]],2)</f>
        <v>1</v>
      </c>
      <c r="U842" s="6" t="b">
        <f>ROUND(RawSales[[#This Row],[cogs]]*0.05,2)=ROUND(RawSales[[#This Row],[Tax 5%]],2)</f>
        <v>1</v>
      </c>
      <c r="V842" s="6" t="b">
        <f>ROUND(RawSales[[#This Row],[cogs]]+RawSales[[#This Row],[Tax 5%]],2)=ROUND(RawSales[[#This Row],[Sales]],2)</f>
        <v>1</v>
      </c>
    </row>
    <row r="843" spans="1:22" x14ac:dyDescent="0.35">
      <c r="A843" s="4" t="s">
        <v>1360</v>
      </c>
      <c r="B843" t="s">
        <v>38</v>
      </c>
      <c r="C843" t="s">
        <v>39</v>
      </c>
      <c r="D843" t="s">
        <v>22</v>
      </c>
      <c r="E843" t="s">
        <v>23</v>
      </c>
      <c r="F843" t="s">
        <v>62</v>
      </c>
      <c r="G843" s="6">
        <v>1915</v>
      </c>
      <c r="H843" s="7">
        <v>6</v>
      </c>
      <c r="I843" s="6">
        <v>574.5</v>
      </c>
      <c r="J843" s="6">
        <v>12064.5</v>
      </c>
      <c r="K843" s="5">
        <v>43493.958333333336</v>
      </c>
      <c r="L843" s="4" t="s">
        <v>575</v>
      </c>
      <c r="M843" t="s">
        <v>51</v>
      </c>
      <c r="N843" s="6">
        <v>11490</v>
      </c>
      <c r="O843">
        <v>4.7619047620000003</v>
      </c>
      <c r="P843" s="6">
        <v>574.5</v>
      </c>
      <c r="Q843">
        <v>6.8</v>
      </c>
      <c r="R843" s="6">
        <f>RawSales[[#This Row],[Unit price]]*RawSales[[#This Row],[Quantity]]</f>
        <v>11490</v>
      </c>
      <c r="S843" s="6">
        <f>RawSales[[#This Row],[Subtotal]]*$B$1</f>
        <v>574.5</v>
      </c>
      <c r="T843" s="6" t="b">
        <f>ROUND(RawSales[[#This Row],[Subtotal]],2)=ROUND(RawSales[[#This Row],[cogs]],2)</f>
        <v>1</v>
      </c>
      <c r="U843" s="6" t="b">
        <f>ROUND(RawSales[[#This Row],[cogs]]*0.05,2)=ROUND(RawSales[[#This Row],[Tax 5%]],2)</f>
        <v>1</v>
      </c>
      <c r="V843" s="6" t="b">
        <f>ROUND(RawSales[[#This Row],[cogs]]+RawSales[[#This Row],[Tax 5%]],2)=ROUND(RawSales[[#This Row],[Sales]],2)</f>
        <v>1</v>
      </c>
    </row>
    <row r="844" spans="1:22" x14ac:dyDescent="0.35">
      <c r="A844" s="4" t="s">
        <v>1361</v>
      </c>
      <c r="B844" t="s">
        <v>38</v>
      </c>
      <c r="C844" t="s">
        <v>39</v>
      </c>
      <c r="D844" t="s">
        <v>30</v>
      </c>
      <c r="E844" t="s">
        <v>31</v>
      </c>
      <c r="F844" t="s">
        <v>40</v>
      </c>
      <c r="G844" s="6">
        <v>6141</v>
      </c>
      <c r="H844" s="7">
        <v>7</v>
      </c>
      <c r="I844" s="6">
        <v>2149.35</v>
      </c>
      <c r="J844" s="6">
        <v>45136.35</v>
      </c>
      <c r="K844" s="4" t="s">
        <v>1362</v>
      </c>
      <c r="L844" s="4" t="s">
        <v>47</v>
      </c>
      <c r="M844" t="s">
        <v>26</v>
      </c>
      <c r="N844" s="6">
        <v>42987</v>
      </c>
      <c r="O844">
        <v>4.7619047620000003</v>
      </c>
      <c r="P844" s="6">
        <v>2149.35</v>
      </c>
      <c r="Q844">
        <v>9.8000000000000007</v>
      </c>
      <c r="R844" s="6">
        <f>RawSales[[#This Row],[Unit price]]*RawSales[[#This Row],[Quantity]]</f>
        <v>42987</v>
      </c>
      <c r="S844" s="6">
        <f>RawSales[[#This Row],[Subtotal]]*$B$1</f>
        <v>2149.35</v>
      </c>
      <c r="T844" s="6" t="b">
        <f>ROUND(RawSales[[#This Row],[Subtotal]],2)=ROUND(RawSales[[#This Row],[cogs]],2)</f>
        <v>1</v>
      </c>
      <c r="U844" s="6" t="b">
        <f>ROUND(RawSales[[#This Row],[cogs]]*0.05,2)=ROUND(RawSales[[#This Row],[Tax 5%]],2)</f>
        <v>1</v>
      </c>
      <c r="V844" s="6" t="b">
        <f>ROUND(RawSales[[#This Row],[cogs]]+RawSales[[#This Row],[Tax 5%]],2)=ROUND(RawSales[[#This Row],[Sales]],2)</f>
        <v>1</v>
      </c>
    </row>
    <row r="845" spans="1:22" x14ac:dyDescent="0.35">
      <c r="A845" s="4" t="s">
        <v>1363</v>
      </c>
      <c r="B845" t="s">
        <v>38</v>
      </c>
      <c r="C845" t="s">
        <v>39</v>
      </c>
      <c r="D845" t="s">
        <v>30</v>
      </c>
      <c r="E845" t="s">
        <v>23</v>
      </c>
      <c r="F845" t="s">
        <v>40</v>
      </c>
      <c r="G845" s="6">
        <v>7763</v>
      </c>
      <c r="H845" s="7">
        <v>9</v>
      </c>
      <c r="I845" s="6">
        <v>3493.35</v>
      </c>
      <c r="J845" s="6">
        <v>73360.350000000006</v>
      </c>
      <c r="K845" s="5">
        <v>43514.958333333336</v>
      </c>
      <c r="L845" s="4" t="s">
        <v>1364</v>
      </c>
      <c r="M845" t="s">
        <v>34</v>
      </c>
      <c r="N845" s="6">
        <v>69867</v>
      </c>
      <c r="O845">
        <v>4.7619047620000003</v>
      </c>
      <c r="P845" s="6">
        <v>3493.35</v>
      </c>
      <c r="Q845">
        <v>7.2</v>
      </c>
      <c r="R845" s="6">
        <f>RawSales[[#This Row],[Unit price]]*RawSales[[#This Row],[Quantity]]</f>
        <v>69867</v>
      </c>
      <c r="S845" s="6">
        <f>RawSales[[#This Row],[Subtotal]]*$B$1</f>
        <v>3493.3500000000004</v>
      </c>
      <c r="T845" s="6" t="b">
        <f>ROUND(RawSales[[#This Row],[Subtotal]],2)=ROUND(RawSales[[#This Row],[cogs]],2)</f>
        <v>1</v>
      </c>
      <c r="U845" s="6" t="b">
        <f>ROUND(RawSales[[#This Row],[cogs]]*0.05,2)=ROUND(RawSales[[#This Row],[Tax 5%]],2)</f>
        <v>1</v>
      </c>
      <c r="V845" s="6" t="b">
        <f>ROUND(RawSales[[#This Row],[cogs]]+RawSales[[#This Row],[Tax 5%]],2)=ROUND(RawSales[[#This Row],[Sales]],2)</f>
        <v>1</v>
      </c>
    </row>
    <row r="846" spans="1:22" x14ac:dyDescent="0.35">
      <c r="A846" s="4" t="s">
        <v>1365</v>
      </c>
      <c r="B846" t="s">
        <v>20</v>
      </c>
      <c r="C846" t="s">
        <v>21</v>
      </c>
      <c r="D846" t="s">
        <v>22</v>
      </c>
      <c r="E846" t="s">
        <v>31</v>
      </c>
      <c r="F846" t="s">
        <v>49</v>
      </c>
      <c r="G846" s="6">
        <v>4128</v>
      </c>
      <c r="H846" s="7">
        <v>3</v>
      </c>
      <c r="I846" s="6">
        <v>619.20000000000005</v>
      </c>
      <c r="J846" s="6">
        <v>13003.2</v>
      </c>
      <c r="K846" s="5">
        <v>43549.958333333336</v>
      </c>
      <c r="L846" s="4" t="s">
        <v>332</v>
      </c>
      <c r="M846" t="s">
        <v>51</v>
      </c>
      <c r="N846" s="6">
        <v>12384</v>
      </c>
      <c r="O846">
        <v>4.7619047620000003</v>
      </c>
      <c r="P846" s="6">
        <v>619.20000000000005</v>
      </c>
      <c r="Q846">
        <v>8.5</v>
      </c>
      <c r="R846" s="6">
        <f>RawSales[[#This Row],[Unit price]]*RawSales[[#This Row],[Quantity]]</f>
        <v>12384</v>
      </c>
      <c r="S846" s="6">
        <f>RawSales[[#This Row],[Subtotal]]*$B$1</f>
        <v>619.20000000000005</v>
      </c>
      <c r="T846" s="6" t="b">
        <f>ROUND(RawSales[[#This Row],[Subtotal]],2)=ROUND(RawSales[[#This Row],[cogs]],2)</f>
        <v>1</v>
      </c>
      <c r="U846" s="6" t="b">
        <f>ROUND(RawSales[[#This Row],[cogs]]*0.05,2)=ROUND(RawSales[[#This Row],[Tax 5%]],2)</f>
        <v>1</v>
      </c>
      <c r="V846" s="6" t="b">
        <f>ROUND(RawSales[[#This Row],[cogs]]+RawSales[[#This Row],[Tax 5%]],2)=ROUND(RawSales[[#This Row],[Sales]],2)</f>
        <v>1</v>
      </c>
    </row>
    <row r="847" spans="1:22" x14ac:dyDescent="0.35">
      <c r="A847" s="4" t="s">
        <v>419</v>
      </c>
      <c r="B847" t="s">
        <v>28</v>
      </c>
      <c r="C847" t="s">
        <v>29</v>
      </c>
      <c r="D847" t="s">
        <v>30</v>
      </c>
      <c r="E847" t="s">
        <v>23</v>
      </c>
      <c r="F847" t="s">
        <v>62</v>
      </c>
      <c r="G847" s="6">
        <v>4297</v>
      </c>
      <c r="H847" s="7">
        <v>3</v>
      </c>
      <c r="I847" s="6">
        <v>644.54999999999995</v>
      </c>
      <c r="J847" s="6">
        <v>13535.55</v>
      </c>
      <c r="K847" s="5">
        <v>43498.958333333336</v>
      </c>
      <c r="L847" s="4" t="s">
        <v>420</v>
      </c>
      <c r="M847" t="s">
        <v>26</v>
      </c>
      <c r="N847" s="6">
        <v>12891</v>
      </c>
      <c r="O847">
        <v>4.7619047620000003</v>
      </c>
      <c r="P847" s="6">
        <v>644.54999999999995</v>
      </c>
      <c r="Q847">
        <v>9.3000000000000007</v>
      </c>
      <c r="R847" s="6">
        <f>RawSales[[#This Row],[Unit price]]*RawSales[[#This Row],[Quantity]]</f>
        <v>12891</v>
      </c>
      <c r="S847" s="6">
        <f>RawSales[[#This Row],[Subtotal]]*$B$1</f>
        <v>644.55000000000007</v>
      </c>
      <c r="T847" s="6" t="b">
        <f>ROUND(RawSales[[#This Row],[Subtotal]],2)=ROUND(RawSales[[#This Row],[cogs]],2)</f>
        <v>1</v>
      </c>
      <c r="U847" s="6" t="b">
        <f>ROUND(RawSales[[#This Row],[cogs]]*0.05,2)=ROUND(RawSales[[#This Row],[Tax 5%]],2)</f>
        <v>1</v>
      </c>
      <c r="V847" s="6" t="b">
        <f>ROUND(RawSales[[#This Row],[cogs]]+RawSales[[#This Row],[Tax 5%]],2)=ROUND(RawSales[[#This Row],[Sales]],2)</f>
        <v>1</v>
      </c>
    </row>
    <row r="848" spans="1:22" x14ac:dyDescent="0.35">
      <c r="A848" s="4" t="s">
        <v>1366</v>
      </c>
      <c r="B848" t="s">
        <v>38</v>
      </c>
      <c r="C848" t="s">
        <v>39</v>
      </c>
      <c r="D848" t="s">
        <v>30</v>
      </c>
      <c r="E848" t="s">
        <v>31</v>
      </c>
      <c r="F848" t="s">
        <v>43</v>
      </c>
      <c r="G848" s="6">
        <v>2180</v>
      </c>
      <c r="H848" s="7">
        <v>8</v>
      </c>
      <c r="I848" s="6">
        <v>872</v>
      </c>
      <c r="J848" s="6">
        <v>18312</v>
      </c>
      <c r="K848" s="5">
        <v>43514.958333333336</v>
      </c>
      <c r="L848" s="4" t="s">
        <v>834</v>
      </c>
      <c r="M848" t="s">
        <v>26</v>
      </c>
      <c r="N848" s="6">
        <v>17440</v>
      </c>
      <c r="O848">
        <v>4.7619047620000003</v>
      </c>
      <c r="P848" s="6">
        <v>872</v>
      </c>
      <c r="Q848">
        <v>8.3000000000000007</v>
      </c>
      <c r="R848" s="6">
        <f>RawSales[[#This Row],[Unit price]]*RawSales[[#This Row],[Quantity]]</f>
        <v>17440</v>
      </c>
      <c r="S848" s="6">
        <f>RawSales[[#This Row],[Subtotal]]*$B$1</f>
        <v>872</v>
      </c>
      <c r="T848" s="6" t="b">
        <f>ROUND(RawSales[[#This Row],[Subtotal]],2)=ROUND(RawSales[[#This Row],[cogs]],2)</f>
        <v>1</v>
      </c>
      <c r="U848" s="6" t="b">
        <f>ROUND(RawSales[[#This Row],[cogs]]*0.05,2)=ROUND(RawSales[[#This Row],[Tax 5%]],2)</f>
        <v>1</v>
      </c>
      <c r="V848" s="6" t="b">
        <f>ROUND(RawSales[[#This Row],[cogs]]+RawSales[[#This Row],[Tax 5%]],2)=ROUND(RawSales[[#This Row],[Sales]],2)</f>
        <v>1</v>
      </c>
    </row>
    <row r="849" spans="1:22" x14ac:dyDescent="0.35">
      <c r="A849" s="4" t="s">
        <v>1367</v>
      </c>
      <c r="B849" t="s">
        <v>28</v>
      </c>
      <c r="C849" t="s">
        <v>29</v>
      </c>
      <c r="D849" t="s">
        <v>22</v>
      </c>
      <c r="E849" t="s">
        <v>23</v>
      </c>
      <c r="F849" t="s">
        <v>49</v>
      </c>
      <c r="G849" s="6">
        <v>2956</v>
      </c>
      <c r="H849" s="7">
        <v>5</v>
      </c>
      <c r="I849" s="6">
        <v>739</v>
      </c>
      <c r="J849" s="6">
        <v>15519</v>
      </c>
      <c r="K849" s="5">
        <v>43508.958333333336</v>
      </c>
      <c r="L849" s="4" t="s">
        <v>1368</v>
      </c>
      <c r="M849" t="s">
        <v>26</v>
      </c>
      <c r="N849" s="6">
        <v>14780</v>
      </c>
      <c r="O849">
        <v>4.7619047620000003</v>
      </c>
      <c r="P849" s="6">
        <v>739</v>
      </c>
      <c r="Q849">
        <v>6.9</v>
      </c>
      <c r="R849" s="6">
        <f>RawSales[[#This Row],[Unit price]]*RawSales[[#This Row],[Quantity]]</f>
        <v>14780</v>
      </c>
      <c r="S849" s="6">
        <f>RawSales[[#This Row],[Subtotal]]*$B$1</f>
        <v>739</v>
      </c>
      <c r="T849" s="6" t="b">
        <f>ROUND(RawSales[[#This Row],[Subtotal]],2)=ROUND(RawSales[[#This Row],[cogs]],2)</f>
        <v>1</v>
      </c>
      <c r="U849" s="6" t="b">
        <f>ROUND(RawSales[[#This Row],[cogs]]*0.05,2)=ROUND(RawSales[[#This Row],[Tax 5%]],2)</f>
        <v>1</v>
      </c>
      <c r="V849" s="6" t="b">
        <f>ROUND(RawSales[[#This Row],[cogs]]+RawSales[[#This Row],[Tax 5%]],2)=ROUND(RawSales[[#This Row],[Sales]],2)</f>
        <v>1</v>
      </c>
    </row>
    <row r="850" spans="1:22" x14ac:dyDescent="0.35">
      <c r="A850" s="4" t="s">
        <v>1369</v>
      </c>
      <c r="B850" t="s">
        <v>28</v>
      </c>
      <c r="C850" t="s">
        <v>29</v>
      </c>
      <c r="D850" t="s">
        <v>30</v>
      </c>
      <c r="E850" t="s">
        <v>31</v>
      </c>
      <c r="F850" t="s">
        <v>32</v>
      </c>
      <c r="G850" s="6">
        <v>9970</v>
      </c>
      <c r="H850" s="7">
        <v>3</v>
      </c>
      <c r="I850" s="6">
        <v>1495.5</v>
      </c>
      <c r="J850" s="6">
        <v>31405.5</v>
      </c>
      <c r="K850" s="5">
        <v>43541.958333333336</v>
      </c>
      <c r="L850" s="4" t="s">
        <v>1370</v>
      </c>
      <c r="M850" t="s">
        <v>34</v>
      </c>
      <c r="N850" s="6">
        <v>29910</v>
      </c>
      <c r="O850">
        <v>4.7619047620000003</v>
      </c>
      <c r="P850" s="6">
        <v>1495.5</v>
      </c>
      <c r="Q850">
        <v>4.7</v>
      </c>
      <c r="R850" s="6">
        <f>RawSales[[#This Row],[Unit price]]*RawSales[[#This Row],[Quantity]]</f>
        <v>29910</v>
      </c>
      <c r="S850" s="6">
        <f>RawSales[[#This Row],[Subtotal]]*$B$1</f>
        <v>1495.5</v>
      </c>
      <c r="T850" s="6" t="b">
        <f>ROUND(RawSales[[#This Row],[Subtotal]],2)=ROUND(RawSales[[#This Row],[cogs]],2)</f>
        <v>1</v>
      </c>
      <c r="U850" s="6" t="b">
        <f>ROUND(RawSales[[#This Row],[cogs]]*0.05,2)=ROUND(RawSales[[#This Row],[Tax 5%]],2)</f>
        <v>1</v>
      </c>
      <c r="V850" s="6" t="b">
        <f>ROUND(RawSales[[#This Row],[cogs]]+RawSales[[#This Row],[Tax 5%]],2)=ROUND(RawSales[[#This Row],[Sales]],2)</f>
        <v>1</v>
      </c>
    </row>
    <row r="851" spans="1:22" x14ac:dyDescent="0.35">
      <c r="A851" s="4" t="s">
        <v>462</v>
      </c>
      <c r="B851" t="s">
        <v>20</v>
      </c>
      <c r="C851" t="s">
        <v>21</v>
      </c>
      <c r="D851" t="s">
        <v>30</v>
      </c>
      <c r="E851" t="s">
        <v>23</v>
      </c>
      <c r="F851" t="s">
        <v>40</v>
      </c>
      <c r="G851" s="6">
        <v>2631</v>
      </c>
      <c r="H851" s="7">
        <v>5</v>
      </c>
      <c r="I851" s="6">
        <v>657.75</v>
      </c>
      <c r="J851" s="6">
        <v>13812.75</v>
      </c>
      <c r="K851" s="5">
        <v>43482.958333333336</v>
      </c>
      <c r="L851" s="4" t="s">
        <v>464</v>
      </c>
      <c r="M851" t="s">
        <v>51</v>
      </c>
      <c r="N851" s="6">
        <v>13155</v>
      </c>
      <c r="O851">
        <v>4.7619047620000003</v>
      </c>
      <c r="P851" s="6">
        <v>657.75</v>
      </c>
      <c r="Q851">
        <v>8.8000000000000007</v>
      </c>
      <c r="R851" s="6">
        <f>RawSales[[#This Row],[Unit price]]*RawSales[[#This Row],[Quantity]]</f>
        <v>13155</v>
      </c>
      <c r="S851" s="6">
        <f>RawSales[[#This Row],[Subtotal]]*$B$1</f>
        <v>657.75</v>
      </c>
      <c r="T851" s="6" t="b">
        <f>ROUND(RawSales[[#This Row],[Subtotal]],2)=ROUND(RawSales[[#This Row],[cogs]],2)</f>
        <v>1</v>
      </c>
      <c r="U851" s="6" t="b">
        <f>ROUND(RawSales[[#This Row],[cogs]]*0.05,2)=ROUND(RawSales[[#This Row],[Tax 5%]],2)</f>
        <v>1</v>
      </c>
      <c r="V851" s="6" t="b">
        <f>ROUND(RawSales[[#This Row],[cogs]]+RawSales[[#This Row],[Tax 5%]],2)=ROUND(RawSales[[#This Row],[Sales]],2)</f>
        <v>1</v>
      </c>
    </row>
    <row r="852" spans="1:22" x14ac:dyDescent="0.35">
      <c r="A852" s="4" t="s">
        <v>1371</v>
      </c>
      <c r="B852" t="s">
        <v>28</v>
      </c>
      <c r="C852" t="s">
        <v>29</v>
      </c>
      <c r="D852" t="s">
        <v>30</v>
      </c>
      <c r="E852" t="s">
        <v>23</v>
      </c>
      <c r="F852" t="s">
        <v>40</v>
      </c>
      <c r="G852" s="6">
        <v>4571</v>
      </c>
      <c r="H852" s="7">
        <v>3</v>
      </c>
      <c r="I852" s="6">
        <v>685.65</v>
      </c>
      <c r="J852" s="6">
        <v>14398.65</v>
      </c>
      <c r="K852" s="5">
        <v>43549.958333333336</v>
      </c>
      <c r="L852" s="4" t="s">
        <v>1372</v>
      </c>
      <c r="M852" t="s">
        <v>51</v>
      </c>
      <c r="N852" s="6">
        <v>13713</v>
      </c>
      <c r="O852">
        <v>4.7619047620000003</v>
      </c>
      <c r="P852" s="6">
        <v>685.65</v>
      </c>
      <c r="Q852">
        <v>7.7</v>
      </c>
      <c r="R852" s="6">
        <f>RawSales[[#This Row],[Unit price]]*RawSales[[#This Row],[Quantity]]</f>
        <v>13713</v>
      </c>
      <c r="S852" s="6">
        <f>RawSales[[#This Row],[Subtotal]]*$B$1</f>
        <v>685.65000000000009</v>
      </c>
      <c r="T852" s="6" t="b">
        <f>ROUND(RawSales[[#This Row],[Subtotal]],2)=ROUND(RawSales[[#This Row],[cogs]],2)</f>
        <v>1</v>
      </c>
      <c r="U852" s="6" t="b">
        <f>ROUND(RawSales[[#This Row],[cogs]]*0.05,2)=ROUND(RawSales[[#This Row],[Tax 5%]],2)</f>
        <v>1</v>
      </c>
      <c r="V852" s="6" t="b">
        <f>ROUND(RawSales[[#This Row],[cogs]]+RawSales[[#This Row],[Tax 5%]],2)=ROUND(RawSales[[#This Row],[Sales]],2)</f>
        <v>1</v>
      </c>
    </row>
    <row r="853" spans="1:22" x14ac:dyDescent="0.35">
      <c r="A853" s="4" t="s">
        <v>1373</v>
      </c>
      <c r="B853" t="s">
        <v>20</v>
      </c>
      <c r="C853" t="s">
        <v>21</v>
      </c>
      <c r="D853" t="s">
        <v>22</v>
      </c>
      <c r="E853" t="s">
        <v>31</v>
      </c>
      <c r="F853" t="s">
        <v>49</v>
      </c>
      <c r="G853" s="6">
        <v>5545</v>
      </c>
      <c r="H853" s="7">
        <v>1</v>
      </c>
      <c r="I853" s="6">
        <v>277.25</v>
      </c>
      <c r="J853" s="6">
        <v>5822.25</v>
      </c>
      <c r="K853" s="5">
        <v>43521.958333333336</v>
      </c>
      <c r="L853" s="4" t="s">
        <v>1374</v>
      </c>
      <c r="M853" t="s">
        <v>51</v>
      </c>
      <c r="N853" s="6">
        <v>5545</v>
      </c>
      <c r="O853">
        <v>4.7619047620000003</v>
      </c>
      <c r="P853" s="6">
        <v>277.25</v>
      </c>
      <c r="Q853">
        <v>4.9000000000000004</v>
      </c>
      <c r="R853" s="6">
        <f>RawSales[[#This Row],[Unit price]]*RawSales[[#This Row],[Quantity]]</f>
        <v>5545</v>
      </c>
      <c r="S853" s="6">
        <f>RawSales[[#This Row],[Subtotal]]*$B$1</f>
        <v>277.25</v>
      </c>
      <c r="T853" s="6" t="b">
        <f>ROUND(RawSales[[#This Row],[Subtotal]],2)=ROUND(RawSales[[#This Row],[cogs]],2)</f>
        <v>1</v>
      </c>
      <c r="U853" s="6" t="b">
        <f>ROUND(RawSales[[#This Row],[cogs]]*0.05,2)=ROUND(RawSales[[#This Row],[Tax 5%]],2)</f>
        <v>1</v>
      </c>
      <c r="V853" s="6" t="b">
        <f>ROUND(RawSales[[#This Row],[cogs]]+RawSales[[#This Row],[Tax 5%]],2)=ROUND(RawSales[[#This Row],[Sales]],2)</f>
        <v>1</v>
      </c>
    </row>
    <row r="854" spans="1:22" x14ac:dyDescent="0.35">
      <c r="A854" s="4" t="s">
        <v>1375</v>
      </c>
      <c r="B854" t="s">
        <v>38</v>
      </c>
      <c r="C854" t="s">
        <v>39</v>
      </c>
      <c r="D854" t="s">
        <v>30</v>
      </c>
      <c r="E854" t="s">
        <v>23</v>
      </c>
      <c r="F854" t="s">
        <v>62</v>
      </c>
      <c r="G854" s="6">
        <v>7398</v>
      </c>
      <c r="H854" s="7">
        <v>7</v>
      </c>
      <c r="I854" s="6">
        <v>2589.3000000000002</v>
      </c>
      <c r="J854" s="6">
        <v>54375.3</v>
      </c>
      <c r="K854" s="5">
        <v>43525.958333333336</v>
      </c>
      <c r="L854" s="4" t="s">
        <v>1169</v>
      </c>
      <c r="M854" t="s">
        <v>34</v>
      </c>
      <c r="N854" s="6">
        <v>51786</v>
      </c>
      <c r="O854">
        <v>4.7619047620000003</v>
      </c>
      <c r="P854" s="6">
        <v>2589.3000000000002</v>
      </c>
      <c r="Q854">
        <v>4.0999999999999996</v>
      </c>
      <c r="R854" s="6">
        <f>RawSales[[#This Row],[Unit price]]*RawSales[[#This Row],[Quantity]]</f>
        <v>51786</v>
      </c>
      <c r="S854" s="6">
        <f>RawSales[[#This Row],[Subtotal]]*$B$1</f>
        <v>2589.3000000000002</v>
      </c>
      <c r="T854" s="6" t="b">
        <f>ROUND(RawSales[[#This Row],[Subtotal]],2)=ROUND(RawSales[[#This Row],[cogs]],2)</f>
        <v>1</v>
      </c>
      <c r="U854" s="6" t="b">
        <f>ROUND(RawSales[[#This Row],[cogs]]*0.05,2)=ROUND(RawSales[[#This Row],[Tax 5%]],2)</f>
        <v>1</v>
      </c>
      <c r="V854" s="6" t="b">
        <f>ROUND(RawSales[[#This Row],[cogs]]+RawSales[[#This Row],[Tax 5%]],2)=ROUND(RawSales[[#This Row],[Sales]],2)</f>
        <v>1</v>
      </c>
    </row>
    <row r="855" spans="1:22" x14ac:dyDescent="0.35">
      <c r="A855" s="4" t="s">
        <v>1376</v>
      </c>
      <c r="B855" t="s">
        <v>38</v>
      </c>
      <c r="C855" t="s">
        <v>39</v>
      </c>
      <c r="D855" t="s">
        <v>22</v>
      </c>
      <c r="E855" t="s">
        <v>31</v>
      </c>
      <c r="F855" t="s">
        <v>49</v>
      </c>
      <c r="G855" s="6">
        <v>9698</v>
      </c>
      <c r="H855" s="7">
        <v>4</v>
      </c>
      <c r="I855" s="6">
        <v>1939.6</v>
      </c>
      <c r="J855" s="6">
        <v>40731.599999999999</v>
      </c>
      <c r="K855" s="5">
        <v>43501.958333333336</v>
      </c>
      <c r="L855" s="4" t="s">
        <v>1235</v>
      </c>
      <c r="M855" t="s">
        <v>34</v>
      </c>
      <c r="N855" s="6">
        <v>38792</v>
      </c>
      <c r="O855">
        <v>4.7619047620000003</v>
      </c>
      <c r="P855" s="6">
        <v>1939.6</v>
      </c>
      <c r="Q855">
        <v>9.4</v>
      </c>
      <c r="R855" s="6">
        <f>RawSales[[#This Row],[Unit price]]*RawSales[[#This Row],[Quantity]]</f>
        <v>38792</v>
      </c>
      <c r="S855" s="6">
        <f>RawSales[[#This Row],[Subtotal]]*$B$1</f>
        <v>1939.6000000000001</v>
      </c>
      <c r="T855" s="6" t="b">
        <f>ROUND(RawSales[[#This Row],[Subtotal]],2)=ROUND(RawSales[[#This Row],[cogs]],2)</f>
        <v>1</v>
      </c>
      <c r="U855" s="6" t="b">
        <f>ROUND(RawSales[[#This Row],[cogs]]*0.05,2)=ROUND(RawSales[[#This Row],[Tax 5%]],2)</f>
        <v>1</v>
      </c>
      <c r="V855" s="6" t="b">
        <f>ROUND(RawSales[[#This Row],[cogs]]+RawSales[[#This Row],[Tax 5%]],2)=ROUND(RawSales[[#This Row],[Sales]],2)</f>
        <v>1</v>
      </c>
    </row>
    <row r="856" spans="1:22" x14ac:dyDescent="0.35">
      <c r="A856" s="4" t="s">
        <v>1377</v>
      </c>
      <c r="B856" t="s">
        <v>28</v>
      </c>
      <c r="C856" t="s">
        <v>29</v>
      </c>
      <c r="D856" t="s">
        <v>30</v>
      </c>
      <c r="E856" t="s">
        <v>23</v>
      </c>
      <c r="F856" t="s">
        <v>40</v>
      </c>
      <c r="G856" s="6">
        <v>4300</v>
      </c>
      <c r="H856" s="7">
        <v>4</v>
      </c>
      <c r="I856" s="6">
        <v>860</v>
      </c>
      <c r="J856" s="6">
        <v>18060</v>
      </c>
      <c r="K856" s="5">
        <v>43495.958333333336</v>
      </c>
      <c r="L856" s="4" t="s">
        <v>1378</v>
      </c>
      <c r="M856" t="s">
        <v>34</v>
      </c>
      <c r="N856" s="6">
        <v>17200</v>
      </c>
      <c r="O856">
        <v>4.7619047620000003</v>
      </c>
      <c r="P856" s="6">
        <v>860</v>
      </c>
      <c r="Q856">
        <v>7.6</v>
      </c>
      <c r="R856" s="6">
        <f>RawSales[[#This Row],[Unit price]]*RawSales[[#This Row],[Quantity]]</f>
        <v>17200</v>
      </c>
      <c r="S856" s="6">
        <f>RawSales[[#This Row],[Subtotal]]*$B$1</f>
        <v>860</v>
      </c>
      <c r="T856" s="6" t="b">
        <f>ROUND(RawSales[[#This Row],[Subtotal]],2)=ROUND(RawSales[[#This Row],[cogs]],2)</f>
        <v>1</v>
      </c>
      <c r="U856" s="6" t="b">
        <f>ROUND(RawSales[[#This Row],[cogs]]*0.05,2)=ROUND(RawSales[[#This Row],[Tax 5%]],2)</f>
        <v>1</v>
      </c>
      <c r="V856" s="6" t="b">
        <f>ROUND(RawSales[[#This Row],[cogs]]+RawSales[[#This Row],[Tax 5%]],2)=ROUND(RawSales[[#This Row],[Sales]],2)</f>
        <v>1</v>
      </c>
    </row>
    <row r="857" spans="1:22" x14ac:dyDescent="0.35">
      <c r="A857" s="4" t="s">
        <v>1379</v>
      </c>
      <c r="B857" t="s">
        <v>28</v>
      </c>
      <c r="C857" t="s">
        <v>29</v>
      </c>
      <c r="D857" t="s">
        <v>30</v>
      </c>
      <c r="E857" t="s">
        <v>23</v>
      </c>
      <c r="F857" t="s">
        <v>62</v>
      </c>
      <c r="G857" s="6">
        <v>6743</v>
      </c>
      <c r="H857" s="7">
        <v>5</v>
      </c>
      <c r="I857" s="6">
        <v>1685.75</v>
      </c>
      <c r="J857" s="6">
        <v>35400.75</v>
      </c>
      <c r="K857" s="5">
        <v>43529.958333333336</v>
      </c>
      <c r="L857" s="4" t="s">
        <v>1380</v>
      </c>
      <c r="M857" t="s">
        <v>34</v>
      </c>
      <c r="N857" s="6">
        <v>33715</v>
      </c>
      <c r="O857">
        <v>4.7619047620000003</v>
      </c>
      <c r="P857" s="6">
        <v>1685.75</v>
      </c>
      <c r="Q857">
        <v>6.3</v>
      </c>
      <c r="R857" s="6">
        <f>RawSales[[#This Row],[Unit price]]*RawSales[[#This Row],[Quantity]]</f>
        <v>33715</v>
      </c>
      <c r="S857" s="6">
        <f>RawSales[[#This Row],[Subtotal]]*$B$1</f>
        <v>1685.75</v>
      </c>
      <c r="T857" s="6" t="b">
        <f>ROUND(RawSales[[#This Row],[Subtotal]],2)=ROUND(RawSales[[#This Row],[cogs]],2)</f>
        <v>1</v>
      </c>
      <c r="U857" s="6" t="b">
        <f>ROUND(RawSales[[#This Row],[cogs]]*0.05,2)=ROUND(RawSales[[#This Row],[Tax 5%]],2)</f>
        <v>1</v>
      </c>
      <c r="V857" s="6" t="b">
        <f>ROUND(RawSales[[#This Row],[cogs]]+RawSales[[#This Row],[Tax 5%]],2)=ROUND(RawSales[[#This Row],[Sales]],2)</f>
        <v>1</v>
      </c>
    </row>
    <row r="858" spans="1:22" x14ac:dyDescent="0.35">
      <c r="A858" s="4" t="s">
        <v>1381</v>
      </c>
      <c r="B858" t="s">
        <v>20</v>
      </c>
      <c r="C858" t="s">
        <v>21</v>
      </c>
      <c r="D858" t="s">
        <v>22</v>
      </c>
      <c r="E858" t="s">
        <v>23</v>
      </c>
      <c r="F858" t="s">
        <v>49</v>
      </c>
      <c r="G858" s="6">
        <v>5365</v>
      </c>
      <c r="H858" s="7">
        <v>7</v>
      </c>
      <c r="I858" s="6">
        <v>1877.75</v>
      </c>
      <c r="J858" s="6">
        <v>39432.75</v>
      </c>
      <c r="K858" s="5">
        <v>43505.958333333336</v>
      </c>
      <c r="L858" s="4" t="s">
        <v>1382</v>
      </c>
      <c r="M858" t="s">
        <v>34</v>
      </c>
      <c r="N858" s="6">
        <v>37555</v>
      </c>
      <c r="O858">
        <v>4.7619047620000003</v>
      </c>
      <c r="P858" s="6">
        <v>1877.75</v>
      </c>
      <c r="Q858">
        <v>5.2</v>
      </c>
      <c r="R858" s="6">
        <f>RawSales[[#This Row],[Unit price]]*RawSales[[#This Row],[Quantity]]</f>
        <v>37555</v>
      </c>
      <c r="S858" s="6">
        <f>RawSales[[#This Row],[Subtotal]]*$B$1</f>
        <v>1877.75</v>
      </c>
      <c r="T858" s="6" t="b">
        <f>ROUND(RawSales[[#This Row],[Subtotal]],2)=ROUND(RawSales[[#This Row],[cogs]],2)</f>
        <v>1</v>
      </c>
      <c r="U858" s="6" t="b">
        <f>ROUND(RawSales[[#This Row],[cogs]]*0.05,2)=ROUND(RawSales[[#This Row],[Tax 5%]],2)</f>
        <v>1</v>
      </c>
      <c r="V858" s="6" t="b">
        <f>ROUND(RawSales[[#This Row],[cogs]]+RawSales[[#This Row],[Tax 5%]],2)=ROUND(RawSales[[#This Row],[Sales]],2)</f>
        <v>1</v>
      </c>
    </row>
    <row r="859" spans="1:22" x14ac:dyDescent="0.35">
      <c r="A859" s="4" t="s">
        <v>1383</v>
      </c>
      <c r="B859" t="s">
        <v>20</v>
      </c>
      <c r="C859" t="s">
        <v>21</v>
      </c>
      <c r="D859" t="s">
        <v>22</v>
      </c>
      <c r="E859" t="s">
        <v>23</v>
      </c>
      <c r="F859" t="s">
        <v>62</v>
      </c>
      <c r="G859" s="6">
        <v>1581</v>
      </c>
      <c r="H859" s="7">
        <v>10</v>
      </c>
      <c r="I859" s="6">
        <v>790.5</v>
      </c>
      <c r="J859" s="6">
        <v>16600.5</v>
      </c>
      <c r="K859" s="5">
        <v>43529.958333333336</v>
      </c>
      <c r="L859" s="4" t="s">
        <v>1143</v>
      </c>
      <c r="M859" t="s">
        <v>51</v>
      </c>
      <c r="N859" s="6">
        <v>15810</v>
      </c>
      <c r="O859">
        <v>4.7619047620000003</v>
      </c>
      <c r="P859" s="6">
        <v>790.5</v>
      </c>
      <c r="Q859">
        <v>8.6</v>
      </c>
      <c r="R859" s="6">
        <f>RawSales[[#This Row],[Unit price]]*RawSales[[#This Row],[Quantity]]</f>
        <v>15810</v>
      </c>
      <c r="S859" s="6">
        <f>RawSales[[#This Row],[Subtotal]]*$B$1</f>
        <v>790.5</v>
      </c>
      <c r="T859" s="6" t="b">
        <f>ROUND(RawSales[[#This Row],[Subtotal]],2)=ROUND(RawSales[[#This Row],[cogs]],2)</f>
        <v>1</v>
      </c>
      <c r="U859" s="6" t="b">
        <f>ROUND(RawSales[[#This Row],[cogs]]*0.05,2)=ROUND(RawSales[[#This Row],[Tax 5%]],2)</f>
        <v>1</v>
      </c>
      <c r="V859" s="6" t="b">
        <f>ROUND(RawSales[[#This Row],[cogs]]+RawSales[[#This Row],[Tax 5%]],2)=ROUND(RawSales[[#This Row],[Sales]],2)</f>
        <v>1</v>
      </c>
    </row>
    <row r="860" spans="1:22" x14ac:dyDescent="0.35">
      <c r="A860" s="4" t="s">
        <v>1384</v>
      </c>
      <c r="B860" t="s">
        <v>20</v>
      </c>
      <c r="C860" t="s">
        <v>21</v>
      </c>
      <c r="D860" t="s">
        <v>22</v>
      </c>
      <c r="E860" t="s">
        <v>23</v>
      </c>
      <c r="F860" t="s">
        <v>62</v>
      </c>
      <c r="G860" s="6">
        <v>5226</v>
      </c>
      <c r="H860" s="7">
        <v>10</v>
      </c>
      <c r="I860" s="6">
        <v>2613</v>
      </c>
      <c r="J860" s="6">
        <v>54873</v>
      </c>
      <c r="K860" s="5">
        <v>43532.958333333336</v>
      </c>
      <c r="L860" s="4" t="s">
        <v>478</v>
      </c>
      <c r="M860" t="s">
        <v>51</v>
      </c>
      <c r="N860" s="6">
        <v>52260</v>
      </c>
      <c r="O860">
        <v>4.7619047620000003</v>
      </c>
      <c r="P860" s="6">
        <v>2613</v>
      </c>
      <c r="Q860">
        <v>6.2</v>
      </c>
      <c r="R860" s="6">
        <f>RawSales[[#This Row],[Unit price]]*RawSales[[#This Row],[Quantity]]</f>
        <v>52260</v>
      </c>
      <c r="S860" s="6">
        <f>RawSales[[#This Row],[Subtotal]]*$B$1</f>
        <v>2613</v>
      </c>
      <c r="T860" s="6" t="b">
        <f>ROUND(RawSales[[#This Row],[Subtotal]],2)=ROUND(RawSales[[#This Row],[cogs]],2)</f>
        <v>1</v>
      </c>
      <c r="U860" s="6" t="b">
        <f>ROUND(RawSales[[#This Row],[cogs]]*0.05,2)=ROUND(RawSales[[#This Row],[Tax 5%]],2)</f>
        <v>1</v>
      </c>
      <c r="V860" s="6" t="b">
        <f>ROUND(RawSales[[#This Row],[cogs]]+RawSales[[#This Row],[Tax 5%]],2)=ROUND(RawSales[[#This Row],[Sales]],2)</f>
        <v>1</v>
      </c>
    </row>
    <row r="861" spans="1:22" x14ac:dyDescent="0.35">
      <c r="A861" s="4" t="s">
        <v>1385</v>
      </c>
      <c r="B861" t="s">
        <v>38</v>
      </c>
      <c r="C861" t="s">
        <v>39</v>
      </c>
      <c r="D861" t="s">
        <v>22</v>
      </c>
      <c r="E861" t="s">
        <v>23</v>
      </c>
      <c r="F861" t="s">
        <v>24</v>
      </c>
      <c r="G861" s="6">
        <v>8948</v>
      </c>
      <c r="H861" s="7">
        <v>10</v>
      </c>
      <c r="I861" s="6">
        <v>4474</v>
      </c>
      <c r="J861" s="6">
        <v>93954</v>
      </c>
      <c r="K861" s="5">
        <v>43470.958333333336</v>
      </c>
      <c r="L861" s="4" t="s">
        <v>884</v>
      </c>
      <c r="M861" t="s">
        <v>51</v>
      </c>
      <c r="N861" s="6">
        <v>89480</v>
      </c>
      <c r="O861">
        <v>4.7619047620000003</v>
      </c>
      <c r="P861" s="6">
        <v>4474</v>
      </c>
      <c r="Q861">
        <v>9.6</v>
      </c>
      <c r="R861" s="6">
        <f>RawSales[[#This Row],[Unit price]]*RawSales[[#This Row],[Quantity]]</f>
        <v>89480</v>
      </c>
      <c r="S861" s="6">
        <f>RawSales[[#This Row],[Subtotal]]*$B$1</f>
        <v>4474</v>
      </c>
      <c r="T861" s="6" t="b">
        <f>ROUND(RawSales[[#This Row],[Subtotal]],2)=ROUND(RawSales[[#This Row],[cogs]],2)</f>
        <v>1</v>
      </c>
      <c r="U861" s="6" t="b">
        <f>ROUND(RawSales[[#This Row],[cogs]]*0.05,2)=ROUND(RawSales[[#This Row],[Tax 5%]],2)</f>
        <v>1</v>
      </c>
      <c r="V861" s="6" t="b">
        <f>ROUND(RawSales[[#This Row],[cogs]]+RawSales[[#This Row],[Tax 5%]],2)=ROUND(RawSales[[#This Row],[Sales]],2)</f>
        <v>1</v>
      </c>
    </row>
    <row r="862" spans="1:22" x14ac:dyDescent="0.35">
      <c r="A862" s="4" t="s">
        <v>1386</v>
      </c>
      <c r="B862" t="s">
        <v>20</v>
      </c>
      <c r="C862" t="s">
        <v>21</v>
      </c>
      <c r="D862" t="s">
        <v>30</v>
      </c>
      <c r="E862" t="s">
        <v>23</v>
      </c>
      <c r="F862" t="s">
        <v>32</v>
      </c>
      <c r="G862" s="6">
        <v>2832</v>
      </c>
      <c r="H862" s="7">
        <v>5</v>
      </c>
      <c r="I862" s="6">
        <v>708</v>
      </c>
      <c r="J862" s="6">
        <v>14868</v>
      </c>
      <c r="K862" s="5">
        <v>43534.958333333336</v>
      </c>
      <c r="L862" s="4" t="s">
        <v>1387</v>
      </c>
      <c r="M862" t="s">
        <v>34</v>
      </c>
      <c r="N862" s="6">
        <v>14160</v>
      </c>
      <c r="O862">
        <v>4.7619047620000003</v>
      </c>
      <c r="P862" s="6">
        <v>708</v>
      </c>
      <c r="Q862">
        <v>6.2</v>
      </c>
      <c r="R862" s="6">
        <f>RawSales[[#This Row],[Unit price]]*RawSales[[#This Row],[Quantity]]</f>
        <v>14160</v>
      </c>
      <c r="S862" s="6">
        <f>RawSales[[#This Row],[Subtotal]]*$B$1</f>
        <v>708</v>
      </c>
      <c r="T862" s="6" t="b">
        <f>ROUND(RawSales[[#This Row],[Subtotal]],2)=ROUND(RawSales[[#This Row],[cogs]],2)</f>
        <v>1</v>
      </c>
      <c r="U862" s="6" t="b">
        <f>ROUND(RawSales[[#This Row],[cogs]]*0.05,2)=ROUND(RawSales[[#This Row],[Tax 5%]],2)</f>
        <v>1</v>
      </c>
      <c r="V862" s="6" t="b">
        <f>ROUND(RawSales[[#This Row],[cogs]]+RawSales[[#This Row],[Tax 5%]],2)=ROUND(RawSales[[#This Row],[Sales]],2)</f>
        <v>1</v>
      </c>
    </row>
    <row r="863" spans="1:22" x14ac:dyDescent="0.35">
      <c r="A863" s="4" t="s">
        <v>1388</v>
      </c>
      <c r="B863" t="s">
        <v>38</v>
      </c>
      <c r="C863" t="s">
        <v>39</v>
      </c>
      <c r="D863" t="s">
        <v>22</v>
      </c>
      <c r="E863" t="s">
        <v>23</v>
      </c>
      <c r="F863" t="s">
        <v>43</v>
      </c>
      <c r="G863" s="6">
        <v>2112</v>
      </c>
      <c r="H863" s="7">
        <v>2</v>
      </c>
      <c r="I863" s="6">
        <v>211.2</v>
      </c>
      <c r="J863" s="6">
        <v>4435.2</v>
      </c>
      <c r="K863" s="5">
        <v>43467.958333333336</v>
      </c>
      <c r="L863" s="4" t="s">
        <v>327</v>
      </c>
      <c r="M863" t="s">
        <v>26</v>
      </c>
      <c r="N863" s="6">
        <v>4224</v>
      </c>
      <c r="O863">
        <v>4.7619047620000003</v>
      </c>
      <c r="P863" s="6">
        <v>211.2</v>
      </c>
      <c r="Q863">
        <v>9.6999999999999993</v>
      </c>
      <c r="R863" s="6">
        <f>RawSales[[#This Row],[Unit price]]*RawSales[[#This Row],[Quantity]]</f>
        <v>4224</v>
      </c>
      <c r="S863" s="6">
        <f>RawSales[[#This Row],[Subtotal]]*$B$1</f>
        <v>211.20000000000002</v>
      </c>
      <c r="T863" s="6" t="b">
        <f>ROUND(RawSales[[#This Row],[Subtotal]],2)=ROUND(RawSales[[#This Row],[cogs]],2)</f>
        <v>1</v>
      </c>
      <c r="U863" s="6" t="b">
        <f>ROUND(RawSales[[#This Row],[cogs]]*0.05,2)=ROUND(RawSales[[#This Row],[Tax 5%]],2)</f>
        <v>1</v>
      </c>
      <c r="V863" s="6" t="b">
        <f>ROUND(RawSales[[#This Row],[cogs]]+RawSales[[#This Row],[Tax 5%]],2)=ROUND(RawSales[[#This Row],[Sales]],2)</f>
        <v>1</v>
      </c>
    </row>
    <row r="864" spans="1:22" x14ac:dyDescent="0.35">
      <c r="A864" s="4" t="s">
        <v>1389</v>
      </c>
      <c r="B864" t="s">
        <v>38</v>
      </c>
      <c r="C864" t="s">
        <v>39</v>
      </c>
      <c r="D864" t="s">
        <v>22</v>
      </c>
      <c r="E864" t="s">
        <v>31</v>
      </c>
      <c r="F864" t="s">
        <v>40</v>
      </c>
      <c r="G864" s="6">
        <v>1877</v>
      </c>
      <c r="H864" s="7">
        <v>6</v>
      </c>
      <c r="I864" s="6">
        <v>563.1</v>
      </c>
      <c r="J864" s="6">
        <v>11825.1</v>
      </c>
      <c r="K864" s="5">
        <v>43492.958333333336</v>
      </c>
      <c r="L864" s="4" t="s">
        <v>598</v>
      </c>
      <c r="M864" t="s">
        <v>51</v>
      </c>
      <c r="N864" s="6">
        <v>11262</v>
      </c>
      <c r="O864">
        <v>4.7619047620000003</v>
      </c>
      <c r="P864" s="6">
        <v>563.1</v>
      </c>
      <c r="Q864">
        <v>5.5</v>
      </c>
      <c r="R864" s="6">
        <f>RawSales[[#This Row],[Unit price]]*RawSales[[#This Row],[Quantity]]</f>
        <v>11262</v>
      </c>
      <c r="S864" s="6">
        <f>RawSales[[#This Row],[Subtotal]]*$B$1</f>
        <v>563.1</v>
      </c>
      <c r="T864" s="6" t="b">
        <f>ROUND(RawSales[[#This Row],[Subtotal]],2)=ROUND(RawSales[[#This Row],[cogs]],2)</f>
        <v>1</v>
      </c>
      <c r="U864" s="6" t="b">
        <f>ROUND(RawSales[[#This Row],[cogs]]*0.05,2)=ROUND(RawSales[[#This Row],[Tax 5%]],2)</f>
        <v>1</v>
      </c>
      <c r="V864" s="6" t="b">
        <f>ROUND(RawSales[[#This Row],[cogs]]+RawSales[[#This Row],[Tax 5%]],2)=ROUND(RawSales[[#This Row],[Sales]],2)</f>
        <v>1</v>
      </c>
    </row>
    <row r="865" spans="1:22" x14ac:dyDescent="0.35">
      <c r="A865" s="4" t="s">
        <v>1390</v>
      </c>
      <c r="B865" t="s">
        <v>38</v>
      </c>
      <c r="C865" t="s">
        <v>39</v>
      </c>
      <c r="D865" t="s">
        <v>22</v>
      </c>
      <c r="E865" t="s">
        <v>31</v>
      </c>
      <c r="F865" t="s">
        <v>62</v>
      </c>
      <c r="G865" s="6">
        <v>2525</v>
      </c>
      <c r="H865" s="7">
        <v>5</v>
      </c>
      <c r="I865" s="6">
        <v>631.25</v>
      </c>
      <c r="J865" s="6">
        <v>13256.25</v>
      </c>
      <c r="K865" s="5">
        <v>43543.958333333336</v>
      </c>
      <c r="L865" s="4" t="s">
        <v>1391</v>
      </c>
      <c r="M865" t="s">
        <v>26</v>
      </c>
      <c r="N865" s="6">
        <v>12625</v>
      </c>
      <c r="O865">
        <v>4.7619047620000003</v>
      </c>
      <c r="P865" s="6">
        <v>631.25</v>
      </c>
      <c r="Q865">
        <v>6.1</v>
      </c>
      <c r="R865" s="6">
        <f>RawSales[[#This Row],[Unit price]]*RawSales[[#This Row],[Quantity]]</f>
        <v>12625</v>
      </c>
      <c r="S865" s="6">
        <f>RawSales[[#This Row],[Subtotal]]*$B$1</f>
        <v>631.25</v>
      </c>
      <c r="T865" s="6" t="b">
        <f>ROUND(RawSales[[#This Row],[Subtotal]],2)=ROUND(RawSales[[#This Row],[cogs]],2)</f>
        <v>1</v>
      </c>
      <c r="U865" s="6" t="b">
        <f>ROUND(RawSales[[#This Row],[cogs]]*0.05,2)=ROUND(RawSales[[#This Row],[Tax 5%]],2)</f>
        <v>1</v>
      </c>
      <c r="V865" s="6" t="b">
        <f>ROUND(RawSales[[#This Row],[cogs]]+RawSales[[#This Row],[Tax 5%]],2)=ROUND(RawSales[[#This Row],[Sales]],2)</f>
        <v>1</v>
      </c>
    </row>
    <row r="866" spans="1:22" x14ac:dyDescent="0.35">
      <c r="A866" s="4" t="s">
        <v>1392</v>
      </c>
      <c r="B866" t="s">
        <v>38</v>
      </c>
      <c r="C866" t="s">
        <v>39</v>
      </c>
      <c r="D866" t="s">
        <v>30</v>
      </c>
      <c r="E866" t="s">
        <v>23</v>
      </c>
      <c r="F866" t="s">
        <v>24</v>
      </c>
      <c r="G866" s="6">
        <v>4318</v>
      </c>
      <c r="H866" s="7">
        <v>8</v>
      </c>
      <c r="I866" s="6">
        <v>1727.2</v>
      </c>
      <c r="J866" s="6">
        <v>36271.199999999997</v>
      </c>
      <c r="K866" s="5">
        <v>43483.958333333336</v>
      </c>
      <c r="L866" s="4" t="s">
        <v>1093</v>
      </c>
      <c r="M866" t="s">
        <v>51</v>
      </c>
      <c r="N866" s="6">
        <v>34544</v>
      </c>
      <c r="O866">
        <v>4.7619047620000003</v>
      </c>
      <c r="P866" s="6">
        <v>1727.2</v>
      </c>
      <c r="Q866">
        <v>8.3000000000000007</v>
      </c>
      <c r="R866" s="6">
        <f>RawSales[[#This Row],[Unit price]]*RawSales[[#This Row],[Quantity]]</f>
        <v>34544</v>
      </c>
      <c r="S866" s="6">
        <f>RawSales[[#This Row],[Subtotal]]*$B$1</f>
        <v>1727.2</v>
      </c>
      <c r="T866" s="6" t="b">
        <f>ROUND(RawSales[[#This Row],[Subtotal]],2)=ROUND(RawSales[[#This Row],[cogs]],2)</f>
        <v>1</v>
      </c>
      <c r="U866" s="6" t="b">
        <f>ROUND(RawSales[[#This Row],[cogs]]*0.05,2)=ROUND(RawSales[[#This Row],[Tax 5%]],2)</f>
        <v>1</v>
      </c>
      <c r="V866" s="6" t="b">
        <f>ROUND(RawSales[[#This Row],[cogs]]+RawSales[[#This Row],[Tax 5%]],2)=ROUND(RawSales[[#This Row],[Sales]],2)</f>
        <v>1</v>
      </c>
    </row>
    <row r="867" spans="1:22" x14ac:dyDescent="0.35">
      <c r="A867" s="4" t="s">
        <v>1393</v>
      </c>
      <c r="B867" t="s">
        <v>20</v>
      </c>
      <c r="C867" t="s">
        <v>21</v>
      </c>
      <c r="D867" t="s">
        <v>30</v>
      </c>
      <c r="E867" t="s">
        <v>31</v>
      </c>
      <c r="F867" t="s">
        <v>62</v>
      </c>
      <c r="G867" s="6">
        <v>4558</v>
      </c>
      <c r="H867" s="7">
        <v>7</v>
      </c>
      <c r="I867" s="6">
        <v>1595.3</v>
      </c>
      <c r="J867" s="6">
        <v>33501.300000000003</v>
      </c>
      <c r="K867" s="5">
        <v>43477.958333333336</v>
      </c>
      <c r="L867" s="4" t="s">
        <v>1394</v>
      </c>
      <c r="M867" t="s">
        <v>26</v>
      </c>
      <c r="N867" s="6">
        <v>31906</v>
      </c>
      <c r="O867">
        <v>4.7619047620000003</v>
      </c>
      <c r="P867" s="6">
        <v>1595.3</v>
      </c>
      <c r="Q867">
        <v>5</v>
      </c>
      <c r="R867" s="6">
        <f>RawSales[[#This Row],[Unit price]]*RawSales[[#This Row],[Quantity]]</f>
        <v>31906</v>
      </c>
      <c r="S867" s="6">
        <f>RawSales[[#This Row],[Subtotal]]*$B$1</f>
        <v>1595.3000000000002</v>
      </c>
      <c r="T867" s="6" t="b">
        <f>ROUND(RawSales[[#This Row],[Subtotal]],2)=ROUND(RawSales[[#This Row],[cogs]],2)</f>
        <v>1</v>
      </c>
      <c r="U867" s="6" t="b">
        <f>ROUND(RawSales[[#This Row],[cogs]]*0.05,2)=ROUND(RawSales[[#This Row],[Tax 5%]],2)</f>
        <v>1</v>
      </c>
      <c r="V867" s="6" t="b">
        <f>ROUND(RawSales[[#This Row],[cogs]]+RawSales[[#This Row],[Tax 5%]],2)=ROUND(RawSales[[#This Row],[Sales]],2)</f>
        <v>1</v>
      </c>
    </row>
    <row r="868" spans="1:22" x14ac:dyDescent="0.35">
      <c r="A868" s="4" t="s">
        <v>1395</v>
      </c>
      <c r="B868" t="s">
        <v>20</v>
      </c>
      <c r="C868" t="s">
        <v>21</v>
      </c>
      <c r="D868" t="s">
        <v>22</v>
      </c>
      <c r="E868" t="s">
        <v>31</v>
      </c>
      <c r="F868" t="s">
        <v>62</v>
      </c>
      <c r="G868" s="6">
        <v>6952</v>
      </c>
      <c r="H868" s="7">
        <v>7</v>
      </c>
      <c r="I868" s="6">
        <v>2433.1999999999998</v>
      </c>
      <c r="J868" s="6">
        <v>51097.2</v>
      </c>
      <c r="K868" s="5">
        <v>43496.958333333336</v>
      </c>
      <c r="L868" s="4" t="s">
        <v>459</v>
      </c>
      <c r="M868" t="s">
        <v>51</v>
      </c>
      <c r="N868" s="6">
        <v>48664</v>
      </c>
      <c r="O868">
        <v>4.7619047620000003</v>
      </c>
      <c r="P868" s="6">
        <v>2433.1999999999998</v>
      </c>
      <c r="Q868">
        <v>8.5</v>
      </c>
      <c r="R868" s="6">
        <f>RawSales[[#This Row],[Unit price]]*RawSales[[#This Row],[Quantity]]</f>
        <v>48664</v>
      </c>
      <c r="S868" s="6">
        <f>RawSales[[#This Row],[Subtotal]]*$B$1</f>
        <v>2433.2000000000003</v>
      </c>
      <c r="T868" s="6" t="b">
        <f>ROUND(RawSales[[#This Row],[Subtotal]],2)=ROUND(RawSales[[#This Row],[cogs]],2)</f>
        <v>1</v>
      </c>
      <c r="U868" s="6" t="b">
        <f>ROUND(RawSales[[#This Row],[cogs]]*0.05,2)=ROUND(RawSales[[#This Row],[Tax 5%]],2)</f>
        <v>1</v>
      </c>
      <c r="V868" s="6" t="b">
        <f>ROUND(RawSales[[#This Row],[cogs]]+RawSales[[#This Row],[Tax 5%]],2)=ROUND(RawSales[[#This Row],[Sales]],2)</f>
        <v>1</v>
      </c>
    </row>
    <row r="869" spans="1:22" x14ac:dyDescent="0.35">
      <c r="A869" s="4" t="s">
        <v>1396</v>
      </c>
      <c r="B869" t="s">
        <v>20</v>
      </c>
      <c r="C869" t="s">
        <v>21</v>
      </c>
      <c r="D869" t="s">
        <v>22</v>
      </c>
      <c r="E869" t="s">
        <v>23</v>
      </c>
      <c r="F869" t="s">
        <v>62</v>
      </c>
      <c r="G869" s="6">
        <v>6262</v>
      </c>
      <c r="H869" s="7">
        <v>5</v>
      </c>
      <c r="I869" s="6">
        <v>1565.5</v>
      </c>
      <c r="J869" s="6">
        <v>32875.5</v>
      </c>
      <c r="K869" s="5">
        <v>43533.958333333336</v>
      </c>
      <c r="L869" s="4" t="s">
        <v>1397</v>
      </c>
      <c r="M869" t="s">
        <v>34</v>
      </c>
      <c r="N869" s="6">
        <v>31310</v>
      </c>
      <c r="O869">
        <v>4.7619047620000003</v>
      </c>
      <c r="P869" s="6">
        <v>1565.5</v>
      </c>
      <c r="Q869">
        <v>7</v>
      </c>
      <c r="R869" s="6">
        <f>RawSales[[#This Row],[Unit price]]*RawSales[[#This Row],[Quantity]]</f>
        <v>31310</v>
      </c>
      <c r="S869" s="6">
        <f>RawSales[[#This Row],[Subtotal]]*$B$1</f>
        <v>1565.5</v>
      </c>
      <c r="T869" s="6" t="b">
        <f>ROUND(RawSales[[#This Row],[Subtotal]],2)=ROUND(RawSales[[#This Row],[cogs]],2)</f>
        <v>1</v>
      </c>
      <c r="U869" s="6" t="b">
        <f>ROUND(RawSales[[#This Row],[cogs]]*0.05,2)=ROUND(RawSales[[#This Row],[Tax 5%]],2)</f>
        <v>1</v>
      </c>
      <c r="V869" s="6" t="b">
        <f>ROUND(RawSales[[#This Row],[cogs]]+RawSales[[#This Row],[Tax 5%]],2)=ROUND(RawSales[[#This Row],[Sales]],2)</f>
        <v>1</v>
      </c>
    </row>
    <row r="870" spans="1:22" x14ac:dyDescent="0.35">
      <c r="A870" s="4" t="s">
        <v>1398</v>
      </c>
      <c r="B870" t="s">
        <v>20</v>
      </c>
      <c r="C870" t="s">
        <v>21</v>
      </c>
      <c r="D870" t="s">
        <v>22</v>
      </c>
      <c r="E870" t="s">
        <v>31</v>
      </c>
      <c r="F870" t="s">
        <v>32</v>
      </c>
      <c r="G870" s="6">
        <v>6265</v>
      </c>
      <c r="H870" s="7">
        <v>4</v>
      </c>
      <c r="I870" s="6">
        <v>1253</v>
      </c>
      <c r="J870" s="6">
        <v>26313</v>
      </c>
      <c r="K870" s="5">
        <v>43469.958333333336</v>
      </c>
      <c r="L870" s="4" t="s">
        <v>427</v>
      </c>
      <c r="M870" t="s">
        <v>26</v>
      </c>
      <c r="N870" s="6">
        <v>25060</v>
      </c>
      <c r="O870">
        <v>4.7619047620000003</v>
      </c>
      <c r="P870" s="6">
        <v>1253</v>
      </c>
      <c r="Q870">
        <v>4.2</v>
      </c>
      <c r="R870" s="6">
        <f>RawSales[[#This Row],[Unit price]]*RawSales[[#This Row],[Quantity]]</f>
        <v>25060</v>
      </c>
      <c r="S870" s="6">
        <f>RawSales[[#This Row],[Subtotal]]*$B$1</f>
        <v>1253</v>
      </c>
      <c r="T870" s="6" t="b">
        <f>ROUND(RawSales[[#This Row],[Subtotal]],2)=ROUND(RawSales[[#This Row],[cogs]],2)</f>
        <v>1</v>
      </c>
      <c r="U870" s="6" t="b">
        <f>ROUND(RawSales[[#This Row],[cogs]]*0.05,2)=ROUND(RawSales[[#This Row],[Tax 5%]],2)</f>
        <v>1</v>
      </c>
      <c r="V870" s="6" t="b">
        <f>ROUND(RawSales[[#This Row],[cogs]]+RawSales[[#This Row],[Tax 5%]],2)=ROUND(RawSales[[#This Row],[Sales]],2)</f>
        <v>1</v>
      </c>
    </row>
    <row r="871" spans="1:22" x14ac:dyDescent="0.35">
      <c r="A871" s="4" t="s">
        <v>1399</v>
      </c>
      <c r="B871" t="s">
        <v>38</v>
      </c>
      <c r="C871" t="s">
        <v>39</v>
      </c>
      <c r="D871" t="s">
        <v>22</v>
      </c>
      <c r="E871" t="s">
        <v>23</v>
      </c>
      <c r="F871" t="s">
        <v>24</v>
      </c>
      <c r="G871" s="6">
        <v>1925</v>
      </c>
      <c r="H871" s="7">
        <v>8</v>
      </c>
      <c r="I871" s="6">
        <v>770</v>
      </c>
      <c r="J871" s="6">
        <v>16170</v>
      </c>
      <c r="K871" s="5">
        <v>43487.958333333336</v>
      </c>
      <c r="L871" s="4" t="s">
        <v>332</v>
      </c>
      <c r="M871" t="s">
        <v>34</v>
      </c>
      <c r="N871" s="6">
        <v>15400</v>
      </c>
      <c r="O871">
        <v>4.7619047620000003</v>
      </c>
      <c r="P871" s="6">
        <v>770</v>
      </c>
      <c r="Q871">
        <v>6.6</v>
      </c>
      <c r="R871" s="6">
        <f>RawSales[[#This Row],[Unit price]]*RawSales[[#This Row],[Quantity]]</f>
        <v>15400</v>
      </c>
      <c r="S871" s="6">
        <f>RawSales[[#This Row],[Subtotal]]*$B$1</f>
        <v>770</v>
      </c>
      <c r="T871" s="6" t="b">
        <f>ROUND(RawSales[[#This Row],[Subtotal]],2)=ROUND(RawSales[[#This Row],[cogs]],2)</f>
        <v>1</v>
      </c>
      <c r="U871" s="6" t="b">
        <f>ROUND(RawSales[[#This Row],[cogs]]*0.05,2)=ROUND(RawSales[[#This Row],[Tax 5%]],2)</f>
        <v>1</v>
      </c>
      <c r="V871" s="6" t="b">
        <f>ROUND(RawSales[[#This Row],[cogs]]+RawSales[[#This Row],[Tax 5%]],2)=ROUND(RawSales[[#This Row],[Sales]],2)</f>
        <v>1</v>
      </c>
    </row>
    <row r="872" spans="1:22" x14ac:dyDescent="0.35">
      <c r="A872" s="4" t="s">
        <v>1400</v>
      </c>
      <c r="B872" t="s">
        <v>20</v>
      </c>
      <c r="C872" t="s">
        <v>21</v>
      </c>
      <c r="D872" t="s">
        <v>30</v>
      </c>
      <c r="E872" t="s">
        <v>23</v>
      </c>
      <c r="F872" t="s">
        <v>40</v>
      </c>
      <c r="G872" s="6">
        <v>7506</v>
      </c>
      <c r="H872" s="7">
        <v>9</v>
      </c>
      <c r="I872" s="6">
        <v>3377.7</v>
      </c>
      <c r="J872" s="6">
        <v>70931.7</v>
      </c>
      <c r="K872" s="5">
        <v>43542.958333333336</v>
      </c>
      <c r="L872" s="4" t="s">
        <v>1401</v>
      </c>
      <c r="M872" t="s">
        <v>34</v>
      </c>
      <c r="N872" s="6">
        <v>67554</v>
      </c>
      <c r="O872">
        <v>4.7619047620000003</v>
      </c>
      <c r="P872" s="6">
        <v>3377.7</v>
      </c>
      <c r="Q872">
        <v>6.2</v>
      </c>
      <c r="R872" s="6">
        <f>RawSales[[#This Row],[Unit price]]*RawSales[[#This Row],[Quantity]]</f>
        <v>67554</v>
      </c>
      <c r="S872" s="6">
        <f>RawSales[[#This Row],[Subtotal]]*$B$1</f>
        <v>3377.7000000000003</v>
      </c>
      <c r="T872" s="6" t="b">
        <f>ROUND(RawSales[[#This Row],[Subtotal]],2)=ROUND(RawSales[[#This Row],[cogs]],2)</f>
        <v>1</v>
      </c>
      <c r="U872" s="6" t="b">
        <f>ROUND(RawSales[[#This Row],[cogs]]*0.05,2)=ROUND(RawSales[[#This Row],[Tax 5%]],2)</f>
        <v>1</v>
      </c>
      <c r="V872" s="6" t="b">
        <f>ROUND(RawSales[[#This Row],[cogs]]+RawSales[[#This Row],[Tax 5%]],2)=ROUND(RawSales[[#This Row],[Sales]],2)</f>
        <v>1</v>
      </c>
    </row>
    <row r="873" spans="1:22" x14ac:dyDescent="0.35">
      <c r="A873" s="4" t="s">
        <v>1402</v>
      </c>
      <c r="B873" t="s">
        <v>38</v>
      </c>
      <c r="C873" t="s">
        <v>39</v>
      </c>
      <c r="D873" t="s">
        <v>22</v>
      </c>
      <c r="E873" t="s">
        <v>23</v>
      </c>
      <c r="F873" t="s">
        <v>32</v>
      </c>
      <c r="G873" s="6">
        <v>8627</v>
      </c>
      <c r="H873" s="7">
        <v>1</v>
      </c>
      <c r="I873" s="6">
        <v>431.35</v>
      </c>
      <c r="J873" s="6">
        <v>9058.35</v>
      </c>
      <c r="K873" s="5">
        <v>43515.958333333336</v>
      </c>
      <c r="L873" s="4" t="s">
        <v>595</v>
      </c>
      <c r="M873" t="s">
        <v>34</v>
      </c>
      <c r="N873" s="6">
        <v>8627</v>
      </c>
      <c r="O873">
        <v>4.7619047620000003</v>
      </c>
      <c r="P873" s="6">
        <v>431.35</v>
      </c>
      <c r="Q873">
        <v>7</v>
      </c>
      <c r="R873" s="6">
        <f>RawSales[[#This Row],[Unit price]]*RawSales[[#This Row],[Quantity]]</f>
        <v>8627</v>
      </c>
      <c r="S873" s="6">
        <f>RawSales[[#This Row],[Subtotal]]*$B$1</f>
        <v>431.35</v>
      </c>
      <c r="T873" s="6" t="b">
        <f>ROUND(RawSales[[#This Row],[Subtotal]],2)=ROUND(RawSales[[#This Row],[cogs]],2)</f>
        <v>1</v>
      </c>
      <c r="U873" s="6" t="b">
        <f>ROUND(RawSales[[#This Row],[cogs]]*0.05,2)=ROUND(RawSales[[#This Row],[Tax 5%]],2)</f>
        <v>1</v>
      </c>
      <c r="V873" s="6" t="b">
        <f>ROUND(RawSales[[#This Row],[cogs]]+RawSales[[#This Row],[Tax 5%]],2)=ROUND(RawSales[[#This Row],[Sales]],2)</f>
        <v>1</v>
      </c>
    </row>
    <row r="874" spans="1:22" x14ac:dyDescent="0.35">
      <c r="A874" s="4" t="s">
        <v>1403</v>
      </c>
      <c r="B874" t="s">
        <v>38</v>
      </c>
      <c r="C874" t="s">
        <v>39</v>
      </c>
      <c r="D874" t="s">
        <v>30</v>
      </c>
      <c r="E874" t="s">
        <v>23</v>
      </c>
      <c r="F874" t="s">
        <v>32</v>
      </c>
      <c r="G874" s="6">
        <v>7011</v>
      </c>
      <c r="H874" s="7">
        <v>6</v>
      </c>
      <c r="I874" s="6">
        <v>2103.3000000000002</v>
      </c>
      <c r="J874" s="6">
        <v>44169.3</v>
      </c>
      <c r="K874" s="5">
        <v>43537.958333333336</v>
      </c>
      <c r="L874" s="4" t="s">
        <v>685</v>
      </c>
      <c r="M874" t="s">
        <v>34</v>
      </c>
      <c r="N874" s="6">
        <v>42066</v>
      </c>
      <c r="O874">
        <v>4.7619047620000003</v>
      </c>
      <c r="P874" s="6">
        <v>2103.3000000000002</v>
      </c>
      <c r="Q874">
        <v>5.2</v>
      </c>
      <c r="R874" s="6">
        <f>RawSales[[#This Row],[Unit price]]*RawSales[[#This Row],[Quantity]]</f>
        <v>42066</v>
      </c>
      <c r="S874" s="6">
        <f>RawSales[[#This Row],[Subtotal]]*$B$1</f>
        <v>2103.3000000000002</v>
      </c>
      <c r="T874" s="6" t="b">
        <f>ROUND(RawSales[[#This Row],[Subtotal]],2)=ROUND(RawSales[[#This Row],[cogs]],2)</f>
        <v>1</v>
      </c>
      <c r="U874" s="6" t="b">
        <f>ROUND(RawSales[[#This Row],[cogs]]*0.05,2)=ROUND(RawSales[[#This Row],[Tax 5%]],2)</f>
        <v>1</v>
      </c>
      <c r="V874" s="6" t="b">
        <f>ROUND(RawSales[[#This Row],[cogs]]+RawSales[[#This Row],[Tax 5%]],2)=ROUND(RawSales[[#This Row],[Sales]],2)</f>
        <v>1</v>
      </c>
    </row>
    <row r="875" spans="1:22" x14ac:dyDescent="0.35">
      <c r="A875" s="4" t="s">
        <v>1404</v>
      </c>
      <c r="B875" t="s">
        <v>28</v>
      </c>
      <c r="C875" t="s">
        <v>29</v>
      </c>
      <c r="D875" t="s">
        <v>30</v>
      </c>
      <c r="E875" t="s">
        <v>23</v>
      </c>
      <c r="F875" t="s">
        <v>40</v>
      </c>
      <c r="G875" s="6">
        <v>2545</v>
      </c>
      <c r="H875" s="7">
        <v>1</v>
      </c>
      <c r="I875" s="6">
        <v>127.25</v>
      </c>
      <c r="J875" s="6">
        <v>2672.25</v>
      </c>
      <c r="K875" s="5">
        <v>43533.958333333336</v>
      </c>
      <c r="L875" s="4" t="s">
        <v>1189</v>
      </c>
      <c r="M875" t="s">
        <v>51</v>
      </c>
      <c r="N875" s="6">
        <v>2545</v>
      </c>
      <c r="O875">
        <v>4.7619047620000003</v>
      </c>
      <c r="P875" s="6">
        <v>127.25</v>
      </c>
      <c r="Q875">
        <v>5.0999999999999996</v>
      </c>
      <c r="R875" s="6">
        <f>RawSales[[#This Row],[Unit price]]*RawSales[[#This Row],[Quantity]]</f>
        <v>2545</v>
      </c>
      <c r="S875" s="6">
        <f>RawSales[[#This Row],[Subtotal]]*$B$1</f>
        <v>127.25</v>
      </c>
      <c r="T875" s="6" t="b">
        <f>ROUND(RawSales[[#This Row],[Subtotal]],2)=ROUND(RawSales[[#This Row],[cogs]],2)</f>
        <v>1</v>
      </c>
      <c r="U875" s="6" t="b">
        <f>ROUND(RawSales[[#This Row],[cogs]]*0.05,2)=ROUND(RawSales[[#This Row],[Tax 5%]],2)</f>
        <v>1</v>
      </c>
      <c r="V875" s="6" t="b">
        <f>ROUND(RawSales[[#This Row],[cogs]]+RawSales[[#This Row],[Tax 5%]],2)=ROUND(RawSales[[#This Row],[Sales]],2)</f>
        <v>1</v>
      </c>
    </row>
    <row r="876" spans="1:22" x14ac:dyDescent="0.35">
      <c r="A876" s="4" t="s">
        <v>1405</v>
      </c>
      <c r="B876" t="s">
        <v>28</v>
      </c>
      <c r="C876" t="s">
        <v>29</v>
      </c>
      <c r="D876" t="s">
        <v>22</v>
      </c>
      <c r="E876" t="s">
        <v>23</v>
      </c>
      <c r="F876" t="s">
        <v>32</v>
      </c>
      <c r="G876" s="6">
        <v>3320</v>
      </c>
      <c r="H876" s="7">
        <v>2</v>
      </c>
      <c r="I876" s="6">
        <v>332</v>
      </c>
      <c r="J876" s="6">
        <v>6972</v>
      </c>
      <c r="K876" s="5">
        <v>43538.958333333336</v>
      </c>
      <c r="L876" s="4" t="s">
        <v>605</v>
      </c>
      <c r="M876" t="s">
        <v>51</v>
      </c>
      <c r="N876" s="6">
        <v>6640</v>
      </c>
      <c r="O876">
        <v>4.7619047620000003</v>
      </c>
      <c r="P876" s="6">
        <v>332</v>
      </c>
      <c r="Q876">
        <v>4.4000000000000004</v>
      </c>
      <c r="R876" s="6">
        <f>RawSales[[#This Row],[Unit price]]*RawSales[[#This Row],[Quantity]]</f>
        <v>6640</v>
      </c>
      <c r="S876" s="6">
        <f>RawSales[[#This Row],[Subtotal]]*$B$1</f>
        <v>332</v>
      </c>
      <c r="T876" s="6" t="b">
        <f>ROUND(RawSales[[#This Row],[Subtotal]],2)=ROUND(RawSales[[#This Row],[cogs]],2)</f>
        <v>1</v>
      </c>
      <c r="U876" s="6" t="b">
        <f>ROUND(RawSales[[#This Row],[cogs]]*0.05,2)=ROUND(RawSales[[#This Row],[Tax 5%]],2)</f>
        <v>1</v>
      </c>
      <c r="V876" s="6" t="b">
        <f>ROUND(RawSales[[#This Row],[cogs]]+RawSales[[#This Row],[Tax 5%]],2)=ROUND(RawSales[[#This Row],[Sales]],2)</f>
        <v>1</v>
      </c>
    </row>
    <row r="877" spans="1:22" x14ac:dyDescent="0.35">
      <c r="A877" s="4" t="s">
        <v>1406</v>
      </c>
      <c r="B877" t="s">
        <v>28</v>
      </c>
      <c r="C877" t="s">
        <v>29</v>
      </c>
      <c r="D877" t="s">
        <v>30</v>
      </c>
      <c r="E877" t="s">
        <v>23</v>
      </c>
      <c r="F877" t="s">
        <v>62</v>
      </c>
      <c r="G877" s="6">
        <v>5795</v>
      </c>
      <c r="H877" s="7">
        <v>6</v>
      </c>
      <c r="I877" s="6">
        <v>1738.5</v>
      </c>
      <c r="J877" s="6">
        <v>36508.5</v>
      </c>
      <c r="K877" s="5">
        <v>43519.958333333336</v>
      </c>
      <c r="L877" s="4" t="s">
        <v>143</v>
      </c>
      <c r="M877" t="s">
        <v>26</v>
      </c>
      <c r="N877" s="6">
        <v>34770</v>
      </c>
      <c r="O877">
        <v>4.7619047620000003</v>
      </c>
      <c r="P877" s="6">
        <v>1738.5</v>
      </c>
      <c r="Q877">
        <v>5.2</v>
      </c>
      <c r="R877" s="6">
        <f>RawSales[[#This Row],[Unit price]]*RawSales[[#This Row],[Quantity]]</f>
        <v>34770</v>
      </c>
      <c r="S877" s="6">
        <f>RawSales[[#This Row],[Subtotal]]*$B$1</f>
        <v>1738.5</v>
      </c>
      <c r="T877" s="6" t="b">
        <f>ROUND(RawSales[[#This Row],[Subtotal]],2)=ROUND(RawSales[[#This Row],[cogs]],2)</f>
        <v>1</v>
      </c>
      <c r="U877" s="6" t="b">
        <f>ROUND(RawSales[[#This Row],[cogs]]*0.05,2)=ROUND(RawSales[[#This Row],[Tax 5%]],2)</f>
        <v>1</v>
      </c>
      <c r="V877" s="6" t="b">
        <f>ROUND(RawSales[[#This Row],[cogs]]+RawSales[[#This Row],[Tax 5%]],2)=ROUND(RawSales[[#This Row],[Sales]],2)</f>
        <v>1</v>
      </c>
    </row>
    <row r="878" spans="1:22" x14ac:dyDescent="0.35">
      <c r="A878" s="4" t="s">
        <v>1407</v>
      </c>
      <c r="B878" t="s">
        <v>20</v>
      </c>
      <c r="C878" t="s">
        <v>21</v>
      </c>
      <c r="D878" t="s">
        <v>22</v>
      </c>
      <c r="E878" t="s">
        <v>23</v>
      </c>
      <c r="F878" t="s">
        <v>40</v>
      </c>
      <c r="G878" s="6">
        <v>2648</v>
      </c>
      <c r="H878" s="7">
        <v>3</v>
      </c>
      <c r="I878" s="6">
        <v>397.2</v>
      </c>
      <c r="J878" s="6">
        <v>8341.2000000000007</v>
      </c>
      <c r="K878" s="5">
        <v>43544.958333333336</v>
      </c>
      <c r="L878" s="4" t="s">
        <v>706</v>
      </c>
      <c r="M878" t="s">
        <v>34</v>
      </c>
      <c r="N878" s="6">
        <v>7944</v>
      </c>
      <c r="O878">
        <v>4.7619047620000003</v>
      </c>
      <c r="P878" s="6">
        <v>397.2</v>
      </c>
      <c r="Q878">
        <v>4.7</v>
      </c>
      <c r="R878" s="6">
        <f>RawSales[[#This Row],[Unit price]]*RawSales[[#This Row],[Quantity]]</f>
        <v>7944</v>
      </c>
      <c r="S878" s="6">
        <f>RawSales[[#This Row],[Subtotal]]*$B$1</f>
        <v>397.20000000000005</v>
      </c>
      <c r="T878" s="6" t="b">
        <f>ROUND(RawSales[[#This Row],[Subtotal]],2)=ROUND(RawSales[[#This Row],[cogs]],2)</f>
        <v>1</v>
      </c>
      <c r="U878" s="6" t="b">
        <f>ROUND(RawSales[[#This Row],[cogs]]*0.05,2)=ROUND(RawSales[[#This Row],[Tax 5%]],2)</f>
        <v>1</v>
      </c>
      <c r="V878" s="6" t="b">
        <f>ROUND(RawSales[[#This Row],[cogs]]+RawSales[[#This Row],[Tax 5%]],2)=ROUND(RawSales[[#This Row],[Sales]],2)</f>
        <v>1</v>
      </c>
    </row>
    <row r="879" spans="1:22" x14ac:dyDescent="0.35">
      <c r="A879" s="4" t="s">
        <v>1408</v>
      </c>
      <c r="B879" t="s">
        <v>28</v>
      </c>
      <c r="C879" t="s">
        <v>29</v>
      </c>
      <c r="D879" t="s">
        <v>30</v>
      </c>
      <c r="E879" t="s">
        <v>23</v>
      </c>
      <c r="F879" t="s">
        <v>46</v>
      </c>
      <c r="G879" s="6">
        <v>7660</v>
      </c>
      <c r="H879" s="7">
        <v>10</v>
      </c>
      <c r="I879" s="6">
        <v>3830</v>
      </c>
      <c r="J879" s="6">
        <v>80430</v>
      </c>
      <c r="K879" s="5">
        <v>43488.958333333336</v>
      </c>
      <c r="L879" s="4" t="s">
        <v>1189</v>
      </c>
      <c r="M879" t="s">
        <v>34</v>
      </c>
      <c r="N879" s="6">
        <v>76600</v>
      </c>
      <c r="O879">
        <v>4.7619047620000003</v>
      </c>
      <c r="P879" s="6">
        <v>3830</v>
      </c>
      <c r="Q879">
        <v>6</v>
      </c>
      <c r="R879" s="6">
        <f>RawSales[[#This Row],[Unit price]]*RawSales[[#This Row],[Quantity]]</f>
        <v>76600</v>
      </c>
      <c r="S879" s="6">
        <f>RawSales[[#This Row],[Subtotal]]*$B$1</f>
        <v>3830</v>
      </c>
      <c r="T879" s="6" t="b">
        <f>ROUND(RawSales[[#This Row],[Subtotal]],2)=ROUND(RawSales[[#This Row],[cogs]],2)</f>
        <v>1</v>
      </c>
      <c r="U879" s="6" t="b">
        <f>ROUND(RawSales[[#This Row],[cogs]]*0.05,2)=ROUND(RawSales[[#This Row],[Tax 5%]],2)</f>
        <v>1</v>
      </c>
      <c r="V879" s="6" t="b">
        <f>ROUND(RawSales[[#This Row],[cogs]]+RawSales[[#This Row],[Tax 5%]],2)=ROUND(RawSales[[#This Row],[Sales]],2)</f>
        <v>1</v>
      </c>
    </row>
    <row r="880" spans="1:22" x14ac:dyDescent="0.35">
      <c r="A880" s="4" t="s">
        <v>1409</v>
      </c>
      <c r="B880" t="s">
        <v>20</v>
      </c>
      <c r="C880" t="s">
        <v>21</v>
      </c>
      <c r="D880" t="s">
        <v>30</v>
      </c>
      <c r="E880" t="s">
        <v>23</v>
      </c>
      <c r="F880" t="s">
        <v>24</v>
      </c>
      <c r="G880" s="6">
        <v>2728</v>
      </c>
      <c r="H880" s="7">
        <v>5</v>
      </c>
      <c r="I880" s="6">
        <v>682</v>
      </c>
      <c r="J880" s="6">
        <v>14322</v>
      </c>
      <c r="K880" s="5">
        <v>43498.958333333336</v>
      </c>
      <c r="L880" s="4" t="s">
        <v>341</v>
      </c>
      <c r="M880" t="s">
        <v>51</v>
      </c>
      <c r="N880" s="6">
        <v>13640</v>
      </c>
      <c r="O880">
        <v>4.7619047620000003</v>
      </c>
      <c r="P880" s="6">
        <v>682</v>
      </c>
      <c r="Q880">
        <v>8.6</v>
      </c>
      <c r="R880" s="6">
        <f>RawSales[[#This Row],[Unit price]]*RawSales[[#This Row],[Quantity]]</f>
        <v>13640</v>
      </c>
      <c r="S880" s="6">
        <f>RawSales[[#This Row],[Subtotal]]*$B$1</f>
        <v>682</v>
      </c>
      <c r="T880" s="6" t="b">
        <f>ROUND(RawSales[[#This Row],[Subtotal]],2)=ROUND(RawSales[[#This Row],[cogs]],2)</f>
        <v>1</v>
      </c>
      <c r="U880" s="6" t="b">
        <f>ROUND(RawSales[[#This Row],[cogs]]*0.05,2)=ROUND(RawSales[[#This Row],[Tax 5%]],2)</f>
        <v>1</v>
      </c>
      <c r="V880" s="6" t="b">
        <f>ROUND(RawSales[[#This Row],[cogs]]+RawSales[[#This Row],[Tax 5%]],2)=ROUND(RawSales[[#This Row],[Sales]],2)</f>
        <v>1</v>
      </c>
    </row>
    <row r="881" spans="1:22" x14ac:dyDescent="0.35">
      <c r="A881" s="4" t="s">
        <v>1410</v>
      </c>
      <c r="B881" t="s">
        <v>28</v>
      </c>
      <c r="C881" t="s">
        <v>29</v>
      </c>
      <c r="D881" t="s">
        <v>30</v>
      </c>
      <c r="E881" t="s">
        <v>23</v>
      </c>
      <c r="F881" t="s">
        <v>24</v>
      </c>
      <c r="G881" s="6">
        <v>8405</v>
      </c>
      <c r="H881" s="7">
        <v>6</v>
      </c>
      <c r="I881" s="6">
        <v>2521.5</v>
      </c>
      <c r="J881" s="6">
        <v>52951.5</v>
      </c>
      <c r="K881" s="5">
        <v>43493.958333333336</v>
      </c>
      <c r="L881" s="4" t="s">
        <v>1411</v>
      </c>
      <c r="M881" t="s">
        <v>51</v>
      </c>
      <c r="N881" s="6">
        <v>50430</v>
      </c>
      <c r="O881">
        <v>4.7619047620000003</v>
      </c>
      <c r="P881" s="6">
        <v>2521.5</v>
      </c>
      <c r="Q881">
        <v>7.7</v>
      </c>
      <c r="R881" s="6">
        <f>RawSales[[#This Row],[Unit price]]*RawSales[[#This Row],[Quantity]]</f>
        <v>50430</v>
      </c>
      <c r="S881" s="6">
        <f>RawSales[[#This Row],[Subtotal]]*$B$1</f>
        <v>2521.5</v>
      </c>
      <c r="T881" s="6" t="b">
        <f>ROUND(RawSales[[#This Row],[Subtotal]],2)=ROUND(RawSales[[#This Row],[cogs]],2)</f>
        <v>1</v>
      </c>
      <c r="U881" s="6" t="b">
        <f>ROUND(RawSales[[#This Row],[cogs]]*0.05,2)=ROUND(RawSales[[#This Row],[Tax 5%]],2)</f>
        <v>1</v>
      </c>
      <c r="V881" s="6" t="b">
        <f>ROUND(RawSales[[#This Row],[cogs]]+RawSales[[#This Row],[Tax 5%]],2)=ROUND(RawSales[[#This Row],[Sales]],2)</f>
        <v>1</v>
      </c>
    </row>
    <row r="882" spans="1:22" x14ac:dyDescent="0.35">
      <c r="A882" s="4" t="s">
        <v>1412</v>
      </c>
      <c r="B882" t="s">
        <v>28</v>
      </c>
      <c r="C882" t="s">
        <v>29</v>
      </c>
      <c r="D882" t="s">
        <v>30</v>
      </c>
      <c r="E882" t="s">
        <v>31</v>
      </c>
      <c r="F882" t="s">
        <v>40</v>
      </c>
      <c r="G882" s="6">
        <v>4535</v>
      </c>
      <c r="H882" s="7">
        <v>6</v>
      </c>
      <c r="I882" s="6">
        <v>1360.5</v>
      </c>
      <c r="J882" s="6">
        <v>28570.5</v>
      </c>
      <c r="K882" s="5">
        <v>43495.958333333336</v>
      </c>
      <c r="L882" s="4" t="s">
        <v>1091</v>
      </c>
      <c r="M882" t="s">
        <v>34</v>
      </c>
      <c r="N882" s="6">
        <v>27210</v>
      </c>
      <c r="O882">
        <v>4.7619047620000003</v>
      </c>
      <c r="P882" s="6">
        <v>1360.5</v>
      </c>
      <c r="Q882">
        <v>6.1</v>
      </c>
      <c r="R882" s="6">
        <f>RawSales[[#This Row],[Unit price]]*RawSales[[#This Row],[Quantity]]</f>
        <v>27210</v>
      </c>
      <c r="S882" s="6">
        <f>RawSales[[#This Row],[Subtotal]]*$B$1</f>
        <v>1360.5</v>
      </c>
      <c r="T882" s="6" t="b">
        <f>ROUND(RawSales[[#This Row],[Subtotal]],2)=ROUND(RawSales[[#This Row],[cogs]],2)</f>
        <v>1</v>
      </c>
      <c r="U882" s="6" t="b">
        <f>ROUND(RawSales[[#This Row],[cogs]]*0.05,2)=ROUND(RawSales[[#This Row],[Tax 5%]],2)</f>
        <v>1</v>
      </c>
      <c r="V882" s="6" t="b">
        <f>ROUND(RawSales[[#This Row],[cogs]]+RawSales[[#This Row],[Tax 5%]],2)=ROUND(RawSales[[#This Row],[Sales]],2)</f>
        <v>1</v>
      </c>
    </row>
    <row r="883" spans="1:22" x14ac:dyDescent="0.35">
      <c r="A883" s="4" t="s">
        <v>1413</v>
      </c>
      <c r="B883" t="s">
        <v>20</v>
      </c>
      <c r="C883" t="s">
        <v>21</v>
      </c>
      <c r="D883" t="s">
        <v>22</v>
      </c>
      <c r="E883" t="s">
        <v>23</v>
      </c>
      <c r="F883" t="s">
        <v>24</v>
      </c>
      <c r="G883" s="6">
        <v>4319</v>
      </c>
      <c r="H883" s="7">
        <v>10</v>
      </c>
      <c r="I883" s="6">
        <v>2159.5</v>
      </c>
      <c r="J883" s="6">
        <v>45349.5</v>
      </c>
      <c r="K883" s="5">
        <v>43502.958333333336</v>
      </c>
      <c r="L883" s="4" t="s">
        <v>1222</v>
      </c>
      <c r="M883" t="s">
        <v>34</v>
      </c>
      <c r="N883" s="6">
        <v>43190</v>
      </c>
      <c r="O883">
        <v>4.7619047620000003</v>
      </c>
      <c r="P883" s="6">
        <v>2159.5</v>
      </c>
      <c r="Q883">
        <v>8.1999999999999993</v>
      </c>
      <c r="R883" s="6">
        <f>RawSales[[#This Row],[Unit price]]*RawSales[[#This Row],[Quantity]]</f>
        <v>43190</v>
      </c>
      <c r="S883" s="6">
        <f>RawSales[[#This Row],[Subtotal]]*$B$1</f>
        <v>2159.5</v>
      </c>
      <c r="T883" s="6" t="b">
        <f>ROUND(RawSales[[#This Row],[Subtotal]],2)=ROUND(RawSales[[#This Row],[cogs]],2)</f>
        <v>1</v>
      </c>
      <c r="U883" s="6" t="b">
        <f>ROUND(RawSales[[#This Row],[cogs]]*0.05,2)=ROUND(RawSales[[#This Row],[Tax 5%]],2)</f>
        <v>1</v>
      </c>
      <c r="V883" s="6" t="b">
        <f>ROUND(RawSales[[#This Row],[cogs]]+RawSales[[#This Row],[Tax 5%]],2)=ROUND(RawSales[[#This Row],[Sales]],2)</f>
        <v>1</v>
      </c>
    </row>
    <row r="884" spans="1:22" x14ac:dyDescent="0.35">
      <c r="A884" s="4" t="s">
        <v>1414</v>
      </c>
      <c r="B884" t="s">
        <v>38</v>
      </c>
      <c r="C884" t="s">
        <v>39</v>
      </c>
      <c r="D884" t="s">
        <v>30</v>
      </c>
      <c r="E884" t="s">
        <v>31</v>
      </c>
      <c r="F884" t="s">
        <v>43</v>
      </c>
      <c r="G884" s="6">
        <v>9996</v>
      </c>
      <c r="H884" s="7">
        <v>7</v>
      </c>
      <c r="I884" s="6">
        <v>3498.6</v>
      </c>
      <c r="J884" s="6">
        <v>73470.600000000006</v>
      </c>
      <c r="K884" s="5">
        <v>43487.958333333336</v>
      </c>
      <c r="L884" s="4" t="s">
        <v>320</v>
      </c>
      <c r="M884" t="s">
        <v>26</v>
      </c>
      <c r="N884" s="6">
        <v>69972</v>
      </c>
      <c r="O884">
        <v>4.7619047620000003</v>
      </c>
      <c r="P884" s="6">
        <v>3498.6</v>
      </c>
      <c r="Q884">
        <v>6.1</v>
      </c>
      <c r="R884" s="6">
        <f>RawSales[[#This Row],[Unit price]]*RawSales[[#This Row],[Quantity]]</f>
        <v>69972</v>
      </c>
      <c r="S884" s="6">
        <f>RawSales[[#This Row],[Subtotal]]*$B$1</f>
        <v>3498.6000000000004</v>
      </c>
      <c r="T884" s="6" t="b">
        <f>ROUND(RawSales[[#This Row],[Subtotal]],2)=ROUND(RawSales[[#This Row],[cogs]],2)</f>
        <v>1</v>
      </c>
      <c r="U884" s="6" t="b">
        <f>ROUND(RawSales[[#This Row],[cogs]]*0.05,2)=ROUND(RawSales[[#This Row],[Tax 5%]],2)</f>
        <v>1</v>
      </c>
      <c r="V884" s="6" t="b">
        <f>ROUND(RawSales[[#This Row],[cogs]]+RawSales[[#This Row],[Tax 5%]],2)=ROUND(RawSales[[#This Row],[Sales]],2)</f>
        <v>1</v>
      </c>
    </row>
    <row r="885" spans="1:22" x14ac:dyDescent="0.35">
      <c r="A885" s="4" t="s">
        <v>1415</v>
      </c>
      <c r="B885" t="s">
        <v>28</v>
      </c>
      <c r="C885" t="s">
        <v>29</v>
      </c>
      <c r="D885" t="s">
        <v>30</v>
      </c>
      <c r="E885" t="s">
        <v>23</v>
      </c>
      <c r="F885" t="s">
        <v>43</v>
      </c>
      <c r="G885" s="6">
        <v>7341</v>
      </c>
      <c r="H885" s="7">
        <v>3</v>
      </c>
      <c r="I885" s="6">
        <v>1101.1500000000001</v>
      </c>
      <c r="J885" s="6">
        <v>23124.15</v>
      </c>
      <c r="K885" s="5">
        <v>43525.958333333336</v>
      </c>
      <c r="L885" s="4" t="s">
        <v>1416</v>
      </c>
      <c r="M885" t="s">
        <v>34</v>
      </c>
      <c r="N885" s="6">
        <v>22023</v>
      </c>
      <c r="O885">
        <v>4.7619047620000003</v>
      </c>
      <c r="P885" s="6">
        <v>1101.1500000000001</v>
      </c>
      <c r="Q885">
        <v>4</v>
      </c>
      <c r="R885" s="6">
        <f>RawSales[[#This Row],[Unit price]]*RawSales[[#This Row],[Quantity]]</f>
        <v>22023</v>
      </c>
      <c r="S885" s="6">
        <f>RawSales[[#This Row],[Subtotal]]*$B$1</f>
        <v>1101.1500000000001</v>
      </c>
      <c r="T885" s="6" t="b">
        <f>ROUND(RawSales[[#This Row],[Subtotal]],2)=ROUND(RawSales[[#This Row],[cogs]],2)</f>
        <v>1</v>
      </c>
      <c r="U885" s="6" t="b">
        <f>ROUND(RawSales[[#This Row],[cogs]]*0.05,2)=ROUND(RawSales[[#This Row],[Tax 5%]],2)</f>
        <v>1</v>
      </c>
      <c r="V885" s="6" t="b">
        <f>ROUND(RawSales[[#This Row],[cogs]]+RawSales[[#This Row],[Tax 5%]],2)=ROUND(RawSales[[#This Row],[Sales]],2)</f>
        <v>1</v>
      </c>
    </row>
    <row r="886" spans="1:22" x14ac:dyDescent="0.35">
      <c r="A886" s="4" t="s">
        <v>1417</v>
      </c>
      <c r="B886" t="s">
        <v>28</v>
      </c>
      <c r="C886" t="s">
        <v>29</v>
      </c>
      <c r="D886" t="s">
        <v>30</v>
      </c>
      <c r="E886" t="s">
        <v>31</v>
      </c>
      <c r="F886" t="s">
        <v>62</v>
      </c>
      <c r="G886" s="6">
        <v>6306</v>
      </c>
      <c r="H886" s="7">
        <v>3</v>
      </c>
      <c r="I886" s="6">
        <v>945.9</v>
      </c>
      <c r="J886" s="6">
        <v>19863.900000000001</v>
      </c>
      <c r="K886" s="5">
        <v>43483.958333333336</v>
      </c>
      <c r="L886" s="4" t="s">
        <v>1418</v>
      </c>
      <c r="M886" t="s">
        <v>34</v>
      </c>
      <c r="N886" s="6">
        <v>18918</v>
      </c>
      <c r="O886">
        <v>4.7619047620000003</v>
      </c>
      <c r="P886" s="6">
        <v>945.9</v>
      </c>
      <c r="Q886">
        <v>7</v>
      </c>
      <c r="R886" s="6">
        <f>RawSales[[#This Row],[Unit price]]*RawSales[[#This Row],[Quantity]]</f>
        <v>18918</v>
      </c>
      <c r="S886" s="6">
        <f>RawSales[[#This Row],[Subtotal]]*$B$1</f>
        <v>945.90000000000009</v>
      </c>
      <c r="T886" s="6" t="b">
        <f>ROUND(RawSales[[#This Row],[Subtotal]],2)=ROUND(RawSales[[#This Row],[cogs]],2)</f>
        <v>1</v>
      </c>
      <c r="U886" s="6" t="b">
        <f>ROUND(RawSales[[#This Row],[cogs]]*0.05,2)=ROUND(RawSales[[#This Row],[Tax 5%]],2)</f>
        <v>1</v>
      </c>
      <c r="V886" s="6" t="b">
        <f>ROUND(RawSales[[#This Row],[cogs]]+RawSales[[#This Row],[Tax 5%]],2)=ROUND(RawSales[[#This Row],[Sales]],2)</f>
        <v>1</v>
      </c>
    </row>
    <row r="887" spans="1:22" x14ac:dyDescent="0.35">
      <c r="A887" s="4" t="s">
        <v>1419</v>
      </c>
      <c r="B887" t="s">
        <v>20</v>
      </c>
      <c r="C887" t="s">
        <v>21</v>
      </c>
      <c r="D887" t="s">
        <v>30</v>
      </c>
      <c r="E887" t="s">
        <v>23</v>
      </c>
      <c r="F887" t="s">
        <v>32</v>
      </c>
      <c r="G887" s="6">
        <v>4291</v>
      </c>
      <c r="H887" s="7">
        <v>5</v>
      </c>
      <c r="I887" s="6">
        <v>1072.75</v>
      </c>
      <c r="J887" s="6">
        <v>22527.75</v>
      </c>
      <c r="K887" s="5">
        <v>43469.958333333336</v>
      </c>
      <c r="L887" s="4" t="s">
        <v>1008</v>
      </c>
      <c r="M887" t="s">
        <v>34</v>
      </c>
      <c r="N887" s="6">
        <v>21455</v>
      </c>
      <c r="O887">
        <v>4.7619047620000003</v>
      </c>
      <c r="P887" s="6">
        <v>1072.75</v>
      </c>
      <c r="Q887">
        <v>6.1</v>
      </c>
      <c r="R887" s="6">
        <f>RawSales[[#This Row],[Unit price]]*RawSales[[#This Row],[Quantity]]</f>
        <v>21455</v>
      </c>
      <c r="S887" s="6">
        <f>RawSales[[#This Row],[Subtotal]]*$B$1</f>
        <v>1072.75</v>
      </c>
      <c r="T887" s="6" t="b">
        <f>ROUND(RawSales[[#This Row],[Subtotal]],2)=ROUND(RawSales[[#This Row],[cogs]],2)</f>
        <v>1</v>
      </c>
      <c r="U887" s="6" t="b">
        <f>ROUND(RawSales[[#This Row],[cogs]]*0.05,2)=ROUND(RawSales[[#This Row],[Tax 5%]],2)</f>
        <v>1</v>
      </c>
      <c r="V887" s="6" t="b">
        <f>ROUND(RawSales[[#This Row],[cogs]]+RawSales[[#This Row],[Tax 5%]],2)=ROUND(RawSales[[#This Row],[Sales]],2)</f>
        <v>1</v>
      </c>
    </row>
    <row r="888" spans="1:22" x14ac:dyDescent="0.35">
      <c r="A888" s="4" t="s">
        <v>1420</v>
      </c>
      <c r="B888" t="s">
        <v>38</v>
      </c>
      <c r="C888" t="s">
        <v>39</v>
      </c>
      <c r="D888" t="s">
        <v>30</v>
      </c>
      <c r="E888" t="s">
        <v>23</v>
      </c>
      <c r="F888" t="s">
        <v>49</v>
      </c>
      <c r="G888" s="6">
        <v>2251</v>
      </c>
      <c r="H888" s="7">
        <v>7</v>
      </c>
      <c r="I888" s="6">
        <v>787.85</v>
      </c>
      <c r="J888" s="6">
        <v>16544.849999999999</v>
      </c>
      <c r="K888" s="5">
        <v>43508.958333333336</v>
      </c>
      <c r="L888" s="4" t="s">
        <v>109</v>
      </c>
      <c r="M888" t="s">
        <v>51</v>
      </c>
      <c r="N888" s="6">
        <v>15757</v>
      </c>
      <c r="O888">
        <v>4.7619047620000003</v>
      </c>
      <c r="P888" s="6">
        <v>787.85</v>
      </c>
      <c r="Q888">
        <v>4.8</v>
      </c>
      <c r="R888" s="6">
        <f>RawSales[[#This Row],[Unit price]]*RawSales[[#This Row],[Quantity]]</f>
        <v>15757</v>
      </c>
      <c r="S888" s="6">
        <f>RawSales[[#This Row],[Subtotal]]*$B$1</f>
        <v>787.85</v>
      </c>
      <c r="T888" s="6" t="b">
        <f>ROUND(RawSales[[#This Row],[Subtotal]],2)=ROUND(RawSales[[#This Row],[cogs]],2)</f>
        <v>1</v>
      </c>
      <c r="U888" s="6" t="b">
        <f>ROUND(RawSales[[#This Row],[cogs]]*0.05,2)=ROUND(RawSales[[#This Row],[Tax 5%]],2)</f>
        <v>1</v>
      </c>
      <c r="V888" s="6" t="b">
        <f>ROUND(RawSales[[#This Row],[cogs]]+RawSales[[#This Row],[Tax 5%]],2)=ROUND(RawSales[[#This Row],[Sales]],2)</f>
        <v>1</v>
      </c>
    </row>
    <row r="889" spans="1:22" x14ac:dyDescent="0.35">
      <c r="A889" s="4" t="s">
        <v>1421</v>
      </c>
      <c r="B889" t="s">
        <v>38</v>
      </c>
      <c r="C889" t="s">
        <v>39</v>
      </c>
      <c r="D889" t="s">
        <v>22</v>
      </c>
      <c r="E889" t="s">
        <v>23</v>
      </c>
      <c r="F889" t="s">
        <v>32</v>
      </c>
      <c r="G889" s="6">
        <v>2182</v>
      </c>
      <c r="H889" s="7">
        <v>10</v>
      </c>
      <c r="I889" s="6">
        <v>1091</v>
      </c>
      <c r="J889" s="6">
        <v>22911</v>
      </c>
      <c r="K889" s="5">
        <v>43471.958333333336</v>
      </c>
      <c r="L889" s="4" t="s">
        <v>484</v>
      </c>
      <c r="M889" t="s">
        <v>26</v>
      </c>
      <c r="N889" s="6">
        <v>21820</v>
      </c>
      <c r="O889">
        <v>4.7619047620000003</v>
      </c>
      <c r="P889" s="6">
        <v>1091</v>
      </c>
      <c r="Q889">
        <v>7.1</v>
      </c>
      <c r="R889" s="6">
        <f>RawSales[[#This Row],[Unit price]]*RawSales[[#This Row],[Quantity]]</f>
        <v>21820</v>
      </c>
      <c r="S889" s="6">
        <f>RawSales[[#This Row],[Subtotal]]*$B$1</f>
        <v>1091</v>
      </c>
      <c r="T889" s="6" t="b">
        <f>ROUND(RawSales[[#This Row],[Subtotal]],2)=ROUND(RawSales[[#This Row],[cogs]],2)</f>
        <v>1</v>
      </c>
      <c r="U889" s="6" t="b">
        <f>ROUND(RawSales[[#This Row],[cogs]]*0.05,2)=ROUND(RawSales[[#This Row],[Tax 5%]],2)</f>
        <v>1</v>
      </c>
      <c r="V889" s="6" t="b">
        <f>ROUND(RawSales[[#This Row],[cogs]]+RawSales[[#This Row],[Tax 5%]],2)=ROUND(RawSales[[#This Row],[Sales]],2)</f>
        <v>1</v>
      </c>
    </row>
    <row r="890" spans="1:22" x14ac:dyDescent="0.35">
      <c r="A890" s="4" t="s">
        <v>1422</v>
      </c>
      <c r="B890" t="s">
        <v>28</v>
      </c>
      <c r="C890" t="s">
        <v>29</v>
      </c>
      <c r="D890" t="s">
        <v>22</v>
      </c>
      <c r="E890" t="s">
        <v>23</v>
      </c>
      <c r="F890" t="s">
        <v>140</v>
      </c>
      <c r="G890" s="6">
        <v>1210</v>
      </c>
      <c r="H890" s="7">
        <v>8</v>
      </c>
      <c r="I890" s="6">
        <v>484</v>
      </c>
      <c r="J890" s="6">
        <v>10164</v>
      </c>
      <c r="K890" s="5">
        <v>43483.958333333336</v>
      </c>
      <c r="L890" s="4" t="s">
        <v>499</v>
      </c>
      <c r="M890" t="s">
        <v>34</v>
      </c>
      <c r="N890" s="6">
        <v>9680</v>
      </c>
      <c r="O890">
        <v>4.7619047620000003</v>
      </c>
      <c r="P890" s="6">
        <v>484</v>
      </c>
      <c r="Q890">
        <v>8.6</v>
      </c>
      <c r="R890" s="6">
        <f>RawSales[[#This Row],[Unit price]]*RawSales[[#This Row],[Quantity]]</f>
        <v>9680</v>
      </c>
      <c r="S890" s="6">
        <f>RawSales[[#This Row],[Subtotal]]*$B$1</f>
        <v>484</v>
      </c>
      <c r="T890" s="6" t="b">
        <f>ROUND(RawSales[[#This Row],[Subtotal]],2)=ROUND(RawSales[[#This Row],[cogs]],2)</f>
        <v>1</v>
      </c>
      <c r="U890" s="6" t="b">
        <f>ROUND(RawSales[[#This Row],[cogs]]*0.05,2)=ROUND(RawSales[[#This Row],[Tax 5%]],2)</f>
        <v>1</v>
      </c>
      <c r="V890" s="6" t="b">
        <f>ROUND(RawSales[[#This Row],[cogs]]+RawSales[[#This Row],[Tax 5%]],2)=ROUND(RawSales[[#This Row],[Sales]],2)</f>
        <v>1</v>
      </c>
    </row>
    <row r="891" spans="1:22" x14ac:dyDescent="0.35">
      <c r="A891" s="4" t="s">
        <v>1423</v>
      </c>
      <c r="B891" t="s">
        <v>20</v>
      </c>
      <c r="C891" t="s">
        <v>21</v>
      </c>
      <c r="D891" t="s">
        <v>30</v>
      </c>
      <c r="E891" t="s">
        <v>31</v>
      </c>
      <c r="F891" t="s">
        <v>62</v>
      </c>
      <c r="G891" s="6">
        <v>6095</v>
      </c>
      <c r="H891" s="7">
        <v>9</v>
      </c>
      <c r="I891" s="6">
        <v>2742.75</v>
      </c>
      <c r="J891" s="6">
        <v>57597.75</v>
      </c>
      <c r="K891" s="5">
        <v>43471.958333333336</v>
      </c>
      <c r="L891" s="4" t="s">
        <v>1424</v>
      </c>
      <c r="M891" t="s">
        <v>51</v>
      </c>
      <c r="N891" s="6">
        <v>54855</v>
      </c>
      <c r="O891">
        <v>4.7619047620000003</v>
      </c>
      <c r="P891" s="6">
        <v>2742.75</v>
      </c>
      <c r="Q891">
        <v>6</v>
      </c>
      <c r="R891" s="6">
        <f>RawSales[[#This Row],[Unit price]]*RawSales[[#This Row],[Quantity]]</f>
        <v>54855</v>
      </c>
      <c r="S891" s="6">
        <f>RawSales[[#This Row],[Subtotal]]*$B$1</f>
        <v>2742.75</v>
      </c>
      <c r="T891" s="6" t="b">
        <f>ROUND(RawSales[[#This Row],[Subtotal]],2)=ROUND(RawSales[[#This Row],[cogs]],2)</f>
        <v>1</v>
      </c>
      <c r="U891" s="6" t="b">
        <f>ROUND(RawSales[[#This Row],[cogs]]*0.05,2)=ROUND(RawSales[[#This Row],[Tax 5%]],2)</f>
        <v>1</v>
      </c>
      <c r="V891" s="6" t="b">
        <f>ROUND(RawSales[[#This Row],[cogs]]+RawSales[[#This Row],[Tax 5%]],2)=ROUND(RawSales[[#This Row],[Sales]],2)</f>
        <v>1</v>
      </c>
    </row>
    <row r="892" spans="1:22" x14ac:dyDescent="0.35">
      <c r="A892" s="4" t="s">
        <v>1425</v>
      </c>
      <c r="B892" t="s">
        <v>38</v>
      </c>
      <c r="C892" t="s">
        <v>39</v>
      </c>
      <c r="D892" t="s">
        <v>30</v>
      </c>
      <c r="E892" t="s">
        <v>31</v>
      </c>
      <c r="F892" t="s">
        <v>40</v>
      </c>
      <c r="G892" s="6">
        <v>5587</v>
      </c>
      <c r="H892" s="7">
        <v>10</v>
      </c>
      <c r="I892" s="6">
        <v>2793.5</v>
      </c>
      <c r="J892" s="6">
        <v>58663.5</v>
      </c>
      <c r="K892" s="5">
        <v>43479.958333333336</v>
      </c>
      <c r="L892" s="4" t="s">
        <v>774</v>
      </c>
      <c r="M892" t="s">
        <v>26</v>
      </c>
      <c r="N892" s="6">
        <v>55870</v>
      </c>
      <c r="O892">
        <v>4.7619047620000003</v>
      </c>
      <c r="P892" s="6">
        <v>2793.5</v>
      </c>
      <c r="Q892">
        <v>5.8</v>
      </c>
      <c r="R892" s="6">
        <f>RawSales[[#This Row],[Unit price]]*RawSales[[#This Row],[Quantity]]</f>
        <v>55870</v>
      </c>
      <c r="S892" s="6">
        <f>RawSales[[#This Row],[Subtotal]]*$B$1</f>
        <v>2793.5</v>
      </c>
      <c r="T892" s="6" t="b">
        <f>ROUND(RawSales[[#This Row],[Subtotal]],2)=ROUND(RawSales[[#This Row],[cogs]],2)</f>
        <v>1</v>
      </c>
      <c r="U892" s="6" t="b">
        <f>ROUND(RawSales[[#This Row],[cogs]]*0.05,2)=ROUND(RawSales[[#This Row],[Tax 5%]],2)</f>
        <v>1</v>
      </c>
      <c r="V892" s="6" t="b">
        <f>ROUND(RawSales[[#This Row],[cogs]]+RawSales[[#This Row],[Tax 5%]],2)=ROUND(RawSales[[#This Row],[Sales]],2)</f>
        <v>1</v>
      </c>
    </row>
    <row r="893" spans="1:22" x14ac:dyDescent="0.35">
      <c r="A893" s="4" t="s">
        <v>1426</v>
      </c>
      <c r="B893" t="s">
        <v>28</v>
      </c>
      <c r="C893" t="s">
        <v>29</v>
      </c>
      <c r="D893" t="s">
        <v>22</v>
      </c>
      <c r="E893" t="s">
        <v>23</v>
      </c>
      <c r="F893" t="s">
        <v>49</v>
      </c>
      <c r="G893" s="6">
        <v>1748</v>
      </c>
      <c r="H893" s="7">
        <v>6</v>
      </c>
      <c r="I893" s="6">
        <v>524.4</v>
      </c>
      <c r="J893" s="6">
        <v>11012.4</v>
      </c>
      <c r="K893" s="5">
        <v>43482.958333333336</v>
      </c>
      <c r="L893" s="4" t="s">
        <v>541</v>
      </c>
      <c r="M893" t="s">
        <v>51</v>
      </c>
      <c r="N893" s="6">
        <v>10488</v>
      </c>
      <c r="O893">
        <v>4.7619047620000003</v>
      </c>
      <c r="P893" s="6">
        <v>524.4</v>
      </c>
      <c r="Q893">
        <v>6.1</v>
      </c>
      <c r="R893" s="6">
        <f>RawSales[[#This Row],[Unit price]]*RawSales[[#This Row],[Quantity]]</f>
        <v>10488</v>
      </c>
      <c r="S893" s="6">
        <f>RawSales[[#This Row],[Subtotal]]*$B$1</f>
        <v>524.4</v>
      </c>
      <c r="T893" s="6" t="b">
        <f>ROUND(RawSales[[#This Row],[Subtotal]],2)=ROUND(RawSales[[#This Row],[cogs]],2)</f>
        <v>1</v>
      </c>
      <c r="U893" s="6" t="b">
        <f>ROUND(RawSales[[#This Row],[cogs]]*0.05,2)=ROUND(RawSales[[#This Row],[Tax 5%]],2)</f>
        <v>1</v>
      </c>
      <c r="V893" s="6" t="b">
        <f>ROUND(RawSales[[#This Row],[cogs]]+RawSales[[#This Row],[Tax 5%]],2)=ROUND(RawSales[[#This Row],[Sales]],2)</f>
        <v>1</v>
      </c>
    </row>
    <row r="894" spans="1:22" x14ac:dyDescent="0.35">
      <c r="A894" s="4" t="s">
        <v>1427</v>
      </c>
      <c r="B894" t="s">
        <v>20</v>
      </c>
      <c r="C894" t="s">
        <v>21</v>
      </c>
      <c r="D894" t="s">
        <v>30</v>
      </c>
      <c r="E894" t="s">
        <v>23</v>
      </c>
      <c r="F894" t="s">
        <v>62</v>
      </c>
      <c r="G894" s="6">
        <v>3326</v>
      </c>
      <c r="H894" s="7">
        <v>5</v>
      </c>
      <c r="I894" s="6">
        <v>831.5</v>
      </c>
      <c r="J894" s="6">
        <v>17461.5</v>
      </c>
      <c r="K894" s="5">
        <v>43541.958333333336</v>
      </c>
      <c r="L894" s="4" t="s">
        <v>1133</v>
      </c>
      <c r="M894" t="s">
        <v>51</v>
      </c>
      <c r="N894" s="6">
        <v>16630</v>
      </c>
      <c r="O894">
        <v>4.7619047620000003</v>
      </c>
      <c r="P894" s="6">
        <v>831.5</v>
      </c>
      <c r="Q894">
        <v>4.2</v>
      </c>
      <c r="R894" s="6">
        <f>RawSales[[#This Row],[Unit price]]*RawSales[[#This Row],[Quantity]]</f>
        <v>16630</v>
      </c>
      <c r="S894" s="6">
        <f>RawSales[[#This Row],[Subtotal]]*$B$1</f>
        <v>831.5</v>
      </c>
      <c r="T894" s="6" t="b">
        <f>ROUND(RawSales[[#This Row],[Subtotal]],2)=ROUND(RawSales[[#This Row],[cogs]],2)</f>
        <v>1</v>
      </c>
      <c r="U894" s="6" t="b">
        <f>ROUND(RawSales[[#This Row],[cogs]]*0.05,2)=ROUND(RawSales[[#This Row],[Tax 5%]],2)</f>
        <v>1</v>
      </c>
      <c r="V894" s="6" t="b">
        <f>ROUND(RawSales[[#This Row],[cogs]]+RawSales[[#This Row],[Tax 5%]],2)=ROUND(RawSales[[#This Row],[Sales]],2)</f>
        <v>1</v>
      </c>
    </row>
    <row r="895" spans="1:22" x14ac:dyDescent="0.35">
      <c r="A895" s="4" t="s">
        <v>1428</v>
      </c>
      <c r="B895" t="s">
        <v>38</v>
      </c>
      <c r="C895" t="s">
        <v>39</v>
      </c>
      <c r="D895" t="s">
        <v>22</v>
      </c>
      <c r="E895" t="s">
        <v>23</v>
      </c>
      <c r="F895" t="s">
        <v>62</v>
      </c>
      <c r="G895" s="6">
        <v>8716</v>
      </c>
      <c r="H895" s="7">
        <v>2</v>
      </c>
      <c r="I895" s="6">
        <v>871.6</v>
      </c>
      <c r="J895" s="6">
        <v>18303.599999999999</v>
      </c>
      <c r="K895" s="5">
        <v>43475.958333333336</v>
      </c>
      <c r="L895" s="4" t="s">
        <v>777</v>
      </c>
      <c r="M895" t="s">
        <v>51</v>
      </c>
      <c r="N895" s="6">
        <v>17432</v>
      </c>
      <c r="O895">
        <v>4.7619047620000003</v>
      </c>
      <c r="P895" s="6">
        <v>871.6</v>
      </c>
      <c r="Q895">
        <v>9.6999999999999993</v>
      </c>
      <c r="R895" s="6">
        <f>RawSales[[#This Row],[Unit price]]*RawSales[[#This Row],[Quantity]]</f>
        <v>17432</v>
      </c>
      <c r="S895" s="6">
        <f>RawSales[[#This Row],[Subtotal]]*$B$1</f>
        <v>871.6</v>
      </c>
      <c r="T895" s="6" t="b">
        <f>ROUND(RawSales[[#This Row],[Subtotal]],2)=ROUND(RawSales[[#This Row],[cogs]],2)</f>
        <v>1</v>
      </c>
      <c r="U895" s="6" t="b">
        <f>ROUND(RawSales[[#This Row],[cogs]]*0.05,2)=ROUND(RawSales[[#This Row],[Tax 5%]],2)</f>
        <v>1</v>
      </c>
      <c r="V895" s="6" t="b">
        <f>ROUND(RawSales[[#This Row],[cogs]]+RawSales[[#This Row],[Tax 5%]],2)=ROUND(RawSales[[#This Row],[Sales]],2)</f>
        <v>1</v>
      </c>
    </row>
    <row r="896" spans="1:22" x14ac:dyDescent="0.35">
      <c r="A896" s="4" t="s">
        <v>1429</v>
      </c>
      <c r="B896" t="s">
        <v>20</v>
      </c>
      <c r="C896" t="s">
        <v>21</v>
      </c>
      <c r="D896" t="s">
        <v>22</v>
      </c>
      <c r="E896" t="s">
        <v>31</v>
      </c>
      <c r="F896" t="s">
        <v>324</v>
      </c>
      <c r="G896" s="6">
        <v>8377</v>
      </c>
      <c r="H896" s="7">
        <v>2</v>
      </c>
      <c r="I896" s="6">
        <v>837.7</v>
      </c>
      <c r="J896" s="6">
        <v>17591.7</v>
      </c>
      <c r="K896" s="5">
        <v>43479.958333333336</v>
      </c>
      <c r="L896" s="4" t="s">
        <v>77</v>
      </c>
      <c r="M896" t="s">
        <v>51</v>
      </c>
      <c r="N896" s="6">
        <v>16754</v>
      </c>
      <c r="O896">
        <v>4.7619047620000003</v>
      </c>
      <c r="P896" s="6">
        <v>837.7</v>
      </c>
      <c r="Q896">
        <v>7</v>
      </c>
      <c r="R896" s="6">
        <f>RawSales[[#This Row],[Unit price]]*RawSales[[#This Row],[Quantity]]</f>
        <v>16754</v>
      </c>
      <c r="S896" s="6">
        <f>RawSales[[#This Row],[Subtotal]]*$B$1</f>
        <v>837.7</v>
      </c>
      <c r="T896" s="6" t="b">
        <f>ROUND(RawSales[[#This Row],[Subtotal]],2)=ROUND(RawSales[[#This Row],[cogs]],2)</f>
        <v>1</v>
      </c>
      <c r="U896" s="6" t="b">
        <f>ROUND(RawSales[[#This Row],[cogs]]*0.05,2)=ROUND(RawSales[[#This Row],[Tax 5%]],2)</f>
        <v>1</v>
      </c>
      <c r="V896" s="6" t="b">
        <f>ROUND(RawSales[[#This Row],[cogs]]+RawSales[[#This Row],[Tax 5%]],2)=ROUND(RawSales[[#This Row],[Sales]],2)</f>
        <v>1</v>
      </c>
    </row>
    <row r="897" spans="1:22" x14ac:dyDescent="0.35">
      <c r="A897" s="4" t="s">
        <v>1430</v>
      </c>
      <c r="B897" t="s">
        <v>28</v>
      </c>
      <c r="C897" t="s">
        <v>29</v>
      </c>
      <c r="D897" t="s">
        <v>30</v>
      </c>
      <c r="E897" t="s">
        <v>23</v>
      </c>
      <c r="F897" t="s">
        <v>62</v>
      </c>
      <c r="G897" s="6">
        <v>2477</v>
      </c>
      <c r="H897" s="7">
        <v>5</v>
      </c>
      <c r="I897" s="6">
        <v>619.25</v>
      </c>
      <c r="J897" s="6">
        <v>13004.25</v>
      </c>
      <c r="K897" s="5">
        <v>43547.958333333336</v>
      </c>
      <c r="L897" s="4" t="s">
        <v>129</v>
      </c>
      <c r="M897" t="s">
        <v>26</v>
      </c>
      <c r="N897" s="6">
        <v>12385</v>
      </c>
      <c r="O897">
        <v>4.7619047620000003</v>
      </c>
      <c r="P897" s="6">
        <v>619.25</v>
      </c>
      <c r="Q897">
        <v>8.5</v>
      </c>
      <c r="R897" s="6">
        <f>RawSales[[#This Row],[Unit price]]*RawSales[[#This Row],[Quantity]]</f>
        <v>12385</v>
      </c>
      <c r="S897" s="6">
        <f>RawSales[[#This Row],[Subtotal]]*$B$1</f>
        <v>619.25</v>
      </c>
      <c r="T897" s="6" t="b">
        <f>ROUND(RawSales[[#This Row],[Subtotal]],2)=ROUND(RawSales[[#This Row],[cogs]],2)</f>
        <v>1</v>
      </c>
      <c r="U897" s="6" t="b">
        <f>ROUND(RawSales[[#This Row],[cogs]]*0.05,2)=ROUND(RawSales[[#This Row],[Tax 5%]],2)</f>
        <v>1</v>
      </c>
      <c r="V897" s="6" t="b">
        <f>ROUND(RawSales[[#This Row],[cogs]]+RawSales[[#This Row],[Tax 5%]],2)=ROUND(RawSales[[#This Row],[Sales]],2)</f>
        <v>1</v>
      </c>
    </row>
    <row r="898" spans="1:22" x14ac:dyDescent="0.35">
      <c r="A898" s="4" t="s">
        <v>1431</v>
      </c>
      <c r="B898" t="s">
        <v>20</v>
      </c>
      <c r="C898" t="s">
        <v>21</v>
      </c>
      <c r="D898" t="s">
        <v>22</v>
      </c>
      <c r="E898" t="s">
        <v>23</v>
      </c>
      <c r="F898" t="s">
        <v>43</v>
      </c>
      <c r="G898" s="6">
        <v>2489</v>
      </c>
      <c r="H898" s="7">
        <v>9</v>
      </c>
      <c r="I898" s="6">
        <v>1120.05</v>
      </c>
      <c r="J898" s="6">
        <v>23521.05</v>
      </c>
      <c r="K898" s="5">
        <v>43538.958333333336</v>
      </c>
      <c r="L898" s="4" t="s">
        <v>762</v>
      </c>
      <c r="M898" t="s">
        <v>26</v>
      </c>
      <c r="N898" s="6">
        <v>22401</v>
      </c>
      <c r="O898">
        <v>4.7619047620000003</v>
      </c>
      <c r="P898" s="6">
        <v>1120.05</v>
      </c>
      <c r="Q898">
        <v>7.4</v>
      </c>
      <c r="R898" s="6">
        <f>RawSales[[#This Row],[Unit price]]*RawSales[[#This Row],[Quantity]]</f>
        <v>22401</v>
      </c>
      <c r="S898" s="6">
        <f>RawSales[[#This Row],[Subtotal]]*$B$1</f>
        <v>1120.05</v>
      </c>
      <c r="T898" s="6" t="b">
        <f>ROUND(RawSales[[#This Row],[Subtotal]],2)=ROUND(RawSales[[#This Row],[cogs]],2)</f>
        <v>1</v>
      </c>
      <c r="U898" s="6" t="b">
        <f>ROUND(RawSales[[#This Row],[cogs]]*0.05,2)=ROUND(RawSales[[#This Row],[Tax 5%]],2)</f>
        <v>1</v>
      </c>
      <c r="V898" s="6" t="b">
        <f>ROUND(RawSales[[#This Row],[cogs]]+RawSales[[#This Row],[Tax 5%]],2)=ROUND(RawSales[[#This Row],[Sales]],2)</f>
        <v>1</v>
      </c>
    </row>
    <row r="899" spans="1:22" x14ac:dyDescent="0.35">
      <c r="A899" s="4" t="s">
        <v>455</v>
      </c>
      <c r="B899" t="s">
        <v>20</v>
      </c>
      <c r="C899" t="s">
        <v>21</v>
      </c>
      <c r="D899" t="s">
        <v>22</v>
      </c>
      <c r="E899" t="s">
        <v>23</v>
      </c>
      <c r="F899" t="s">
        <v>24</v>
      </c>
      <c r="G899" s="6">
        <v>4763</v>
      </c>
      <c r="H899" s="7">
        <v>9</v>
      </c>
      <c r="I899" s="6">
        <v>2143.35</v>
      </c>
      <c r="J899" s="6">
        <v>45010.35</v>
      </c>
      <c r="K899" s="5">
        <v>43487.958333333336</v>
      </c>
      <c r="L899" s="4" t="s">
        <v>456</v>
      </c>
      <c r="M899" t="s">
        <v>26</v>
      </c>
      <c r="N899" s="6">
        <v>42867</v>
      </c>
      <c r="O899">
        <v>4.7619047620000003</v>
      </c>
      <c r="P899" s="6">
        <v>2143.35</v>
      </c>
      <c r="Q899">
        <v>5</v>
      </c>
      <c r="R899" s="6">
        <f>RawSales[[#This Row],[Unit price]]*RawSales[[#This Row],[Quantity]]</f>
        <v>42867</v>
      </c>
      <c r="S899" s="6">
        <f>RawSales[[#This Row],[Subtotal]]*$B$1</f>
        <v>2143.35</v>
      </c>
      <c r="T899" s="6" t="b">
        <f>ROUND(RawSales[[#This Row],[Subtotal]],2)=ROUND(RawSales[[#This Row],[cogs]],2)</f>
        <v>1</v>
      </c>
      <c r="U899" s="6" t="b">
        <f>ROUND(RawSales[[#This Row],[cogs]]*0.05,2)=ROUND(RawSales[[#This Row],[Tax 5%]],2)</f>
        <v>1</v>
      </c>
      <c r="V899" s="6" t="b">
        <f>ROUND(RawSales[[#This Row],[cogs]]+RawSales[[#This Row],[Tax 5%]],2)=ROUND(RawSales[[#This Row],[Sales]],2)</f>
        <v>1</v>
      </c>
    </row>
    <row r="900" spans="1:22" x14ac:dyDescent="0.35">
      <c r="A900" s="4" t="s">
        <v>1432</v>
      </c>
      <c r="B900" t="s">
        <v>38</v>
      </c>
      <c r="C900" t="s">
        <v>39</v>
      </c>
      <c r="D900" t="s">
        <v>30</v>
      </c>
      <c r="E900" t="s">
        <v>23</v>
      </c>
      <c r="F900" t="s">
        <v>239</v>
      </c>
      <c r="G900" s="6">
        <v>6041</v>
      </c>
      <c r="H900" s="7">
        <v>8</v>
      </c>
      <c r="I900" s="6">
        <v>2416.4</v>
      </c>
      <c r="J900" s="6">
        <v>50744.4</v>
      </c>
      <c r="K900" s="5">
        <v>43502.958333333336</v>
      </c>
      <c r="L900" s="4" t="s">
        <v>1305</v>
      </c>
      <c r="M900" t="s">
        <v>34</v>
      </c>
      <c r="N900" s="6">
        <v>48328</v>
      </c>
      <c r="O900">
        <v>4.7619047620000003</v>
      </c>
      <c r="P900" s="6">
        <v>2416.4</v>
      </c>
      <c r="Q900">
        <v>9.6</v>
      </c>
      <c r="R900" s="6">
        <f>RawSales[[#This Row],[Unit price]]*RawSales[[#This Row],[Quantity]]</f>
        <v>48328</v>
      </c>
      <c r="S900" s="6">
        <f>RawSales[[#This Row],[Subtotal]]*$B$1</f>
        <v>2416.4</v>
      </c>
      <c r="T900" s="6" t="b">
        <f>ROUND(RawSales[[#This Row],[Subtotal]],2)=ROUND(RawSales[[#This Row],[cogs]],2)</f>
        <v>1</v>
      </c>
      <c r="U900" s="6" t="b">
        <f>ROUND(RawSales[[#This Row],[cogs]]*0.05,2)=ROUND(RawSales[[#This Row],[Tax 5%]],2)</f>
        <v>1</v>
      </c>
      <c r="V900" s="6" t="b">
        <f>ROUND(RawSales[[#This Row],[cogs]]+RawSales[[#This Row],[Tax 5%]],2)=ROUND(RawSales[[#This Row],[Sales]],2)</f>
        <v>1</v>
      </c>
    </row>
    <row r="901" spans="1:22" x14ac:dyDescent="0.35">
      <c r="A901" s="4" t="s">
        <v>1433</v>
      </c>
      <c r="B901" t="s">
        <v>28</v>
      </c>
      <c r="C901" t="s">
        <v>29</v>
      </c>
      <c r="D901" t="s">
        <v>30</v>
      </c>
      <c r="E901" t="s">
        <v>31</v>
      </c>
      <c r="F901" t="s">
        <v>32</v>
      </c>
      <c r="G901" s="6">
        <v>4412</v>
      </c>
      <c r="H901" s="7">
        <v>3</v>
      </c>
      <c r="I901" s="6">
        <v>661.8</v>
      </c>
      <c r="J901" s="6">
        <v>13897.8</v>
      </c>
      <c r="K901" s="5">
        <v>43541.958333333336</v>
      </c>
      <c r="L901" s="4" t="s">
        <v>228</v>
      </c>
      <c r="M901" t="s">
        <v>51</v>
      </c>
      <c r="N901" s="6">
        <v>13236</v>
      </c>
      <c r="O901">
        <v>4.7619047620000003</v>
      </c>
      <c r="P901" s="6">
        <v>661.8</v>
      </c>
      <c r="Q901">
        <v>7.9</v>
      </c>
      <c r="R901" s="6">
        <f>RawSales[[#This Row],[Unit price]]*RawSales[[#This Row],[Quantity]]</f>
        <v>13236</v>
      </c>
      <c r="S901" s="6">
        <f>RawSales[[#This Row],[Subtotal]]*$B$1</f>
        <v>661.80000000000007</v>
      </c>
      <c r="T901" s="6" t="b">
        <f>ROUND(RawSales[[#This Row],[Subtotal]],2)=ROUND(RawSales[[#This Row],[cogs]],2)</f>
        <v>1</v>
      </c>
      <c r="U901" s="6" t="b">
        <f>ROUND(RawSales[[#This Row],[cogs]]*0.05,2)=ROUND(RawSales[[#This Row],[Tax 5%]],2)</f>
        <v>1</v>
      </c>
      <c r="V901" s="6" t="b">
        <f>ROUND(RawSales[[#This Row],[cogs]]+RawSales[[#This Row],[Tax 5%]],2)=ROUND(RawSales[[#This Row],[Sales]],2)</f>
        <v>1</v>
      </c>
    </row>
    <row r="902" spans="1:22" x14ac:dyDescent="0.35">
      <c r="A902" s="4" t="s">
        <v>1434</v>
      </c>
      <c r="B902" t="s">
        <v>28</v>
      </c>
      <c r="C902" t="s">
        <v>29</v>
      </c>
      <c r="D902" t="s">
        <v>30</v>
      </c>
      <c r="E902" t="s">
        <v>31</v>
      </c>
      <c r="F902" t="s">
        <v>62</v>
      </c>
      <c r="G902" s="6">
        <v>4463</v>
      </c>
      <c r="H902" s="7">
        <v>6</v>
      </c>
      <c r="I902" s="6">
        <v>1338.9</v>
      </c>
      <c r="J902" s="6">
        <v>28116.9</v>
      </c>
      <c r="K902" s="5">
        <v>43466.958333333336</v>
      </c>
      <c r="L902" s="4" t="s">
        <v>292</v>
      </c>
      <c r="M902" t="s">
        <v>51</v>
      </c>
      <c r="N902" s="6">
        <v>26778</v>
      </c>
      <c r="O902">
        <v>4.7619047620000003</v>
      </c>
      <c r="P902" s="6">
        <v>1338.9</v>
      </c>
      <c r="Q902">
        <v>5.0999999999999996</v>
      </c>
      <c r="R902" s="6">
        <f>RawSales[[#This Row],[Unit price]]*RawSales[[#This Row],[Quantity]]</f>
        <v>26778</v>
      </c>
      <c r="S902" s="6">
        <f>RawSales[[#This Row],[Subtotal]]*$B$1</f>
        <v>1338.9</v>
      </c>
      <c r="T902" s="6" t="b">
        <f>ROUND(RawSales[[#This Row],[Subtotal]],2)=ROUND(RawSales[[#This Row],[cogs]],2)</f>
        <v>1</v>
      </c>
      <c r="U902" s="6" t="b">
        <f>ROUND(RawSales[[#This Row],[cogs]]*0.05,2)=ROUND(RawSales[[#This Row],[Tax 5%]],2)</f>
        <v>1</v>
      </c>
      <c r="V902" s="6" t="b">
        <f>ROUND(RawSales[[#This Row],[cogs]]+RawSales[[#This Row],[Tax 5%]],2)=ROUND(RawSales[[#This Row],[Sales]],2)</f>
        <v>1</v>
      </c>
    </row>
    <row r="903" spans="1:22" x14ac:dyDescent="0.35">
      <c r="A903" s="4" t="s">
        <v>1435</v>
      </c>
      <c r="B903" t="s">
        <v>38</v>
      </c>
      <c r="C903" t="s">
        <v>39</v>
      </c>
      <c r="D903" t="s">
        <v>30</v>
      </c>
      <c r="E903" t="s">
        <v>31</v>
      </c>
      <c r="F903" t="s">
        <v>49</v>
      </c>
      <c r="G903" s="6">
        <v>6426</v>
      </c>
      <c r="H903" s="7">
        <v>7</v>
      </c>
      <c r="I903" s="6">
        <v>2249.1</v>
      </c>
      <c r="J903" s="6">
        <v>47231.1</v>
      </c>
      <c r="K903" s="5">
        <v>43504.958333333336</v>
      </c>
      <c r="L903" s="4" t="s">
        <v>25</v>
      </c>
      <c r="M903" t="s">
        <v>26</v>
      </c>
      <c r="N903" s="6">
        <v>44982</v>
      </c>
      <c r="O903">
        <v>4.7619047620000003</v>
      </c>
      <c r="P903" s="6">
        <v>2249.1</v>
      </c>
      <c r="Q903">
        <v>5.7</v>
      </c>
      <c r="R903" s="6">
        <f>RawSales[[#This Row],[Unit price]]*RawSales[[#This Row],[Quantity]]</f>
        <v>44982</v>
      </c>
      <c r="S903" s="6">
        <f>RawSales[[#This Row],[Subtotal]]*$B$1</f>
        <v>2249.1</v>
      </c>
      <c r="T903" s="6" t="b">
        <f>ROUND(RawSales[[#This Row],[Subtotal]],2)=ROUND(RawSales[[#This Row],[cogs]],2)</f>
        <v>1</v>
      </c>
      <c r="U903" s="6" t="b">
        <f>ROUND(RawSales[[#This Row],[cogs]]*0.05,2)=ROUND(RawSales[[#This Row],[Tax 5%]],2)</f>
        <v>1</v>
      </c>
      <c r="V903" s="6" t="b">
        <f>ROUND(RawSales[[#This Row],[cogs]]+RawSales[[#This Row],[Tax 5%]],2)=ROUND(RawSales[[#This Row],[Sales]],2)</f>
        <v>1</v>
      </c>
    </row>
    <row r="904" spans="1:22" x14ac:dyDescent="0.35">
      <c r="A904" s="4" t="s">
        <v>1436</v>
      </c>
      <c r="B904" t="s">
        <v>38</v>
      </c>
      <c r="C904" t="s">
        <v>39</v>
      </c>
      <c r="D904" t="s">
        <v>22</v>
      </c>
      <c r="E904" t="s">
        <v>23</v>
      </c>
      <c r="F904" t="s">
        <v>24</v>
      </c>
      <c r="G904" s="6">
        <v>3842</v>
      </c>
      <c r="H904" s="7">
        <v>1</v>
      </c>
      <c r="I904" s="6">
        <v>192.1</v>
      </c>
      <c r="J904" s="6">
        <v>4034.1</v>
      </c>
      <c r="K904" s="5">
        <v>43497.958333333336</v>
      </c>
      <c r="L904" s="4" t="s">
        <v>1437</v>
      </c>
      <c r="M904" t="s">
        <v>26</v>
      </c>
      <c r="N904" s="6">
        <v>3842</v>
      </c>
      <c r="O904">
        <v>4.7619047620000003</v>
      </c>
      <c r="P904" s="6">
        <v>192.1</v>
      </c>
      <c r="Q904">
        <v>8.6</v>
      </c>
      <c r="R904" s="6">
        <f>RawSales[[#This Row],[Unit price]]*RawSales[[#This Row],[Quantity]]</f>
        <v>3842</v>
      </c>
      <c r="S904" s="6">
        <f>RawSales[[#This Row],[Subtotal]]*$B$1</f>
        <v>192.10000000000002</v>
      </c>
      <c r="T904" s="6" t="b">
        <f>ROUND(RawSales[[#This Row],[Subtotal]],2)=ROUND(RawSales[[#This Row],[cogs]],2)</f>
        <v>1</v>
      </c>
      <c r="U904" s="6" t="b">
        <f>ROUND(RawSales[[#This Row],[cogs]]*0.05,2)=ROUND(RawSales[[#This Row],[Tax 5%]],2)</f>
        <v>1</v>
      </c>
      <c r="V904" s="6" t="b">
        <f>ROUND(RawSales[[#This Row],[cogs]]+RawSales[[#This Row],[Tax 5%]],2)=ROUND(RawSales[[#This Row],[Sales]],2)</f>
        <v>1</v>
      </c>
    </row>
    <row r="905" spans="1:22" x14ac:dyDescent="0.35">
      <c r="A905" s="4" t="s">
        <v>1438</v>
      </c>
      <c r="B905" t="s">
        <v>28</v>
      </c>
      <c r="C905" t="s">
        <v>29</v>
      </c>
      <c r="D905" t="s">
        <v>30</v>
      </c>
      <c r="E905" t="s">
        <v>31</v>
      </c>
      <c r="F905" t="s">
        <v>32</v>
      </c>
      <c r="G905" s="6">
        <v>6897</v>
      </c>
      <c r="H905" s="7">
        <v>3</v>
      </c>
      <c r="I905" s="6">
        <v>1034.55</v>
      </c>
      <c r="J905" s="6">
        <v>21725.55</v>
      </c>
      <c r="K905" s="5">
        <v>43517.958333333336</v>
      </c>
      <c r="L905" s="4" t="s">
        <v>748</v>
      </c>
      <c r="M905" t="s">
        <v>34</v>
      </c>
      <c r="N905" s="6">
        <v>20691</v>
      </c>
      <c r="O905">
        <v>4.7619047620000003</v>
      </c>
      <c r="P905" s="6">
        <v>1034.55</v>
      </c>
      <c r="Q905">
        <v>8.6999999999999993</v>
      </c>
      <c r="R905" s="6">
        <f>RawSales[[#This Row],[Unit price]]*RawSales[[#This Row],[Quantity]]</f>
        <v>20691</v>
      </c>
      <c r="S905" s="6">
        <f>RawSales[[#This Row],[Subtotal]]*$B$1</f>
        <v>1034.55</v>
      </c>
      <c r="T905" s="6" t="b">
        <f>ROUND(RawSales[[#This Row],[Subtotal]],2)=ROUND(RawSales[[#This Row],[cogs]],2)</f>
        <v>1</v>
      </c>
      <c r="U905" s="6" t="b">
        <f>ROUND(RawSales[[#This Row],[cogs]]*0.05,2)=ROUND(RawSales[[#This Row],[Tax 5%]],2)</f>
        <v>1</v>
      </c>
      <c r="V905" s="6" t="b">
        <f>ROUND(RawSales[[#This Row],[cogs]]+RawSales[[#This Row],[Tax 5%]],2)=ROUND(RawSales[[#This Row],[Sales]],2)</f>
        <v>1</v>
      </c>
    </row>
    <row r="906" spans="1:22" x14ac:dyDescent="0.35">
      <c r="A906" s="4" t="s">
        <v>1439</v>
      </c>
      <c r="B906" t="s">
        <v>38</v>
      </c>
      <c r="C906" t="s">
        <v>39</v>
      </c>
      <c r="D906" t="s">
        <v>30</v>
      </c>
      <c r="E906" t="s">
        <v>31</v>
      </c>
      <c r="F906" t="s">
        <v>324</v>
      </c>
      <c r="G906" s="6">
        <v>3589</v>
      </c>
      <c r="H906" s="7">
        <v>1</v>
      </c>
      <c r="I906" s="6">
        <v>179.45</v>
      </c>
      <c r="J906" s="6">
        <v>3768.45</v>
      </c>
      <c r="K906" s="5">
        <v>43518.958333333336</v>
      </c>
      <c r="L906" s="4" t="s">
        <v>1440</v>
      </c>
      <c r="M906" t="s">
        <v>51</v>
      </c>
      <c r="N906" s="6">
        <v>3589</v>
      </c>
      <c r="O906">
        <v>4.7619047620000003</v>
      </c>
      <c r="P906" s="6">
        <v>179.45</v>
      </c>
      <c r="Q906">
        <v>7.9</v>
      </c>
      <c r="R906" s="6">
        <f>RawSales[[#This Row],[Unit price]]*RawSales[[#This Row],[Quantity]]</f>
        <v>3589</v>
      </c>
      <c r="S906" s="6">
        <f>RawSales[[#This Row],[Subtotal]]*$B$1</f>
        <v>179.45000000000002</v>
      </c>
      <c r="T906" s="6" t="b">
        <f>ROUND(RawSales[[#This Row],[Subtotal]],2)=ROUND(RawSales[[#This Row],[cogs]],2)</f>
        <v>1</v>
      </c>
      <c r="U906" s="6" t="b">
        <f>ROUND(RawSales[[#This Row],[cogs]]*0.05,2)=ROUND(RawSales[[#This Row],[Tax 5%]],2)</f>
        <v>1</v>
      </c>
      <c r="V906" s="6" t="b">
        <f>ROUND(RawSales[[#This Row],[cogs]]+RawSales[[#This Row],[Tax 5%]],2)=ROUND(RawSales[[#This Row],[Sales]],2)</f>
        <v>1</v>
      </c>
    </row>
    <row r="907" spans="1:22" x14ac:dyDescent="0.35">
      <c r="A907" s="4" t="s">
        <v>1441</v>
      </c>
      <c r="B907" t="s">
        <v>38</v>
      </c>
      <c r="C907" t="s">
        <v>39</v>
      </c>
      <c r="D907" t="s">
        <v>30</v>
      </c>
      <c r="E907" t="s">
        <v>23</v>
      </c>
      <c r="F907" t="s">
        <v>40</v>
      </c>
      <c r="G907" s="6">
        <v>3549</v>
      </c>
      <c r="H907" s="7">
        <v>6</v>
      </c>
      <c r="I907" s="6">
        <v>1064.7</v>
      </c>
      <c r="J907" s="6">
        <v>22358.7</v>
      </c>
      <c r="K907" s="4" t="s">
        <v>1442</v>
      </c>
      <c r="L907" s="4" t="s">
        <v>579</v>
      </c>
      <c r="M907" t="s">
        <v>26</v>
      </c>
      <c r="N907" s="6">
        <v>21294</v>
      </c>
      <c r="O907">
        <v>4.7619047620000003</v>
      </c>
      <c r="P907" s="6">
        <v>1064.7</v>
      </c>
      <c r="Q907">
        <v>4.0999999999999996</v>
      </c>
      <c r="R907" s="6">
        <f>RawSales[[#This Row],[Unit price]]*RawSales[[#This Row],[Quantity]]</f>
        <v>21294</v>
      </c>
      <c r="S907" s="6">
        <f>RawSales[[#This Row],[Subtotal]]*$B$1</f>
        <v>1064.7</v>
      </c>
      <c r="T907" s="6" t="b">
        <f>ROUND(RawSales[[#This Row],[Subtotal]],2)=ROUND(RawSales[[#This Row],[cogs]],2)</f>
        <v>1</v>
      </c>
      <c r="U907" s="6" t="b">
        <f>ROUND(RawSales[[#This Row],[cogs]]*0.05,2)=ROUND(RawSales[[#This Row],[Tax 5%]],2)</f>
        <v>1</v>
      </c>
      <c r="V907" s="6" t="b">
        <f>ROUND(RawSales[[#This Row],[cogs]]+RawSales[[#This Row],[Tax 5%]],2)=ROUND(RawSales[[#This Row],[Sales]],2)</f>
        <v>1</v>
      </c>
    </row>
    <row r="908" spans="1:22" x14ac:dyDescent="0.35">
      <c r="A908" s="4" t="s">
        <v>1443</v>
      </c>
      <c r="B908" t="s">
        <v>20</v>
      </c>
      <c r="C908" t="s">
        <v>21</v>
      </c>
      <c r="D908" t="s">
        <v>22</v>
      </c>
      <c r="E908" t="s">
        <v>23</v>
      </c>
      <c r="F908" t="s">
        <v>24</v>
      </c>
      <c r="G908" s="6">
        <v>7347</v>
      </c>
      <c r="H908" s="7">
        <v>4</v>
      </c>
      <c r="I908" s="6">
        <v>1469.4</v>
      </c>
      <c r="J908" s="6">
        <v>30857.4</v>
      </c>
      <c r="K908" s="5">
        <v>43518.958333333336</v>
      </c>
      <c r="L908" s="4" t="s">
        <v>669</v>
      </c>
      <c r="M908" t="s">
        <v>26</v>
      </c>
      <c r="N908" s="6">
        <v>29388</v>
      </c>
      <c r="O908">
        <v>4.7619047620000003</v>
      </c>
      <c r="P908" s="6">
        <v>1469.4</v>
      </c>
      <c r="Q908">
        <v>6</v>
      </c>
      <c r="R908" s="6">
        <f>RawSales[[#This Row],[Unit price]]*RawSales[[#This Row],[Quantity]]</f>
        <v>29388</v>
      </c>
      <c r="S908" s="6">
        <f>RawSales[[#This Row],[Subtotal]]*$B$1</f>
        <v>1469.4</v>
      </c>
      <c r="T908" s="6" t="b">
        <f>ROUND(RawSales[[#This Row],[Subtotal]],2)=ROUND(RawSales[[#This Row],[cogs]],2)</f>
        <v>1</v>
      </c>
      <c r="U908" s="6" t="b">
        <f>ROUND(RawSales[[#This Row],[cogs]]*0.05,2)=ROUND(RawSales[[#This Row],[Tax 5%]],2)</f>
        <v>1</v>
      </c>
      <c r="V908" s="6" t="b">
        <f>ROUND(RawSales[[#This Row],[cogs]]+RawSales[[#This Row],[Tax 5%]],2)=ROUND(RawSales[[#This Row],[Sales]],2)</f>
        <v>1</v>
      </c>
    </row>
    <row r="909" spans="1:22" x14ac:dyDescent="0.35">
      <c r="A909" s="4" t="s">
        <v>1444</v>
      </c>
      <c r="B909" t="s">
        <v>28</v>
      </c>
      <c r="C909" t="s">
        <v>29</v>
      </c>
      <c r="D909" t="s">
        <v>22</v>
      </c>
      <c r="E909" t="s">
        <v>23</v>
      </c>
      <c r="F909" t="s">
        <v>24</v>
      </c>
      <c r="G909" s="6">
        <v>1763</v>
      </c>
      <c r="H909" s="7">
        <v>5</v>
      </c>
      <c r="I909" s="6">
        <v>440.75</v>
      </c>
      <c r="J909" s="6">
        <v>9255.75</v>
      </c>
      <c r="K909" s="5">
        <v>43531.958333333336</v>
      </c>
      <c r="L909" s="4" t="s">
        <v>402</v>
      </c>
      <c r="M909" t="s">
        <v>26</v>
      </c>
      <c r="N909" s="6">
        <v>8815</v>
      </c>
      <c r="O909">
        <v>4.7619047620000003</v>
      </c>
      <c r="P909" s="6">
        <v>440.75</v>
      </c>
      <c r="Q909">
        <v>8.5</v>
      </c>
      <c r="R909" s="6">
        <f>RawSales[[#This Row],[Unit price]]*RawSales[[#This Row],[Quantity]]</f>
        <v>8815</v>
      </c>
      <c r="S909" s="6">
        <f>RawSales[[#This Row],[Subtotal]]*$B$1</f>
        <v>440.75</v>
      </c>
      <c r="T909" s="6" t="b">
        <f>ROUND(RawSales[[#This Row],[Subtotal]],2)=ROUND(RawSales[[#This Row],[cogs]],2)</f>
        <v>1</v>
      </c>
      <c r="U909" s="6" t="b">
        <f>ROUND(RawSales[[#This Row],[cogs]]*0.05,2)=ROUND(RawSales[[#This Row],[Tax 5%]],2)</f>
        <v>1</v>
      </c>
      <c r="V909" s="6" t="b">
        <f>ROUND(RawSales[[#This Row],[cogs]]+RawSales[[#This Row],[Tax 5%]],2)=ROUND(RawSales[[#This Row],[Sales]],2)</f>
        <v>1</v>
      </c>
    </row>
    <row r="910" spans="1:22" x14ac:dyDescent="0.35">
      <c r="A910" s="4" t="s">
        <v>620</v>
      </c>
      <c r="B910" t="s">
        <v>38</v>
      </c>
      <c r="C910" t="s">
        <v>39</v>
      </c>
      <c r="D910" t="s">
        <v>22</v>
      </c>
      <c r="E910" t="s">
        <v>23</v>
      </c>
      <c r="F910" t="s">
        <v>32</v>
      </c>
      <c r="G910" s="6">
        <v>8317</v>
      </c>
      <c r="H910" s="7">
        <v>6</v>
      </c>
      <c r="I910" s="6">
        <v>2495.1</v>
      </c>
      <c r="J910" s="6">
        <v>52397.1</v>
      </c>
      <c r="K910" s="5">
        <v>43543.958333333336</v>
      </c>
      <c r="L910" s="4" t="s">
        <v>249</v>
      </c>
      <c r="M910" t="s">
        <v>26</v>
      </c>
      <c r="N910" s="6">
        <v>49902</v>
      </c>
      <c r="O910">
        <v>4.7619047620000003</v>
      </c>
      <c r="P910" s="6">
        <v>2495.1</v>
      </c>
      <c r="Q910">
        <v>7.3</v>
      </c>
      <c r="R910" s="6">
        <f>RawSales[[#This Row],[Unit price]]*RawSales[[#This Row],[Quantity]]</f>
        <v>49902</v>
      </c>
      <c r="S910" s="6">
        <f>RawSales[[#This Row],[Subtotal]]*$B$1</f>
        <v>2495.1000000000004</v>
      </c>
      <c r="T910" s="6" t="b">
        <f>ROUND(RawSales[[#This Row],[Subtotal]],2)=ROUND(RawSales[[#This Row],[cogs]],2)</f>
        <v>1</v>
      </c>
      <c r="U910" s="6" t="b">
        <f>ROUND(RawSales[[#This Row],[cogs]]*0.05,2)=ROUND(RawSales[[#This Row],[Tax 5%]],2)</f>
        <v>1</v>
      </c>
      <c r="V910" s="6" t="b">
        <f>ROUND(RawSales[[#This Row],[cogs]]+RawSales[[#This Row],[Tax 5%]],2)=ROUND(RawSales[[#This Row],[Sales]],2)</f>
        <v>1</v>
      </c>
    </row>
    <row r="911" spans="1:22" x14ac:dyDescent="0.35">
      <c r="A911" s="4" t="s">
        <v>1445</v>
      </c>
      <c r="B911" t="s">
        <v>20</v>
      </c>
      <c r="C911" t="s">
        <v>21</v>
      </c>
      <c r="D911" t="s">
        <v>22</v>
      </c>
      <c r="E911" t="s">
        <v>23</v>
      </c>
      <c r="F911" t="s">
        <v>40</v>
      </c>
      <c r="G911" s="6">
        <v>6444</v>
      </c>
      <c r="H911" s="7">
        <v>5</v>
      </c>
      <c r="I911" s="6">
        <v>1611</v>
      </c>
      <c r="J911" s="6">
        <v>33831</v>
      </c>
      <c r="K911" s="5">
        <v>43553.958333333336</v>
      </c>
      <c r="L911" s="4" t="s">
        <v>870</v>
      </c>
      <c r="M911" t="s">
        <v>26</v>
      </c>
      <c r="N911" s="6">
        <v>32220</v>
      </c>
      <c r="O911">
        <v>4.7619047620000003</v>
      </c>
      <c r="P911" s="6">
        <v>1611</v>
      </c>
      <c r="Q911">
        <v>6.6</v>
      </c>
      <c r="R911" s="6">
        <f>RawSales[[#This Row],[Unit price]]*RawSales[[#This Row],[Quantity]]</f>
        <v>32220</v>
      </c>
      <c r="S911" s="6">
        <f>RawSales[[#This Row],[Subtotal]]*$B$1</f>
        <v>1611</v>
      </c>
      <c r="T911" s="6" t="b">
        <f>ROUND(RawSales[[#This Row],[Subtotal]],2)=ROUND(RawSales[[#This Row],[cogs]],2)</f>
        <v>1</v>
      </c>
      <c r="U911" s="6" t="b">
        <f>ROUND(RawSales[[#This Row],[cogs]]*0.05,2)=ROUND(RawSales[[#This Row],[Tax 5%]],2)</f>
        <v>1</v>
      </c>
      <c r="V911" s="6" t="b">
        <f>ROUND(RawSales[[#This Row],[cogs]]+RawSales[[#This Row],[Tax 5%]],2)=ROUND(RawSales[[#This Row],[Sales]],2)</f>
        <v>1</v>
      </c>
    </row>
    <row r="912" spans="1:22" x14ac:dyDescent="0.35">
      <c r="A912" s="4" t="s">
        <v>1446</v>
      </c>
      <c r="B912" t="s">
        <v>28</v>
      </c>
      <c r="C912" t="s">
        <v>29</v>
      </c>
      <c r="D912" t="s">
        <v>30</v>
      </c>
      <c r="E912" t="s">
        <v>31</v>
      </c>
      <c r="F912" t="s">
        <v>62</v>
      </c>
      <c r="G912" s="6">
        <v>5445</v>
      </c>
      <c r="H912" s="7">
        <v>1</v>
      </c>
      <c r="I912" s="6">
        <v>272.25</v>
      </c>
      <c r="J912" s="6">
        <v>5717.25</v>
      </c>
      <c r="K912" s="5">
        <v>43521.958333333336</v>
      </c>
      <c r="L912" s="4" t="s">
        <v>834</v>
      </c>
      <c r="M912" t="s">
        <v>34</v>
      </c>
      <c r="N912" s="6">
        <v>5445</v>
      </c>
      <c r="O912">
        <v>4.7619047620000003</v>
      </c>
      <c r="P912" s="6">
        <v>272.25</v>
      </c>
      <c r="Q912">
        <v>7.9</v>
      </c>
      <c r="R912" s="6">
        <f>RawSales[[#This Row],[Unit price]]*RawSales[[#This Row],[Quantity]]</f>
        <v>5445</v>
      </c>
      <c r="S912" s="6">
        <f>RawSales[[#This Row],[Subtotal]]*$B$1</f>
        <v>272.25</v>
      </c>
      <c r="T912" s="6" t="b">
        <f>ROUND(RawSales[[#This Row],[Subtotal]],2)=ROUND(RawSales[[#This Row],[cogs]],2)</f>
        <v>1</v>
      </c>
      <c r="U912" s="6" t="b">
        <f>ROUND(RawSales[[#This Row],[cogs]]*0.05,2)=ROUND(RawSales[[#This Row],[Tax 5%]],2)</f>
        <v>1</v>
      </c>
      <c r="V912" s="6" t="b">
        <f>ROUND(RawSales[[#This Row],[cogs]]+RawSales[[#This Row],[Tax 5%]],2)=ROUND(RawSales[[#This Row],[Sales]],2)</f>
        <v>1</v>
      </c>
    </row>
    <row r="913" spans="1:22" x14ac:dyDescent="0.35">
      <c r="A913" s="4" t="s">
        <v>1447</v>
      </c>
      <c r="B913" t="s">
        <v>28</v>
      </c>
      <c r="C913" t="s">
        <v>29</v>
      </c>
      <c r="D913" t="s">
        <v>22</v>
      </c>
      <c r="E913" t="s">
        <v>23</v>
      </c>
      <c r="F913" t="s">
        <v>43</v>
      </c>
      <c r="G913" s="6">
        <v>7574</v>
      </c>
      <c r="H913" s="7">
        <v>4</v>
      </c>
      <c r="I913" s="6">
        <v>1514.8</v>
      </c>
      <c r="J913" s="6">
        <v>31810.799999999999</v>
      </c>
      <c r="K913" s="5">
        <v>43509.958333333336</v>
      </c>
      <c r="L913" s="4" t="s">
        <v>635</v>
      </c>
      <c r="M913" t="s">
        <v>26</v>
      </c>
      <c r="N913" s="6">
        <v>30296</v>
      </c>
      <c r="O913">
        <v>4.7619047620000003</v>
      </c>
      <c r="P913" s="6">
        <v>1514.8</v>
      </c>
      <c r="Q913">
        <v>7.6</v>
      </c>
      <c r="R913" s="6">
        <f>RawSales[[#This Row],[Unit price]]*RawSales[[#This Row],[Quantity]]</f>
        <v>30296</v>
      </c>
      <c r="S913" s="6">
        <f>RawSales[[#This Row],[Subtotal]]*$B$1</f>
        <v>1514.8000000000002</v>
      </c>
      <c r="T913" s="6" t="b">
        <f>ROUND(RawSales[[#This Row],[Subtotal]],2)=ROUND(RawSales[[#This Row],[cogs]],2)</f>
        <v>1</v>
      </c>
      <c r="U913" s="6" t="b">
        <f>ROUND(RawSales[[#This Row],[cogs]]*0.05,2)=ROUND(RawSales[[#This Row],[Tax 5%]],2)</f>
        <v>1</v>
      </c>
      <c r="V913" s="6" t="b">
        <f>ROUND(RawSales[[#This Row],[cogs]]+RawSales[[#This Row],[Tax 5%]],2)=ROUND(RawSales[[#This Row],[Sales]],2)</f>
        <v>1</v>
      </c>
    </row>
    <row r="914" spans="1:22" x14ac:dyDescent="0.35">
      <c r="A914" s="4" t="s">
        <v>1448</v>
      </c>
      <c r="B914" t="s">
        <v>38</v>
      </c>
      <c r="C914" t="s">
        <v>39</v>
      </c>
      <c r="D914" t="s">
        <v>30</v>
      </c>
      <c r="E914" t="s">
        <v>23</v>
      </c>
      <c r="F914" t="s">
        <v>24</v>
      </c>
      <c r="G914" s="6">
        <v>5729</v>
      </c>
      <c r="H914" s="7">
        <v>6</v>
      </c>
      <c r="I914" s="6">
        <v>1718.7</v>
      </c>
      <c r="J914" s="6">
        <v>36092.699999999997</v>
      </c>
      <c r="K914" s="5">
        <v>43544.958333333336</v>
      </c>
      <c r="L914" s="4" t="s">
        <v>870</v>
      </c>
      <c r="M914" t="s">
        <v>34</v>
      </c>
      <c r="N914" s="6">
        <v>34374</v>
      </c>
      <c r="O914">
        <v>4.7619047620000003</v>
      </c>
      <c r="P914" s="6">
        <v>1718.7</v>
      </c>
      <c r="Q914">
        <v>5.9</v>
      </c>
      <c r="R914" s="6">
        <f>RawSales[[#This Row],[Unit price]]*RawSales[[#This Row],[Quantity]]</f>
        <v>34374</v>
      </c>
      <c r="S914" s="6">
        <f>RawSales[[#This Row],[Subtotal]]*$B$1</f>
        <v>1718.7</v>
      </c>
      <c r="T914" s="6" t="b">
        <f>ROUND(RawSales[[#This Row],[Subtotal]],2)=ROUND(RawSales[[#This Row],[cogs]],2)</f>
        <v>1</v>
      </c>
      <c r="U914" s="6" t="b">
        <f>ROUND(RawSales[[#This Row],[cogs]]*0.05,2)=ROUND(RawSales[[#This Row],[Tax 5%]],2)</f>
        <v>1</v>
      </c>
      <c r="V914" s="6" t="b">
        <f>ROUND(RawSales[[#This Row],[cogs]]+RawSales[[#This Row],[Tax 5%]],2)=ROUND(RawSales[[#This Row],[Sales]],2)</f>
        <v>1</v>
      </c>
    </row>
    <row r="915" spans="1:22" x14ac:dyDescent="0.35">
      <c r="A915" s="4" t="s">
        <v>1449</v>
      </c>
      <c r="B915" t="s">
        <v>28</v>
      </c>
      <c r="C915" t="s">
        <v>29</v>
      </c>
      <c r="D915" t="s">
        <v>22</v>
      </c>
      <c r="E915" t="s">
        <v>23</v>
      </c>
      <c r="F915" t="s">
        <v>62</v>
      </c>
      <c r="G915" s="6">
        <v>2961</v>
      </c>
      <c r="H915" s="7">
        <v>7</v>
      </c>
      <c r="I915" s="6">
        <v>1036.3499999999999</v>
      </c>
      <c r="J915" s="6">
        <v>21763.35</v>
      </c>
      <c r="K915" s="5">
        <v>43534.958333333336</v>
      </c>
      <c r="L915" s="4" t="s">
        <v>214</v>
      </c>
      <c r="M915" t="s">
        <v>26</v>
      </c>
      <c r="N915" s="6">
        <v>20727</v>
      </c>
      <c r="O915">
        <v>4.7619047620000003</v>
      </c>
      <c r="P915" s="6">
        <v>1036.3499999999999</v>
      </c>
      <c r="Q915">
        <v>6.5</v>
      </c>
      <c r="R915" s="6">
        <f>RawSales[[#This Row],[Unit price]]*RawSales[[#This Row],[Quantity]]</f>
        <v>20727</v>
      </c>
      <c r="S915" s="6">
        <f>RawSales[[#This Row],[Subtotal]]*$B$1</f>
        <v>1036.3500000000001</v>
      </c>
      <c r="T915" s="6" t="b">
        <f>ROUND(RawSales[[#This Row],[Subtotal]],2)=ROUND(RawSales[[#This Row],[cogs]],2)</f>
        <v>1</v>
      </c>
      <c r="U915" s="6" t="b">
        <f>ROUND(RawSales[[#This Row],[cogs]]*0.05,2)=ROUND(RawSales[[#This Row],[Tax 5%]],2)</f>
        <v>1</v>
      </c>
      <c r="V915" s="6" t="b">
        <f>ROUND(RawSales[[#This Row],[cogs]]+RawSales[[#This Row],[Tax 5%]],2)=ROUND(RawSales[[#This Row],[Sales]],2)</f>
        <v>1</v>
      </c>
    </row>
    <row r="916" spans="1:22" x14ac:dyDescent="0.35">
      <c r="A916" s="4" t="s">
        <v>1450</v>
      </c>
      <c r="B916" t="s">
        <v>38</v>
      </c>
      <c r="C916" t="s">
        <v>39</v>
      </c>
      <c r="D916" t="s">
        <v>22</v>
      </c>
      <c r="E916" t="s">
        <v>31</v>
      </c>
      <c r="F916" t="s">
        <v>49</v>
      </c>
      <c r="G916" s="6">
        <v>9198</v>
      </c>
      <c r="H916" s="7">
        <v>1</v>
      </c>
      <c r="I916" s="6">
        <v>459.9</v>
      </c>
      <c r="J916" s="6">
        <v>9657.9</v>
      </c>
      <c r="K916" s="5">
        <v>43541.958333333336</v>
      </c>
      <c r="L916" s="4" t="s">
        <v>245</v>
      </c>
      <c r="M916" t="s">
        <v>26</v>
      </c>
      <c r="N916" s="6">
        <v>9198</v>
      </c>
      <c r="O916">
        <v>4.7619047620000003</v>
      </c>
      <c r="P916" s="6">
        <v>459.9</v>
      </c>
      <c r="Q916">
        <v>9.8000000000000007</v>
      </c>
      <c r="R916" s="6">
        <f>RawSales[[#This Row],[Unit price]]*RawSales[[#This Row],[Quantity]]</f>
        <v>9198</v>
      </c>
      <c r="S916" s="6">
        <f>RawSales[[#This Row],[Subtotal]]*$B$1</f>
        <v>459.90000000000003</v>
      </c>
      <c r="T916" s="6" t="b">
        <f>ROUND(RawSales[[#This Row],[Subtotal]],2)=ROUND(RawSales[[#This Row],[cogs]],2)</f>
        <v>1</v>
      </c>
      <c r="U916" s="6" t="b">
        <f>ROUND(RawSales[[#This Row],[cogs]]*0.05,2)=ROUND(RawSales[[#This Row],[Tax 5%]],2)</f>
        <v>1</v>
      </c>
      <c r="V916" s="6" t="b">
        <f>ROUND(RawSales[[#This Row],[cogs]]+RawSales[[#This Row],[Tax 5%]],2)=ROUND(RawSales[[#This Row],[Sales]],2)</f>
        <v>1</v>
      </c>
    </row>
    <row r="917" spans="1:22" x14ac:dyDescent="0.35">
      <c r="A917" s="4" t="s">
        <v>1451</v>
      </c>
      <c r="B917" t="s">
        <v>38</v>
      </c>
      <c r="C917" t="s">
        <v>39</v>
      </c>
      <c r="D917" t="s">
        <v>30</v>
      </c>
      <c r="E917" t="s">
        <v>31</v>
      </c>
      <c r="F917" t="s">
        <v>49</v>
      </c>
      <c r="G917" s="6">
        <v>6074</v>
      </c>
      <c r="H917" s="7">
        <v>7</v>
      </c>
      <c r="I917" s="6">
        <v>2125.9</v>
      </c>
      <c r="J917" s="6">
        <v>44643.9</v>
      </c>
      <c r="K917" s="5">
        <v>43482.958333333336</v>
      </c>
      <c r="L917" s="4" t="s">
        <v>379</v>
      </c>
      <c r="M917" t="s">
        <v>34</v>
      </c>
      <c r="N917" s="6">
        <v>42518</v>
      </c>
      <c r="O917">
        <v>4.7619047620000003</v>
      </c>
      <c r="P917" s="6">
        <v>2125.9</v>
      </c>
      <c r="Q917">
        <v>5</v>
      </c>
      <c r="R917" s="6">
        <f>RawSales[[#This Row],[Unit price]]*RawSales[[#This Row],[Quantity]]</f>
        <v>42518</v>
      </c>
      <c r="S917" s="6">
        <f>RawSales[[#This Row],[Subtotal]]*$B$1</f>
        <v>2125.9</v>
      </c>
      <c r="T917" s="6" t="b">
        <f>ROUND(RawSales[[#This Row],[Subtotal]],2)=ROUND(RawSales[[#This Row],[cogs]],2)</f>
        <v>1</v>
      </c>
      <c r="U917" s="6" t="b">
        <f>ROUND(RawSales[[#This Row],[cogs]]*0.05,2)=ROUND(RawSales[[#This Row],[Tax 5%]],2)</f>
        <v>1</v>
      </c>
      <c r="V917" s="6" t="b">
        <f>ROUND(RawSales[[#This Row],[cogs]]+RawSales[[#This Row],[Tax 5%]],2)=ROUND(RawSales[[#This Row],[Sales]],2)</f>
        <v>1</v>
      </c>
    </row>
    <row r="918" spans="1:22" x14ac:dyDescent="0.35">
      <c r="A918" s="4" t="s">
        <v>1452</v>
      </c>
      <c r="B918" t="s">
        <v>20</v>
      </c>
      <c r="C918" t="s">
        <v>21</v>
      </c>
      <c r="D918" t="s">
        <v>30</v>
      </c>
      <c r="E918" t="s">
        <v>31</v>
      </c>
      <c r="F918" t="s">
        <v>49</v>
      </c>
      <c r="G918" s="6">
        <v>7410</v>
      </c>
      <c r="H918" s="7">
        <v>1</v>
      </c>
      <c r="I918" s="6">
        <v>370.5</v>
      </c>
      <c r="J918" s="6">
        <v>7780.5</v>
      </c>
      <c r="K918" s="5">
        <v>43489.958333333336</v>
      </c>
      <c r="L918" s="4" t="s">
        <v>1453</v>
      </c>
      <c r="M918" t="s">
        <v>26</v>
      </c>
      <c r="N918" s="6">
        <v>7410</v>
      </c>
      <c r="O918">
        <v>4.7619047620000003</v>
      </c>
      <c r="P918" s="6">
        <v>370.5</v>
      </c>
      <c r="Q918">
        <v>9.1999999999999993</v>
      </c>
      <c r="R918" s="6">
        <f>RawSales[[#This Row],[Unit price]]*RawSales[[#This Row],[Quantity]]</f>
        <v>7410</v>
      </c>
      <c r="S918" s="6">
        <f>RawSales[[#This Row],[Subtotal]]*$B$1</f>
        <v>370.5</v>
      </c>
      <c r="T918" s="6" t="b">
        <f>ROUND(RawSales[[#This Row],[Subtotal]],2)=ROUND(RawSales[[#This Row],[cogs]],2)</f>
        <v>1</v>
      </c>
      <c r="U918" s="6" t="b">
        <f>ROUND(RawSales[[#This Row],[cogs]]*0.05,2)=ROUND(RawSales[[#This Row],[Tax 5%]],2)</f>
        <v>1</v>
      </c>
      <c r="V918" s="6" t="b">
        <f>ROUND(RawSales[[#This Row],[cogs]]+RawSales[[#This Row],[Tax 5%]],2)=ROUND(RawSales[[#This Row],[Sales]],2)</f>
        <v>1</v>
      </c>
    </row>
    <row r="919" spans="1:22" x14ac:dyDescent="0.35">
      <c r="A919" s="4" t="s">
        <v>1140</v>
      </c>
      <c r="B919" t="s">
        <v>20</v>
      </c>
      <c r="C919" t="s">
        <v>21</v>
      </c>
      <c r="D919" t="s">
        <v>22</v>
      </c>
      <c r="E919" t="s">
        <v>23</v>
      </c>
      <c r="F919" t="s">
        <v>43</v>
      </c>
      <c r="G919" s="6">
        <v>9209</v>
      </c>
      <c r="H919" s="7">
        <v>3</v>
      </c>
      <c r="I919" s="6">
        <v>1381.35</v>
      </c>
      <c r="J919" s="6">
        <v>29008.35</v>
      </c>
      <c r="K919" s="5">
        <v>43512.958333333336</v>
      </c>
      <c r="L919" s="4" t="s">
        <v>1141</v>
      </c>
      <c r="M919" t="s">
        <v>26</v>
      </c>
      <c r="N919" s="6">
        <v>27627</v>
      </c>
      <c r="O919">
        <v>4.7619047620000003</v>
      </c>
      <c r="P919" s="6">
        <v>1381.35</v>
      </c>
      <c r="Q919">
        <v>4.2</v>
      </c>
      <c r="R919" s="6">
        <f>RawSales[[#This Row],[Unit price]]*RawSales[[#This Row],[Quantity]]</f>
        <v>27627</v>
      </c>
      <c r="S919" s="6">
        <f>RawSales[[#This Row],[Subtotal]]*$B$1</f>
        <v>1381.3500000000001</v>
      </c>
      <c r="T919" s="6" t="b">
        <f>ROUND(RawSales[[#This Row],[Subtotal]],2)=ROUND(RawSales[[#This Row],[cogs]],2)</f>
        <v>1</v>
      </c>
      <c r="U919" s="6" t="b">
        <f>ROUND(RawSales[[#This Row],[cogs]]*0.05,2)=ROUND(RawSales[[#This Row],[Tax 5%]],2)</f>
        <v>1</v>
      </c>
      <c r="V919" s="6" t="b">
        <f>ROUND(RawSales[[#This Row],[cogs]]+RawSales[[#This Row],[Tax 5%]],2)=ROUND(RawSales[[#This Row],[Sales]],2)</f>
        <v>1</v>
      </c>
    </row>
    <row r="920" spans="1:22" x14ac:dyDescent="0.35">
      <c r="A920" s="4" t="s">
        <v>1454</v>
      </c>
      <c r="B920" t="s">
        <v>20</v>
      </c>
      <c r="C920" t="s">
        <v>21</v>
      </c>
      <c r="D920" t="s">
        <v>22</v>
      </c>
      <c r="E920" t="s">
        <v>31</v>
      </c>
      <c r="F920" t="s">
        <v>32</v>
      </c>
      <c r="G920" s="6">
        <v>3384</v>
      </c>
      <c r="H920" s="7">
        <v>-9</v>
      </c>
      <c r="I920" s="6">
        <v>1522.8</v>
      </c>
      <c r="J920" s="6">
        <v>31978.799999999999</v>
      </c>
      <c r="K920" s="5">
        <v>43544.958333333336</v>
      </c>
      <c r="L920" s="4" t="s">
        <v>1139</v>
      </c>
      <c r="M920" t="s">
        <v>34</v>
      </c>
      <c r="N920" s="6">
        <v>30456</v>
      </c>
      <c r="O920">
        <v>4.7619047620000003</v>
      </c>
      <c r="P920" s="6">
        <v>1522.8</v>
      </c>
      <c r="Q920">
        <v>8.8000000000000007</v>
      </c>
      <c r="R920" s="6">
        <f>RawSales[[#This Row],[Unit price]]*RawSales[[#This Row],[Quantity]]</f>
        <v>-30456</v>
      </c>
      <c r="S920" s="6">
        <f>RawSales[[#This Row],[Subtotal]]*$B$1</f>
        <v>-1522.8000000000002</v>
      </c>
      <c r="T920" s="6" t="b">
        <f>ROUND(RawSales[[#This Row],[Subtotal]],2)=ROUND(RawSales[[#This Row],[cogs]],2)</f>
        <v>0</v>
      </c>
      <c r="U920" s="6" t="b">
        <f>ROUND(RawSales[[#This Row],[cogs]]*0.05,2)=ROUND(RawSales[[#This Row],[Tax 5%]],2)</f>
        <v>1</v>
      </c>
      <c r="V920" s="6" t="b">
        <f>ROUND(RawSales[[#This Row],[cogs]]+RawSales[[#This Row],[Tax 5%]],2)=ROUND(RawSales[[#This Row],[Sales]],2)</f>
        <v>1</v>
      </c>
    </row>
    <row r="921" spans="1:22" x14ac:dyDescent="0.35">
      <c r="A921" s="4" t="s">
        <v>1455</v>
      </c>
      <c r="B921" t="s">
        <v>28</v>
      </c>
      <c r="C921" t="s">
        <v>29</v>
      </c>
      <c r="D921" t="s">
        <v>22</v>
      </c>
      <c r="E921" t="s">
        <v>23</v>
      </c>
      <c r="F921" t="s">
        <v>43</v>
      </c>
      <c r="G921" s="6">
        <v>4106</v>
      </c>
      <c r="H921" s="7">
        <v>6</v>
      </c>
      <c r="I921" s="6">
        <v>1231.8</v>
      </c>
      <c r="J921" s="6">
        <v>25867.8</v>
      </c>
      <c r="K921" s="5">
        <v>43528.958333333336</v>
      </c>
      <c r="L921" s="4" t="s">
        <v>362</v>
      </c>
      <c r="M921" t="s">
        <v>51</v>
      </c>
      <c r="N921" s="6">
        <v>24636</v>
      </c>
      <c r="O921">
        <v>4.7619047620000003</v>
      </c>
      <c r="P921" s="6">
        <v>1231.8</v>
      </c>
      <c r="Q921">
        <v>8.3000000000000007</v>
      </c>
      <c r="R921" s="6">
        <f>RawSales[[#This Row],[Unit price]]*RawSales[[#This Row],[Quantity]]</f>
        <v>24636</v>
      </c>
      <c r="S921" s="6">
        <f>RawSales[[#This Row],[Subtotal]]*$B$1</f>
        <v>1231.8000000000002</v>
      </c>
      <c r="T921" s="6" t="b">
        <f>ROUND(RawSales[[#This Row],[Subtotal]],2)=ROUND(RawSales[[#This Row],[cogs]],2)</f>
        <v>1</v>
      </c>
      <c r="U921" s="6" t="b">
        <f>ROUND(RawSales[[#This Row],[cogs]]*0.05,2)=ROUND(RawSales[[#This Row],[Tax 5%]],2)</f>
        <v>1</v>
      </c>
      <c r="V921" s="6" t="b">
        <f>ROUND(RawSales[[#This Row],[cogs]]+RawSales[[#This Row],[Tax 5%]],2)=ROUND(RawSales[[#This Row],[Sales]],2)</f>
        <v>1</v>
      </c>
    </row>
    <row r="922" spans="1:22" x14ac:dyDescent="0.35">
      <c r="A922" s="4" t="s">
        <v>1456</v>
      </c>
      <c r="B922" t="s">
        <v>28</v>
      </c>
      <c r="C922" t="s">
        <v>29</v>
      </c>
      <c r="D922" t="s">
        <v>30</v>
      </c>
      <c r="E922" t="s">
        <v>31</v>
      </c>
      <c r="F922" t="s">
        <v>32</v>
      </c>
      <c r="G922" s="6">
        <v>4597</v>
      </c>
      <c r="H922" s="7">
        <v>4</v>
      </c>
      <c r="I922" s="6">
        <v>919.4</v>
      </c>
      <c r="J922" s="6">
        <v>19307.400000000001</v>
      </c>
      <c r="K922" s="5">
        <v>43504.958333333336</v>
      </c>
      <c r="L922" s="4" t="s">
        <v>251</v>
      </c>
      <c r="M922" t="s">
        <v>34</v>
      </c>
      <c r="N922" s="6">
        <v>18388</v>
      </c>
      <c r="O922">
        <v>4.7619047620000003</v>
      </c>
      <c r="P922" s="6">
        <v>919.4</v>
      </c>
      <c r="Q922">
        <v>5.0999999999999996</v>
      </c>
      <c r="R922" s="6">
        <f>RawSales[[#This Row],[Unit price]]*RawSales[[#This Row],[Quantity]]</f>
        <v>18388</v>
      </c>
      <c r="S922" s="6">
        <f>RawSales[[#This Row],[Subtotal]]*$B$1</f>
        <v>919.40000000000009</v>
      </c>
      <c r="T922" s="6" t="b">
        <f>ROUND(RawSales[[#This Row],[Subtotal]],2)=ROUND(RawSales[[#This Row],[cogs]],2)</f>
        <v>1</v>
      </c>
      <c r="U922" s="6" t="b">
        <f>ROUND(RawSales[[#This Row],[cogs]]*0.05,2)=ROUND(RawSales[[#This Row],[Tax 5%]],2)</f>
        <v>1</v>
      </c>
      <c r="V922" s="6" t="b">
        <f>ROUND(RawSales[[#This Row],[cogs]]+RawSales[[#This Row],[Tax 5%]],2)=ROUND(RawSales[[#This Row],[Sales]],2)</f>
        <v>1</v>
      </c>
    </row>
    <row r="923" spans="1:22" x14ac:dyDescent="0.35">
      <c r="A923" s="4" t="s">
        <v>1457</v>
      </c>
      <c r="B923" t="s">
        <v>38</v>
      </c>
      <c r="C923" t="s">
        <v>39</v>
      </c>
      <c r="D923" t="s">
        <v>30</v>
      </c>
      <c r="E923" t="s">
        <v>31</v>
      </c>
      <c r="F923" t="s">
        <v>40</v>
      </c>
      <c r="G923" s="6">
        <v>2085</v>
      </c>
      <c r="H923" s="7">
        <v>8</v>
      </c>
      <c r="I923" s="6">
        <v>834</v>
      </c>
      <c r="J923" s="6">
        <v>17514</v>
      </c>
      <c r="K923" s="5">
        <v>43526.958333333336</v>
      </c>
      <c r="L923" s="4" t="s">
        <v>327</v>
      </c>
      <c r="M923" t="s">
        <v>26</v>
      </c>
      <c r="N923" s="6">
        <v>16680</v>
      </c>
      <c r="O923">
        <v>4.7619047620000003</v>
      </c>
      <c r="P923" s="6">
        <v>834</v>
      </c>
      <c r="Q923">
        <v>6.3</v>
      </c>
      <c r="R923" s="6">
        <f>RawSales[[#This Row],[Unit price]]*RawSales[[#This Row],[Quantity]]</f>
        <v>16680</v>
      </c>
      <c r="S923" s="6">
        <f>RawSales[[#This Row],[Subtotal]]*$B$1</f>
        <v>834</v>
      </c>
      <c r="T923" s="6" t="b">
        <f>ROUND(RawSales[[#This Row],[Subtotal]],2)=ROUND(RawSales[[#This Row],[cogs]],2)</f>
        <v>1</v>
      </c>
      <c r="U923" s="6" t="b">
        <f>ROUND(RawSales[[#This Row],[cogs]]*0.05,2)=ROUND(RawSales[[#This Row],[Tax 5%]],2)</f>
        <v>1</v>
      </c>
      <c r="V923" s="6" t="b">
        <f>ROUND(RawSales[[#This Row],[cogs]]+RawSales[[#This Row],[Tax 5%]],2)=ROUND(RawSales[[#This Row],[Sales]],2)</f>
        <v>1</v>
      </c>
    </row>
    <row r="924" spans="1:22" x14ac:dyDescent="0.35">
      <c r="A924" s="4" t="s">
        <v>1458</v>
      </c>
      <c r="B924" t="s">
        <v>20</v>
      </c>
      <c r="C924" t="s">
        <v>21</v>
      </c>
      <c r="D924" t="s">
        <v>30</v>
      </c>
      <c r="E924" t="s">
        <v>31</v>
      </c>
      <c r="F924" t="s">
        <v>49</v>
      </c>
      <c r="G924" s="6">
        <v>7702</v>
      </c>
      <c r="H924" s="7">
        <v>5</v>
      </c>
      <c r="I924" s="6">
        <v>1925.5</v>
      </c>
      <c r="J924" s="6">
        <v>40435.5</v>
      </c>
      <c r="K924" s="5">
        <v>43498.958333333336</v>
      </c>
      <c r="L924" s="4" t="s">
        <v>1025</v>
      </c>
      <c r="M924" t="s">
        <v>26</v>
      </c>
      <c r="N924" s="6">
        <v>38510</v>
      </c>
      <c r="O924">
        <v>4.7619047620000003</v>
      </c>
      <c r="P924" s="6">
        <v>1925.5</v>
      </c>
      <c r="Q924">
        <v>5.5</v>
      </c>
      <c r="R924" s="6">
        <f>RawSales[[#This Row],[Unit price]]*RawSales[[#This Row],[Quantity]]</f>
        <v>38510</v>
      </c>
      <c r="S924" s="6">
        <f>RawSales[[#This Row],[Subtotal]]*$B$1</f>
        <v>1925.5</v>
      </c>
      <c r="T924" s="6" t="b">
        <f>ROUND(RawSales[[#This Row],[Subtotal]],2)=ROUND(RawSales[[#This Row],[cogs]],2)</f>
        <v>1</v>
      </c>
      <c r="U924" s="6" t="b">
        <f>ROUND(RawSales[[#This Row],[cogs]]*0.05,2)=ROUND(RawSales[[#This Row],[Tax 5%]],2)</f>
        <v>1</v>
      </c>
      <c r="V924" s="6" t="b">
        <f>ROUND(RawSales[[#This Row],[cogs]]+RawSales[[#This Row],[Tax 5%]],2)=ROUND(RawSales[[#This Row],[Sales]],2)</f>
        <v>1</v>
      </c>
    </row>
    <row r="925" spans="1:22" x14ac:dyDescent="0.35">
      <c r="A925" s="4" t="s">
        <v>1459</v>
      </c>
      <c r="B925" t="s">
        <v>28</v>
      </c>
      <c r="C925" t="s">
        <v>29</v>
      </c>
      <c r="D925" t="s">
        <v>22</v>
      </c>
      <c r="E925" t="s">
        <v>23</v>
      </c>
      <c r="F925" t="s">
        <v>62</v>
      </c>
      <c r="G925" s="6">
        <v>8378</v>
      </c>
      <c r="H925" s="7">
        <v>8</v>
      </c>
      <c r="I925" s="6">
        <v>3351.2</v>
      </c>
      <c r="J925" s="6">
        <v>70375.199999999997</v>
      </c>
      <c r="K925" s="5">
        <v>43474.958333333336</v>
      </c>
      <c r="L925" s="4" t="s">
        <v>84</v>
      </c>
      <c r="M925" t="s">
        <v>26</v>
      </c>
      <c r="N925" s="6">
        <v>67024</v>
      </c>
      <c r="O925">
        <v>4.7619047620000003</v>
      </c>
      <c r="P925" s="6">
        <v>3351.2</v>
      </c>
      <c r="Q925">
        <v>5.0999999999999996</v>
      </c>
      <c r="R925" s="6">
        <f>RawSales[[#This Row],[Unit price]]*RawSales[[#This Row],[Quantity]]</f>
        <v>67024</v>
      </c>
      <c r="S925" s="6">
        <f>RawSales[[#This Row],[Subtotal]]*$B$1</f>
        <v>3351.2000000000003</v>
      </c>
      <c r="T925" s="6" t="b">
        <f>ROUND(RawSales[[#This Row],[Subtotal]],2)=ROUND(RawSales[[#This Row],[cogs]],2)</f>
        <v>1</v>
      </c>
      <c r="U925" s="6" t="b">
        <f>ROUND(RawSales[[#This Row],[cogs]]*0.05,2)=ROUND(RawSales[[#This Row],[Tax 5%]],2)</f>
        <v>1</v>
      </c>
      <c r="V925" s="6" t="b">
        <f>ROUND(RawSales[[#This Row],[cogs]]+RawSales[[#This Row],[Tax 5%]],2)=ROUND(RawSales[[#This Row],[Sales]],2)</f>
        <v>1</v>
      </c>
    </row>
    <row r="926" spans="1:22" x14ac:dyDescent="0.35">
      <c r="A926" s="4" t="s">
        <v>1460</v>
      </c>
      <c r="B926" t="s">
        <v>28</v>
      </c>
      <c r="C926" t="s">
        <v>29</v>
      </c>
      <c r="D926" t="s">
        <v>22</v>
      </c>
      <c r="E926" t="s">
        <v>23</v>
      </c>
      <c r="F926" t="s">
        <v>62</v>
      </c>
      <c r="G926" s="6">
        <v>7807</v>
      </c>
      <c r="H926" s="7">
        <v>9</v>
      </c>
      <c r="I926" s="6">
        <v>3513.15</v>
      </c>
      <c r="J926" s="6">
        <v>73776.149999999994</v>
      </c>
      <c r="K926" s="5">
        <v>43492.958333333336</v>
      </c>
      <c r="L926" s="4" t="s">
        <v>325</v>
      </c>
      <c r="M926" t="s">
        <v>26</v>
      </c>
      <c r="N926" s="6">
        <v>70263</v>
      </c>
      <c r="O926">
        <v>4.7619047620000003</v>
      </c>
      <c r="P926" s="6">
        <v>3513.15</v>
      </c>
      <c r="Q926">
        <v>4.5</v>
      </c>
      <c r="R926" s="6">
        <f>RawSales[[#This Row],[Unit price]]*RawSales[[#This Row],[Quantity]]</f>
        <v>70263</v>
      </c>
      <c r="S926" s="6">
        <f>RawSales[[#This Row],[Subtotal]]*$B$1</f>
        <v>3513.15</v>
      </c>
      <c r="T926" s="6" t="b">
        <f>ROUND(RawSales[[#This Row],[Subtotal]],2)=ROUND(RawSales[[#This Row],[cogs]],2)</f>
        <v>1</v>
      </c>
      <c r="U926" s="6" t="b">
        <f>ROUND(RawSales[[#This Row],[cogs]]*0.05,2)=ROUND(RawSales[[#This Row],[Tax 5%]],2)</f>
        <v>1</v>
      </c>
      <c r="V926" s="6" t="b">
        <f>ROUND(RawSales[[#This Row],[cogs]]+RawSales[[#This Row],[Tax 5%]],2)=ROUND(RawSales[[#This Row],[Sales]],2)</f>
        <v>1</v>
      </c>
    </row>
    <row r="927" spans="1:22" x14ac:dyDescent="0.35">
      <c r="A927" s="4" t="s">
        <v>1461</v>
      </c>
      <c r="B927" t="s">
        <v>38</v>
      </c>
      <c r="C927" t="s">
        <v>39</v>
      </c>
      <c r="D927" t="s">
        <v>22</v>
      </c>
      <c r="E927" t="s">
        <v>23</v>
      </c>
      <c r="F927" t="s">
        <v>62</v>
      </c>
      <c r="G927" s="6">
        <v>3167</v>
      </c>
      <c r="H927" s="7">
        <v>8</v>
      </c>
      <c r="I927" s="6">
        <v>1266.8</v>
      </c>
      <c r="J927" s="6">
        <v>26602.799999999999</v>
      </c>
      <c r="K927" s="5">
        <v>43466.958333333336</v>
      </c>
      <c r="L927" s="4" t="s">
        <v>470</v>
      </c>
      <c r="M927" t="s">
        <v>51</v>
      </c>
      <c r="N927" s="6">
        <v>25336</v>
      </c>
      <c r="O927">
        <v>4.7619047620000003</v>
      </c>
      <c r="P927" s="6">
        <v>1266.8</v>
      </c>
      <c r="Q927">
        <v>5.6</v>
      </c>
      <c r="R927" s="6">
        <f>RawSales[[#This Row],[Unit price]]*RawSales[[#This Row],[Quantity]]</f>
        <v>25336</v>
      </c>
      <c r="S927" s="6">
        <f>RawSales[[#This Row],[Subtotal]]*$B$1</f>
        <v>1266.8000000000002</v>
      </c>
      <c r="T927" s="6" t="b">
        <f>ROUND(RawSales[[#This Row],[Subtotal]],2)=ROUND(RawSales[[#This Row],[cogs]],2)</f>
        <v>1</v>
      </c>
      <c r="U927" s="6" t="b">
        <f>ROUND(RawSales[[#This Row],[cogs]]*0.05,2)=ROUND(RawSales[[#This Row],[Tax 5%]],2)</f>
        <v>1</v>
      </c>
      <c r="V927" s="6" t="b">
        <f>ROUND(RawSales[[#This Row],[cogs]]+RawSales[[#This Row],[Tax 5%]],2)=ROUND(RawSales[[#This Row],[Sales]],2)</f>
        <v>1</v>
      </c>
    </row>
    <row r="928" spans="1:22" x14ac:dyDescent="0.35">
      <c r="A928" s="4" t="s">
        <v>1462</v>
      </c>
      <c r="B928" t="s">
        <v>20</v>
      </c>
      <c r="C928" t="s">
        <v>21</v>
      </c>
      <c r="D928" t="s">
        <v>30</v>
      </c>
      <c r="E928" t="s">
        <v>23</v>
      </c>
      <c r="F928" t="s">
        <v>62</v>
      </c>
      <c r="G928" s="6">
        <v>9314</v>
      </c>
      <c r="H928" s="7">
        <v>2</v>
      </c>
      <c r="I928" s="6">
        <v>931.4</v>
      </c>
      <c r="J928" s="6">
        <v>19559.400000000001</v>
      </c>
      <c r="K928" s="5">
        <v>43484.958333333336</v>
      </c>
      <c r="L928" s="4" t="s">
        <v>392</v>
      </c>
      <c r="M928" t="s">
        <v>34</v>
      </c>
      <c r="N928" s="6">
        <v>18628</v>
      </c>
      <c r="O928">
        <v>4.7619047620000003</v>
      </c>
      <c r="P928" s="6">
        <v>931.4</v>
      </c>
      <c r="Q928">
        <v>4.0999999999999996</v>
      </c>
      <c r="R928" s="6">
        <f>RawSales[[#This Row],[Unit price]]*RawSales[[#This Row],[Quantity]]</f>
        <v>18628</v>
      </c>
      <c r="S928" s="6">
        <f>RawSales[[#This Row],[Subtotal]]*$B$1</f>
        <v>931.40000000000009</v>
      </c>
      <c r="T928" s="6" t="b">
        <f>ROUND(RawSales[[#This Row],[Subtotal]],2)=ROUND(RawSales[[#This Row],[cogs]],2)</f>
        <v>1</v>
      </c>
      <c r="U928" s="6" t="b">
        <f>ROUND(RawSales[[#This Row],[cogs]]*0.05,2)=ROUND(RawSales[[#This Row],[Tax 5%]],2)</f>
        <v>1</v>
      </c>
      <c r="V928" s="6" t="b">
        <f>ROUND(RawSales[[#This Row],[cogs]]+RawSales[[#This Row],[Tax 5%]],2)=ROUND(RawSales[[#This Row],[Sales]],2)</f>
        <v>1</v>
      </c>
    </row>
    <row r="929" spans="1:22" x14ac:dyDescent="0.35">
      <c r="A929" s="4" t="s">
        <v>1463</v>
      </c>
      <c r="B929" t="s">
        <v>20</v>
      </c>
      <c r="C929" t="s">
        <v>21</v>
      </c>
      <c r="D929" t="s">
        <v>30</v>
      </c>
      <c r="E929" t="s">
        <v>23</v>
      </c>
      <c r="F929" t="s">
        <v>32</v>
      </c>
      <c r="G929" s="6">
        <v>6709</v>
      </c>
      <c r="H929" s="7">
        <v>5</v>
      </c>
      <c r="I929" s="6">
        <v>1677.25</v>
      </c>
      <c r="J929" s="6">
        <v>35222.25</v>
      </c>
      <c r="K929" s="5">
        <v>43467.958333333336</v>
      </c>
      <c r="L929" s="4" t="s">
        <v>585</v>
      </c>
      <c r="M929" t="s">
        <v>51</v>
      </c>
      <c r="N929" s="6">
        <v>33545</v>
      </c>
      <c r="O929">
        <v>4.7619047620000003</v>
      </c>
      <c r="P929" s="6">
        <v>1677.25</v>
      </c>
      <c r="Q929">
        <v>9.1</v>
      </c>
      <c r="R929" s="6">
        <f>RawSales[[#This Row],[Unit price]]*RawSales[[#This Row],[Quantity]]</f>
        <v>33545</v>
      </c>
      <c r="S929" s="6">
        <f>RawSales[[#This Row],[Subtotal]]*$B$1</f>
        <v>1677.25</v>
      </c>
      <c r="T929" s="6" t="b">
        <f>ROUND(RawSales[[#This Row],[Subtotal]],2)=ROUND(RawSales[[#This Row],[cogs]],2)</f>
        <v>1</v>
      </c>
      <c r="U929" s="6" t="b">
        <f>ROUND(RawSales[[#This Row],[cogs]]*0.05,2)=ROUND(RawSales[[#This Row],[Tax 5%]],2)</f>
        <v>1</v>
      </c>
      <c r="V929" s="6" t="b">
        <f>ROUND(RawSales[[#This Row],[cogs]]+RawSales[[#This Row],[Tax 5%]],2)=ROUND(RawSales[[#This Row],[Sales]],2)</f>
        <v>1</v>
      </c>
    </row>
    <row r="930" spans="1:22" x14ac:dyDescent="0.35">
      <c r="A930" s="4" t="s">
        <v>1464</v>
      </c>
      <c r="B930" t="s">
        <v>28</v>
      </c>
      <c r="C930" t="s">
        <v>29</v>
      </c>
      <c r="D930" t="s">
        <v>30</v>
      </c>
      <c r="E930" t="s">
        <v>31</v>
      </c>
      <c r="F930" t="s">
        <v>32</v>
      </c>
      <c r="G930" s="6">
        <v>1359</v>
      </c>
      <c r="H930" s="7">
        <v>9</v>
      </c>
      <c r="I930" s="6">
        <v>611.54999999999995</v>
      </c>
      <c r="J930" s="6">
        <v>12842.55</v>
      </c>
      <c r="K930" s="5">
        <v>43538.958333333336</v>
      </c>
      <c r="L930" s="4" t="s">
        <v>170</v>
      </c>
      <c r="M930" t="s">
        <v>26</v>
      </c>
      <c r="N930" s="6">
        <v>12231</v>
      </c>
      <c r="O930">
        <v>4.7619047620000003</v>
      </c>
      <c r="P930" s="6">
        <v>611.54999999999995</v>
      </c>
      <c r="Q930">
        <v>5.8</v>
      </c>
      <c r="R930" s="6">
        <f>RawSales[[#This Row],[Unit price]]*RawSales[[#This Row],[Quantity]]</f>
        <v>12231</v>
      </c>
      <c r="S930" s="6">
        <f>RawSales[[#This Row],[Subtotal]]*$B$1</f>
        <v>611.55000000000007</v>
      </c>
      <c r="T930" s="6" t="b">
        <f>ROUND(RawSales[[#This Row],[Subtotal]],2)=ROUND(RawSales[[#This Row],[cogs]],2)</f>
        <v>1</v>
      </c>
      <c r="U930" s="6" t="b">
        <f>ROUND(RawSales[[#This Row],[cogs]]*0.05,2)=ROUND(RawSales[[#This Row],[Tax 5%]],2)</f>
        <v>1</v>
      </c>
      <c r="V930" s="6" t="b">
        <f>ROUND(RawSales[[#This Row],[cogs]]+RawSales[[#This Row],[Tax 5%]],2)=ROUND(RawSales[[#This Row],[Sales]],2)</f>
        <v>1</v>
      </c>
    </row>
    <row r="931" spans="1:22" x14ac:dyDescent="0.35">
      <c r="A931" s="4" t="s">
        <v>1465</v>
      </c>
      <c r="B931" t="s">
        <v>20</v>
      </c>
      <c r="C931" t="s">
        <v>21</v>
      </c>
      <c r="D931" t="s">
        <v>30</v>
      </c>
      <c r="E931" t="s">
        <v>23</v>
      </c>
      <c r="F931" t="s">
        <v>32</v>
      </c>
      <c r="G931" s="6">
        <v>5653</v>
      </c>
      <c r="H931" s="7">
        <v>4</v>
      </c>
      <c r="I931" s="6">
        <v>1130.5999999999999</v>
      </c>
      <c r="J931" s="6">
        <v>23742.6</v>
      </c>
      <c r="K931" s="5">
        <v>43527.958333333336</v>
      </c>
      <c r="L931" s="4" t="s">
        <v>212</v>
      </c>
      <c r="M931" t="s">
        <v>34</v>
      </c>
      <c r="N931" s="6">
        <v>22612</v>
      </c>
      <c r="O931">
        <v>4.7619047620000003</v>
      </c>
      <c r="P931" s="6">
        <v>1130.5999999999999</v>
      </c>
      <c r="Q931">
        <v>5.5</v>
      </c>
      <c r="R931" s="6">
        <f>RawSales[[#This Row],[Unit price]]*RawSales[[#This Row],[Quantity]]</f>
        <v>22612</v>
      </c>
      <c r="S931" s="6">
        <f>RawSales[[#This Row],[Subtotal]]*$B$1</f>
        <v>1130.6000000000001</v>
      </c>
      <c r="T931" s="6" t="b">
        <f>ROUND(RawSales[[#This Row],[Subtotal]],2)=ROUND(RawSales[[#This Row],[cogs]],2)</f>
        <v>1</v>
      </c>
      <c r="U931" s="6" t="b">
        <f>ROUND(RawSales[[#This Row],[cogs]]*0.05,2)=ROUND(RawSales[[#This Row],[Tax 5%]],2)</f>
        <v>1</v>
      </c>
      <c r="V931" s="6" t="b">
        <f>ROUND(RawSales[[#This Row],[cogs]]+RawSales[[#This Row],[Tax 5%]],2)=ROUND(RawSales[[#This Row],[Sales]],2)</f>
        <v>1</v>
      </c>
    </row>
    <row r="932" spans="1:22" x14ac:dyDescent="0.35">
      <c r="A932" s="4" t="s">
        <v>1466</v>
      </c>
      <c r="B932" t="s">
        <v>38</v>
      </c>
      <c r="C932" t="s">
        <v>39</v>
      </c>
      <c r="D932" t="s">
        <v>30</v>
      </c>
      <c r="E932" t="s">
        <v>31</v>
      </c>
      <c r="F932" t="s">
        <v>32</v>
      </c>
      <c r="G932" s="6">
        <v>9750</v>
      </c>
      <c r="H932" s="7">
        <v>10</v>
      </c>
      <c r="I932" s="6">
        <v>4875</v>
      </c>
      <c r="J932" s="6">
        <v>102375</v>
      </c>
      <c r="K932" s="5">
        <v>43476.958333333336</v>
      </c>
      <c r="L932" s="4" t="s">
        <v>1467</v>
      </c>
      <c r="M932" t="s">
        <v>34</v>
      </c>
      <c r="N932" s="6">
        <v>97500</v>
      </c>
      <c r="O932">
        <v>4.7619047620000003</v>
      </c>
      <c r="P932" s="6">
        <v>4875</v>
      </c>
      <c r="Q932">
        <v>8</v>
      </c>
      <c r="R932" s="6">
        <f>RawSales[[#This Row],[Unit price]]*RawSales[[#This Row],[Quantity]]</f>
        <v>97500</v>
      </c>
      <c r="S932" s="6">
        <f>RawSales[[#This Row],[Subtotal]]*$B$1</f>
        <v>4875</v>
      </c>
      <c r="T932" s="6" t="b">
        <f>ROUND(RawSales[[#This Row],[Subtotal]],2)=ROUND(RawSales[[#This Row],[cogs]],2)</f>
        <v>1</v>
      </c>
      <c r="U932" s="6" t="b">
        <f>ROUND(RawSales[[#This Row],[cogs]]*0.05,2)=ROUND(RawSales[[#This Row],[Tax 5%]],2)</f>
        <v>1</v>
      </c>
      <c r="V932" s="6" t="b">
        <f>ROUND(RawSales[[#This Row],[cogs]]+RawSales[[#This Row],[Tax 5%]],2)=ROUND(RawSales[[#This Row],[Sales]],2)</f>
        <v>1</v>
      </c>
    </row>
    <row r="933" spans="1:22" x14ac:dyDescent="0.35">
      <c r="A933" s="4" t="s">
        <v>1468</v>
      </c>
      <c r="B933" t="s">
        <v>28</v>
      </c>
      <c r="C933" t="s">
        <v>29</v>
      </c>
      <c r="D933" t="s">
        <v>22</v>
      </c>
      <c r="E933" t="s">
        <v>23</v>
      </c>
      <c r="F933" t="s">
        <v>32</v>
      </c>
      <c r="G933" s="6">
        <v>4910</v>
      </c>
      <c r="H933" s="7">
        <v>2</v>
      </c>
      <c r="I933" s="6">
        <v>491</v>
      </c>
      <c r="J933" s="6">
        <v>10311</v>
      </c>
      <c r="K933" s="5">
        <v>43472.958333333336</v>
      </c>
      <c r="L933" s="4" t="s">
        <v>768</v>
      </c>
      <c r="M933" t="s">
        <v>51</v>
      </c>
      <c r="N933" s="6">
        <v>9820</v>
      </c>
      <c r="O933">
        <v>4.7619047620000003</v>
      </c>
      <c r="P933" s="6">
        <v>491</v>
      </c>
      <c r="Q933">
        <v>6.4</v>
      </c>
      <c r="R933" s="6">
        <f>RawSales[[#This Row],[Unit price]]*RawSales[[#This Row],[Quantity]]</f>
        <v>9820</v>
      </c>
      <c r="S933" s="6">
        <f>RawSales[[#This Row],[Subtotal]]*$B$1</f>
        <v>491</v>
      </c>
      <c r="T933" s="6" t="b">
        <f>ROUND(RawSales[[#This Row],[Subtotal]],2)=ROUND(RawSales[[#This Row],[cogs]],2)</f>
        <v>1</v>
      </c>
      <c r="U933" s="6" t="b">
        <f>ROUND(RawSales[[#This Row],[cogs]]*0.05,2)=ROUND(RawSales[[#This Row],[Tax 5%]],2)</f>
        <v>1</v>
      </c>
      <c r="V933" s="6" t="b">
        <f>ROUND(RawSales[[#This Row],[cogs]]+RawSales[[#This Row],[Tax 5%]],2)=ROUND(RawSales[[#This Row],[Sales]],2)</f>
        <v>1</v>
      </c>
    </row>
    <row r="934" spans="1:22" x14ac:dyDescent="0.35">
      <c r="A934" s="4" t="s">
        <v>1469</v>
      </c>
      <c r="B934" t="s">
        <v>28</v>
      </c>
      <c r="C934" t="s">
        <v>29</v>
      </c>
      <c r="D934" t="s">
        <v>30</v>
      </c>
      <c r="E934" t="s">
        <v>23</v>
      </c>
      <c r="F934" t="s">
        <v>43</v>
      </c>
      <c r="G934" s="6">
        <v>5722</v>
      </c>
      <c r="H934" s="7">
        <v>2</v>
      </c>
      <c r="I934" s="6">
        <v>572.20000000000005</v>
      </c>
      <c r="J934" s="6">
        <v>12016.2</v>
      </c>
      <c r="K934" s="5">
        <v>43476.958333333336</v>
      </c>
      <c r="L934" s="4" t="s">
        <v>1470</v>
      </c>
      <c r="M934" t="s">
        <v>34</v>
      </c>
      <c r="N934" s="6">
        <v>11444</v>
      </c>
      <c r="O934">
        <v>4.7619047620000003</v>
      </c>
      <c r="P934" s="6">
        <v>572.20000000000005</v>
      </c>
      <c r="Q934">
        <v>8.3000000000000007</v>
      </c>
      <c r="R934" s="6">
        <f>RawSales[[#This Row],[Unit price]]*RawSales[[#This Row],[Quantity]]</f>
        <v>11444</v>
      </c>
      <c r="S934" s="6">
        <f>RawSales[[#This Row],[Subtotal]]*$B$1</f>
        <v>572.20000000000005</v>
      </c>
      <c r="T934" s="6" t="b">
        <f>ROUND(RawSales[[#This Row],[Subtotal]],2)=ROUND(RawSales[[#This Row],[cogs]],2)</f>
        <v>1</v>
      </c>
      <c r="U934" s="6" t="b">
        <f>ROUND(RawSales[[#This Row],[cogs]]*0.05,2)=ROUND(RawSales[[#This Row],[Tax 5%]],2)</f>
        <v>1</v>
      </c>
      <c r="V934" s="6" t="b">
        <f>ROUND(RawSales[[#This Row],[cogs]]+RawSales[[#This Row],[Tax 5%]],2)=ROUND(RawSales[[#This Row],[Sales]],2)</f>
        <v>1</v>
      </c>
    </row>
    <row r="935" spans="1:22" x14ac:dyDescent="0.35">
      <c r="A935" s="4" t="s">
        <v>1471</v>
      </c>
      <c r="B935" t="s">
        <v>28</v>
      </c>
      <c r="C935" t="s">
        <v>29</v>
      </c>
      <c r="D935" t="s">
        <v>30</v>
      </c>
      <c r="E935" t="s">
        <v>31</v>
      </c>
      <c r="F935" t="s">
        <v>24</v>
      </c>
      <c r="G935" s="6">
        <v>1822</v>
      </c>
      <c r="H935" s="7">
        <v>7</v>
      </c>
      <c r="I935" s="6">
        <v>637.70000000000005</v>
      </c>
      <c r="J935" s="6">
        <v>13391.7</v>
      </c>
      <c r="K935" s="5">
        <v>43533.958333333336</v>
      </c>
      <c r="L935" s="4" t="s">
        <v>442</v>
      </c>
      <c r="M935" t="s">
        <v>51</v>
      </c>
      <c r="N935" s="6">
        <v>12754</v>
      </c>
      <c r="O935">
        <v>4.7619047620000003</v>
      </c>
      <c r="P935" s="6">
        <v>637.70000000000005</v>
      </c>
      <c r="Q935">
        <v>6.6</v>
      </c>
      <c r="R935" s="6">
        <f>RawSales[[#This Row],[Unit price]]*RawSales[[#This Row],[Quantity]]</f>
        <v>12754</v>
      </c>
      <c r="S935" s="6">
        <f>RawSales[[#This Row],[Subtotal]]*$B$1</f>
        <v>637.70000000000005</v>
      </c>
      <c r="T935" s="6" t="b">
        <f>ROUND(RawSales[[#This Row],[Subtotal]],2)=ROUND(RawSales[[#This Row],[cogs]],2)</f>
        <v>1</v>
      </c>
      <c r="U935" s="6" t="b">
        <f>ROUND(RawSales[[#This Row],[cogs]]*0.05,2)=ROUND(RawSales[[#This Row],[Tax 5%]],2)</f>
        <v>1</v>
      </c>
      <c r="V935" s="6" t="b">
        <f>ROUND(RawSales[[#This Row],[cogs]]+RawSales[[#This Row],[Tax 5%]],2)=ROUND(RawSales[[#This Row],[Sales]],2)</f>
        <v>1</v>
      </c>
    </row>
    <row r="936" spans="1:22" x14ac:dyDescent="0.35">
      <c r="A936" s="4" t="s">
        <v>1472</v>
      </c>
      <c r="B936" t="s">
        <v>20</v>
      </c>
      <c r="C936" t="s">
        <v>21</v>
      </c>
      <c r="D936" t="s">
        <v>30</v>
      </c>
      <c r="E936" t="s">
        <v>31</v>
      </c>
      <c r="F936" t="s">
        <v>43</v>
      </c>
      <c r="G936" s="6">
        <v>5815</v>
      </c>
      <c r="H936" s="7">
        <v>4</v>
      </c>
      <c r="I936" s="6">
        <v>1163</v>
      </c>
      <c r="J936" s="6">
        <v>24423</v>
      </c>
      <c r="K936" s="5">
        <v>43487.958333333336</v>
      </c>
      <c r="L936" s="4" t="s">
        <v>849</v>
      </c>
      <c r="M936" t="s">
        <v>26</v>
      </c>
      <c r="N936" s="6">
        <v>23260</v>
      </c>
      <c r="O936">
        <v>4.7619047620000003</v>
      </c>
      <c r="P936" s="6">
        <v>1163</v>
      </c>
      <c r="Q936">
        <v>8.4</v>
      </c>
      <c r="R936" s="6">
        <f>RawSales[[#This Row],[Unit price]]*RawSales[[#This Row],[Quantity]]</f>
        <v>23260</v>
      </c>
      <c r="S936" s="6">
        <f>RawSales[[#This Row],[Subtotal]]*$B$1</f>
        <v>1163</v>
      </c>
      <c r="T936" s="6" t="b">
        <f>ROUND(RawSales[[#This Row],[Subtotal]],2)=ROUND(RawSales[[#This Row],[cogs]],2)</f>
        <v>1</v>
      </c>
      <c r="U936" s="6" t="b">
        <f>ROUND(RawSales[[#This Row],[cogs]]*0.05,2)=ROUND(RawSales[[#This Row],[Tax 5%]],2)</f>
        <v>1</v>
      </c>
      <c r="V936" s="6" t="b">
        <f>ROUND(RawSales[[#This Row],[cogs]]+RawSales[[#This Row],[Tax 5%]],2)=ROUND(RawSales[[#This Row],[Sales]],2)</f>
        <v>1</v>
      </c>
    </row>
    <row r="937" spans="1:22" x14ac:dyDescent="0.35">
      <c r="A937" s="4" t="s">
        <v>1473</v>
      </c>
      <c r="B937" t="s">
        <v>28</v>
      </c>
      <c r="C937" t="s">
        <v>29</v>
      </c>
      <c r="D937" t="s">
        <v>30</v>
      </c>
      <c r="E937" t="s">
        <v>23</v>
      </c>
      <c r="F937" t="s">
        <v>324</v>
      </c>
      <c r="G937" s="6">
        <v>5321</v>
      </c>
      <c r="H937" s="7">
        <v>-8</v>
      </c>
      <c r="I937" s="6">
        <v>2128.4</v>
      </c>
      <c r="J937" s="6">
        <v>44696.4</v>
      </c>
      <c r="K937" s="4" t="s">
        <v>1474</v>
      </c>
      <c r="L937" s="4" t="s">
        <v>430</v>
      </c>
      <c r="M937" t="s">
        <v>34</v>
      </c>
      <c r="N937" s="6">
        <v>42568</v>
      </c>
      <c r="O937">
        <v>4.7619047620000003</v>
      </c>
      <c r="P937" s="6">
        <v>2128.4</v>
      </c>
      <c r="Q937">
        <v>5</v>
      </c>
      <c r="R937" s="6">
        <f>RawSales[[#This Row],[Unit price]]*RawSales[[#This Row],[Quantity]]</f>
        <v>-42568</v>
      </c>
      <c r="S937" s="6">
        <f>RawSales[[#This Row],[Subtotal]]*$B$1</f>
        <v>-2128.4</v>
      </c>
      <c r="T937" s="6" t="b">
        <f>ROUND(RawSales[[#This Row],[Subtotal]],2)=ROUND(RawSales[[#This Row],[cogs]],2)</f>
        <v>0</v>
      </c>
      <c r="U937" s="6" t="b">
        <f>ROUND(RawSales[[#This Row],[cogs]]*0.05,2)=ROUND(RawSales[[#This Row],[Tax 5%]],2)</f>
        <v>1</v>
      </c>
      <c r="V937" s="6" t="b">
        <f>ROUND(RawSales[[#This Row],[cogs]]+RawSales[[#This Row],[Tax 5%]],2)=ROUND(RawSales[[#This Row],[Sales]],2)</f>
        <v>1</v>
      </c>
    </row>
    <row r="938" spans="1:22" x14ac:dyDescent="0.35">
      <c r="A938" s="4" t="s">
        <v>1475</v>
      </c>
      <c r="B938" t="s">
        <v>28</v>
      </c>
      <c r="C938" t="s">
        <v>29</v>
      </c>
      <c r="D938" t="s">
        <v>30</v>
      </c>
      <c r="E938" t="s">
        <v>31</v>
      </c>
      <c r="F938" t="s">
        <v>49</v>
      </c>
      <c r="G938" s="6">
        <v>5727</v>
      </c>
      <c r="H938" s="7">
        <v>3</v>
      </c>
      <c r="I938" s="6">
        <v>859.05</v>
      </c>
      <c r="J938" s="6">
        <v>18040.05</v>
      </c>
      <c r="K938" s="5">
        <v>43504.958333333336</v>
      </c>
      <c r="L938" s="4" t="s">
        <v>151</v>
      </c>
      <c r="M938" t="s">
        <v>34</v>
      </c>
      <c r="N938" s="6">
        <v>17181</v>
      </c>
      <c r="O938">
        <v>4.7619047620000003</v>
      </c>
      <c r="P938" s="6">
        <v>859.05</v>
      </c>
      <c r="Q938">
        <v>6.5</v>
      </c>
      <c r="R938" s="6">
        <f>RawSales[[#This Row],[Unit price]]*RawSales[[#This Row],[Quantity]]</f>
        <v>17181</v>
      </c>
      <c r="S938" s="6">
        <f>RawSales[[#This Row],[Subtotal]]*$B$1</f>
        <v>859.05000000000007</v>
      </c>
      <c r="T938" s="6" t="b">
        <f>ROUND(RawSales[[#This Row],[Subtotal]],2)=ROUND(RawSales[[#This Row],[cogs]],2)</f>
        <v>1</v>
      </c>
      <c r="U938" s="6" t="b">
        <f>ROUND(RawSales[[#This Row],[cogs]]*0.05,2)=ROUND(RawSales[[#This Row],[Tax 5%]],2)</f>
        <v>1</v>
      </c>
      <c r="V938" s="6" t="b">
        <f>ROUND(RawSales[[#This Row],[cogs]]+RawSales[[#This Row],[Tax 5%]],2)=ROUND(RawSales[[#This Row],[Sales]],2)</f>
        <v>1</v>
      </c>
    </row>
    <row r="939" spans="1:22" x14ac:dyDescent="0.35">
      <c r="A939" s="4" t="s">
        <v>1476</v>
      </c>
      <c r="B939" t="s">
        <v>20</v>
      </c>
      <c r="C939" t="s">
        <v>21</v>
      </c>
      <c r="D939" t="s">
        <v>22</v>
      </c>
      <c r="E939" t="s">
        <v>23</v>
      </c>
      <c r="F939" t="s">
        <v>62</v>
      </c>
      <c r="G939" s="6">
        <v>9840</v>
      </c>
      <c r="H939" s="7">
        <v>7</v>
      </c>
      <c r="I939" s="6">
        <v>3444</v>
      </c>
      <c r="J939" s="6">
        <v>72324</v>
      </c>
      <c r="K939" s="5">
        <v>43535.958333333336</v>
      </c>
      <c r="L939" s="4" t="s">
        <v>325</v>
      </c>
      <c r="M939" t="s">
        <v>51</v>
      </c>
      <c r="N939" s="6">
        <v>68880</v>
      </c>
      <c r="O939">
        <v>4.7619047620000003</v>
      </c>
      <c r="P939" s="6">
        <v>3444</v>
      </c>
      <c r="Q939">
        <v>8.6999999999999993</v>
      </c>
      <c r="R939" s="6">
        <f>RawSales[[#This Row],[Unit price]]*RawSales[[#This Row],[Quantity]]</f>
        <v>68880</v>
      </c>
      <c r="S939" s="6">
        <f>RawSales[[#This Row],[Subtotal]]*$B$1</f>
        <v>3444</v>
      </c>
      <c r="T939" s="6" t="b">
        <f>ROUND(RawSales[[#This Row],[Subtotal]],2)=ROUND(RawSales[[#This Row],[cogs]],2)</f>
        <v>1</v>
      </c>
      <c r="U939" s="6" t="b">
        <f>ROUND(RawSales[[#This Row],[cogs]]*0.05,2)=ROUND(RawSales[[#This Row],[Tax 5%]],2)</f>
        <v>1</v>
      </c>
      <c r="V939" s="6" t="b">
        <f>ROUND(RawSales[[#This Row],[cogs]]+RawSales[[#This Row],[Tax 5%]],2)=ROUND(RawSales[[#This Row],[Sales]],2)</f>
        <v>1</v>
      </c>
    </row>
    <row r="940" spans="1:22" x14ac:dyDescent="0.35">
      <c r="A940" s="4" t="s">
        <v>1477</v>
      </c>
      <c r="B940" t="s">
        <v>28</v>
      </c>
      <c r="C940" t="s">
        <v>29</v>
      </c>
      <c r="D940" t="s">
        <v>22</v>
      </c>
      <c r="E940" t="s">
        <v>23</v>
      </c>
      <c r="F940" t="s">
        <v>140</v>
      </c>
      <c r="G940" s="6">
        <v>3449</v>
      </c>
      <c r="H940" s="7">
        <v>5</v>
      </c>
      <c r="I940" s="6">
        <v>862.25</v>
      </c>
      <c r="J940" s="6">
        <v>18107.25</v>
      </c>
      <c r="K940" s="5">
        <v>43534.958333333336</v>
      </c>
      <c r="L940" s="4" t="s">
        <v>472</v>
      </c>
      <c r="M940" t="s">
        <v>51</v>
      </c>
      <c r="N940" s="6">
        <v>17245</v>
      </c>
      <c r="O940">
        <v>4.7619047620000003</v>
      </c>
      <c r="P940" s="6">
        <v>862.25</v>
      </c>
      <c r="Q940">
        <v>9</v>
      </c>
      <c r="R940" s="6">
        <f>RawSales[[#This Row],[Unit price]]*RawSales[[#This Row],[Quantity]]</f>
        <v>17245</v>
      </c>
      <c r="S940" s="6">
        <f>RawSales[[#This Row],[Subtotal]]*$B$1</f>
        <v>862.25</v>
      </c>
      <c r="T940" s="6" t="b">
        <f>ROUND(RawSales[[#This Row],[Subtotal]],2)=ROUND(RawSales[[#This Row],[cogs]],2)</f>
        <v>1</v>
      </c>
      <c r="U940" s="6" t="b">
        <f>ROUND(RawSales[[#This Row],[cogs]]*0.05,2)=ROUND(RawSales[[#This Row],[Tax 5%]],2)</f>
        <v>1</v>
      </c>
      <c r="V940" s="6" t="b">
        <f>ROUND(RawSales[[#This Row],[cogs]]+RawSales[[#This Row],[Tax 5%]],2)=ROUND(RawSales[[#This Row],[Sales]],2)</f>
        <v>1</v>
      </c>
    </row>
    <row r="941" spans="1:22" x14ac:dyDescent="0.35">
      <c r="A941" s="4" t="s">
        <v>1478</v>
      </c>
      <c r="B941" t="s">
        <v>20</v>
      </c>
      <c r="C941" t="s">
        <v>21</v>
      </c>
      <c r="D941" t="s">
        <v>22</v>
      </c>
      <c r="E941" t="s">
        <v>23</v>
      </c>
      <c r="F941" t="s">
        <v>43</v>
      </c>
      <c r="G941" s="6">
        <v>7138</v>
      </c>
      <c r="H941" s="7">
        <v>10</v>
      </c>
      <c r="I941" s="6">
        <v>3569</v>
      </c>
      <c r="J941" s="6">
        <v>74949</v>
      </c>
      <c r="K941" s="5">
        <v>43552.958333333336</v>
      </c>
      <c r="L941" s="4" t="s">
        <v>1479</v>
      </c>
      <c r="M941" t="s">
        <v>26</v>
      </c>
      <c r="N941" s="6">
        <v>71380</v>
      </c>
      <c r="O941">
        <v>4.7619047620000003</v>
      </c>
      <c r="P941" s="6">
        <v>3569</v>
      </c>
      <c r="Q941">
        <v>5.7</v>
      </c>
      <c r="R941" s="6">
        <f>RawSales[[#This Row],[Unit price]]*RawSales[[#This Row],[Quantity]]</f>
        <v>71380</v>
      </c>
      <c r="S941" s="6">
        <f>RawSales[[#This Row],[Subtotal]]*$B$1</f>
        <v>3569</v>
      </c>
      <c r="T941" s="6" t="b">
        <f>ROUND(RawSales[[#This Row],[Subtotal]],2)=ROUND(RawSales[[#This Row],[cogs]],2)</f>
        <v>1</v>
      </c>
      <c r="U941" s="6" t="b">
        <f>ROUND(RawSales[[#This Row],[cogs]]*0.05,2)=ROUND(RawSales[[#This Row],[Tax 5%]],2)</f>
        <v>1</v>
      </c>
      <c r="V941" s="6" t="b">
        <f>ROUND(RawSales[[#This Row],[cogs]]+RawSales[[#This Row],[Tax 5%]],2)=ROUND(RawSales[[#This Row],[Sales]],2)</f>
        <v>1</v>
      </c>
    </row>
    <row r="942" spans="1:22" x14ac:dyDescent="0.35">
      <c r="A942" s="4" t="s">
        <v>1480</v>
      </c>
      <c r="B942" t="s">
        <v>38</v>
      </c>
      <c r="C942" t="s">
        <v>39</v>
      </c>
      <c r="D942" t="s">
        <v>22</v>
      </c>
      <c r="E942" t="s">
        <v>23</v>
      </c>
      <c r="F942" t="s">
        <v>43</v>
      </c>
      <c r="G942" s="6">
        <v>8975</v>
      </c>
      <c r="H942" s="7">
        <v>1</v>
      </c>
      <c r="I942" s="6">
        <v>448.75</v>
      </c>
      <c r="J942" s="6">
        <v>9423.75</v>
      </c>
      <c r="K942" s="4" t="s">
        <v>1481</v>
      </c>
      <c r="L942" s="4" t="s">
        <v>1482</v>
      </c>
      <c r="M942" t="s">
        <v>51</v>
      </c>
      <c r="N942" s="6">
        <v>8975</v>
      </c>
      <c r="O942">
        <v>4.7619047620000003</v>
      </c>
      <c r="P942" s="6">
        <v>448.75</v>
      </c>
      <c r="Q942">
        <v>6.6</v>
      </c>
      <c r="R942" s="6">
        <f>RawSales[[#This Row],[Unit price]]*RawSales[[#This Row],[Quantity]]</f>
        <v>8975</v>
      </c>
      <c r="S942" s="6">
        <f>RawSales[[#This Row],[Subtotal]]*$B$1</f>
        <v>448.75</v>
      </c>
      <c r="T942" s="6" t="b">
        <f>ROUND(RawSales[[#This Row],[Subtotal]],2)=ROUND(RawSales[[#This Row],[cogs]],2)</f>
        <v>1</v>
      </c>
      <c r="U942" s="6" t="b">
        <f>ROUND(RawSales[[#This Row],[cogs]]*0.05,2)=ROUND(RawSales[[#This Row],[Tax 5%]],2)</f>
        <v>1</v>
      </c>
      <c r="V942" s="6" t="b">
        <f>ROUND(RawSales[[#This Row],[cogs]]+RawSales[[#This Row],[Tax 5%]],2)=ROUND(RawSales[[#This Row],[Sales]],2)</f>
        <v>1</v>
      </c>
    </row>
    <row r="943" spans="1:22" x14ac:dyDescent="0.35">
      <c r="A943" s="4" t="s">
        <v>1483</v>
      </c>
      <c r="B943" t="s">
        <v>28</v>
      </c>
      <c r="C943" t="s">
        <v>29</v>
      </c>
      <c r="D943" t="s">
        <v>22</v>
      </c>
      <c r="E943" t="s">
        <v>23</v>
      </c>
      <c r="F943" t="s">
        <v>24</v>
      </c>
      <c r="G943" s="6">
        <v>5436</v>
      </c>
      <c r="H943" s="7">
        <v>10</v>
      </c>
      <c r="I943" s="6">
        <v>2718</v>
      </c>
      <c r="J943" s="6">
        <v>57078</v>
      </c>
      <c r="K943" s="5">
        <v>43502.958333333336</v>
      </c>
      <c r="L943" s="4" t="s">
        <v>377</v>
      </c>
      <c r="M943" t="s">
        <v>51</v>
      </c>
      <c r="N943" s="6">
        <v>54360</v>
      </c>
      <c r="O943">
        <v>4.7619047620000003</v>
      </c>
      <c r="P943" s="6">
        <v>2718</v>
      </c>
      <c r="Q943">
        <v>6.1</v>
      </c>
      <c r="R943" s="6">
        <f>RawSales[[#This Row],[Unit price]]*RawSales[[#This Row],[Quantity]]</f>
        <v>54360</v>
      </c>
      <c r="S943" s="6">
        <f>RawSales[[#This Row],[Subtotal]]*$B$1</f>
        <v>2718</v>
      </c>
      <c r="T943" s="6" t="b">
        <f>ROUND(RawSales[[#This Row],[Subtotal]],2)=ROUND(RawSales[[#This Row],[cogs]],2)</f>
        <v>1</v>
      </c>
      <c r="U943" s="6" t="b">
        <f>ROUND(RawSales[[#This Row],[cogs]]*0.05,2)=ROUND(RawSales[[#This Row],[Tax 5%]],2)</f>
        <v>1</v>
      </c>
      <c r="V943" s="6" t="b">
        <f>ROUND(RawSales[[#This Row],[cogs]]+RawSales[[#This Row],[Tax 5%]],2)=ROUND(RawSales[[#This Row],[Sales]],2)</f>
        <v>1</v>
      </c>
    </row>
    <row r="944" spans="1:22" x14ac:dyDescent="0.35">
      <c r="A944" s="4" t="s">
        <v>1484</v>
      </c>
      <c r="B944" t="s">
        <v>28</v>
      </c>
      <c r="C944" t="s">
        <v>29</v>
      </c>
      <c r="D944" t="s">
        <v>30</v>
      </c>
      <c r="E944" t="s">
        <v>23</v>
      </c>
      <c r="F944" t="s">
        <v>49</v>
      </c>
      <c r="G944" s="6">
        <v>3795</v>
      </c>
      <c r="H944" s="7">
        <v>10</v>
      </c>
      <c r="I944" s="6">
        <v>1897.5</v>
      </c>
      <c r="J944" s="6">
        <v>39847.5</v>
      </c>
      <c r="K944" s="5">
        <v>43490.958333333336</v>
      </c>
      <c r="L944" s="4" t="s">
        <v>371</v>
      </c>
      <c r="M944" t="s">
        <v>26</v>
      </c>
      <c r="N944" s="6">
        <v>37950</v>
      </c>
      <c r="O944">
        <v>4.7619047620000003</v>
      </c>
      <c r="P944" s="6">
        <v>1897.5</v>
      </c>
      <c r="Q944">
        <v>9.6999999999999993</v>
      </c>
      <c r="R944" s="6">
        <f>RawSales[[#This Row],[Unit price]]*RawSales[[#This Row],[Quantity]]</f>
        <v>37950</v>
      </c>
      <c r="S944" s="6">
        <f>RawSales[[#This Row],[Subtotal]]*$B$1</f>
        <v>1897.5</v>
      </c>
      <c r="T944" s="6" t="b">
        <f>ROUND(RawSales[[#This Row],[Subtotal]],2)=ROUND(RawSales[[#This Row],[cogs]],2)</f>
        <v>1</v>
      </c>
      <c r="U944" s="6" t="b">
        <f>ROUND(RawSales[[#This Row],[cogs]]*0.05,2)=ROUND(RawSales[[#This Row],[Tax 5%]],2)</f>
        <v>1</v>
      </c>
      <c r="V944" s="6" t="b">
        <f>ROUND(RawSales[[#This Row],[cogs]]+RawSales[[#This Row],[Tax 5%]],2)=ROUND(RawSales[[#This Row],[Sales]],2)</f>
        <v>1</v>
      </c>
    </row>
    <row r="945" spans="1:22" x14ac:dyDescent="0.35">
      <c r="A945" s="4" t="s">
        <v>1485</v>
      </c>
      <c r="B945" t="s">
        <v>28</v>
      </c>
      <c r="C945" t="s">
        <v>29</v>
      </c>
      <c r="D945" t="s">
        <v>30</v>
      </c>
      <c r="E945" t="s">
        <v>23</v>
      </c>
      <c r="F945" t="s">
        <v>40</v>
      </c>
      <c r="G945" s="6">
        <v>5279</v>
      </c>
      <c r="H945" s="7">
        <v>10</v>
      </c>
      <c r="I945" s="6">
        <v>2639.5</v>
      </c>
      <c r="J945" s="6">
        <v>55429.5</v>
      </c>
      <c r="K945" s="5">
        <v>43520.958333333336</v>
      </c>
      <c r="L945" s="4" t="s">
        <v>1486</v>
      </c>
      <c r="M945" t="s">
        <v>34</v>
      </c>
      <c r="N945" s="6">
        <v>52790</v>
      </c>
      <c r="O945">
        <v>4.7619047620000003</v>
      </c>
      <c r="P945" s="6">
        <v>2639.5</v>
      </c>
      <c r="Q945">
        <v>10</v>
      </c>
      <c r="R945" s="6">
        <f>RawSales[[#This Row],[Unit price]]*RawSales[[#This Row],[Quantity]]</f>
        <v>52790</v>
      </c>
      <c r="S945" s="6">
        <f>RawSales[[#This Row],[Subtotal]]*$B$1</f>
        <v>2639.5</v>
      </c>
      <c r="T945" s="6" t="b">
        <f>ROUND(RawSales[[#This Row],[Subtotal]],2)=ROUND(RawSales[[#This Row],[cogs]],2)</f>
        <v>1</v>
      </c>
      <c r="U945" s="6" t="b">
        <f>ROUND(RawSales[[#This Row],[cogs]]*0.05,2)=ROUND(RawSales[[#This Row],[Tax 5%]],2)</f>
        <v>1</v>
      </c>
      <c r="V945" s="6" t="b">
        <f>ROUND(RawSales[[#This Row],[cogs]]+RawSales[[#This Row],[Tax 5%]],2)=ROUND(RawSales[[#This Row],[Sales]],2)</f>
        <v>1</v>
      </c>
    </row>
    <row r="946" spans="1:22" x14ac:dyDescent="0.35">
      <c r="A946" s="4" t="s">
        <v>1487</v>
      </c>
      <c r="B946" t="s">
        <v>28</v>
      </c>
      <c r="C946" t="s">
        <v>29</v>
      </c>
      <c r="D946" t="s">
        <v>22</v>
      </c>
      <c r="E946" t="s">
        <v>23</v>
      </c>
      <c r="F946" t="s">
        <v>32</v>
      </c>
      <c r="G946" s="6">
        <v>5218</v>
      </c>
      <c r="H946" s="7">
        <v>7</v>
      </c>
      <c r="I946" s="6">
        <v>1826.3</v>
      </c>
      <c r="J946" s="6">
        <v>38352.300000000003</v>
      </c>
      <c r="K946" s="5">
        <v>43532.958333333336</v>
      </c>
      <c r="L946" s="4" t="s">
        <v>77</v>
      </c>
      <c r="M946" t="s">
        <v>26</v>
      </c>
      <c r="N946" s="6">
        <v>36526</v>
      </c>
      <c r="O946">
        <v>4.7619047620000003</v>
      </c>
      <c r="P946" s="6">
        <v>1826.3</v>
      </c>
      <c r="Q946">
        <v>9.3000000000000007</v>
      </c>
      <c r="R946" s="6">
        <f>RawSales[[#This Row],[Unit price]]*RawSales[[#This Row],[Quantity]]</f>
        <v>36526</v>
      </c>
      <c r="S946" s="6">
        <f>RawSales[[#This Row],[Subtotal]]*$B$1</f>
        <v>1826.3000000000002</v>
      </c>
      <c r="T946" s="6" t="b">
        <f>ROUND(RawSales[[#This Row],[Subtotal]],2)=ROUND(RawSales[[#This Row],[cogs]],2)</f>
        <v>1</v>
      </c>
      <c r="U946" s="6" t="b">
        <f>ROUND(RawSales[[#This Row],[cogs]]*0.05,2)=ROUND(RawSales[[#This Row],[Tax 5%]],2)</f>
        <v>1</v>
      </c>
      <c r="V946" s="6" t="b">
        <f>ROUND(RawSales[[#This Row],[cogs]]+RawSales[[#This Row],[Tax 5%]],2)=ROUND(RawSales[[#This Row],[Sales]],2)</f>
        <v>1</v>
      </c>
    </row>
    <row r="947" spans="1:22" x14ac:dyDescent="0.35">
      <c r="A947" s="4" t="s">
        <v>1488</v>
      </c>
      <c r="B947" t="s">
        <v>38</v>
      </c>
      <c r="C947" t="s">
        <v>39</v>
      </c>
      <c r="D947" t="s">
        <v>22</v>
      </c>
      <c r="E947" t="s">
        <v>23</v>
      </c>
      <c r="F947" t="s">
        <v>40</v>
      </c>
      <c r="G947" s="6">
        <v>3020</v>
      </c>
      <c r="H947" s="7">
        <v>8</v>
      </c>
      <c r="I947" s="6">
        <v>1208</v>
      </c>
      <c r="J947" s="6">
        <v>25368</v>
      </c>
      <c r="K947" s="5">
        <v>43526.958333333336</v>
      </c>
      <c r="L947" s="4" t="s">
        <v>312</v>
      </c>
      <c r="M947" t="s">
        <v>34</v>
      </c>
      <c r="N947" s="6">
        <v>24160</v>
      </c>
      <c r="O947">
        <v>4.7619047620000003</v>
      </c>
      <c r="P947" s="6">
        <v>1208</v>
      </c>
      <c r="Q947">
        <v>5.0999999999999996</v>
      </c>
      <c r="R947" s="6">
        <f>RawSales[[#This Row],[Unit price]]*RawSales[[#This Row],[Quantity]]</f>
        <v>24160</v>
      </c>
      <c r="S947" s="6">
        <f>RawSales[[#This Row],[Subtotal]]*$B$1</f>
        <v>1208</v>
      </c>
      <c r="T947" s="6" t="b">
        <f>ROUND(RawSales[[#This Row],[Subtotal]],2)=ROUND(RawSales[[#This Row],[cogs]],2)</f>
        <v>1</v>
      </c>
      <c r="U947" s="6" t="b">
        <f>ROUND(RawSales[[#This Row],[cogs]]*0.05,2)=ROUND(RawSales[[#This Row],[Tax 5%]],2)</f>
        <v>1</v>
      </c>
      <c r="V947" s="6" t="b">
        <f>ROUND(RawSales[[#This Row],[cogs]]+RawSales[[#This Row],[Tax 5%]],2)=ROUND(RawSales[[#This Row],[Sales]],2)</f>
        <v>1</v>
      </c>
    </row>
    <row r="948" spans="1:22" x14ac:dyDescent="0.35">
      <c r="A948" s="4" t="s">
        <v>1489</v>
      </c>
      <c r="B948" t="s">
        <v>28</v>
      </c>
      <c r="C948" t="s">
        <v>29</v>
      </c>
      <c r="D948" t="s">
        <v>30</v>
      </c>
      <c r="E948" t="s">
        <v>23</v>
      </c>
      <c r="F948" t="s">
        <v>40</v>
      </c>
      <c r="G948" s="6">
        <v>1378</v>
      </c>
      <c r="H948" s="7">
        <v>4</v>
      </c>
      <c r="I948" s="6">
        <v>275.60000000000002</v>
      </c>
      <c r="J948" s="6">
        <v>5787.6</v>
      </c>
      <c r="K948" s="5">
        <v>43474.958333333336</v>
      </c>
      <c r="L948" s="4" t="s">
        <v>1490</v>
      </c>
      <c r="M948" t="s">
        <v>34</v>
      </c>
      <c r="N948" s="6">
        <v>5512</v>
      </c>
      <c r="O948">
        <v>4.7619047620000003</v>
      </c>
      <c r="P948" s="6">
        <v>275.60000000000002</v>
      </c>
      <c r="Q948">
        <v>9</v>
      </c>
      <c r="R948" s="6">
        <f>RawSales[[#This Row],[Unit price]]*RawSales[[#This Row],[Quantity]]</f>
        <v>5512</v>
      </c>
      <c r="S948" s="6">
        <f>RawSales[[#This Row],[Subtotal]]*$B$1</f>
        <v>275.60000000000002</v>
      </c>
      <c r="T948" s="6" t="b">
        <f>ROUND(RawSales[[#This Row],[Subtotal]],2)=ROUND(RawSales[[#This Row],[cogs]],2)</f>
        <v>1</v>
      </c>
      <c r="U948" s="6" t="b">
        <f>ROUND(RawSales[[#This Row],[cogs]]*0.05,2)=ROUND(RawSales[[#This Row],[Tax 5%]],2)</f>
        <v>1</v>
      </c>
      <c r="V948" s="6" t="b">
        <f>ROUND(RawSales[[#This Row],[cogs]]+RawSales[[#This Row],[Tax 5%]],2)=ROUND(RawSales[[#This Row],[Sales]],2)</f>
        <v>1</v>
      </c>
    </row>
    <row r="949" spans="1:22" x14ac:dyDescent="0.35">
      <c r="A949" s="4" t="s">
        <v>1491</v>
      </c>
      <c r="B949" t="s">
        <v>38</v>
      </c>
      <c r="C949" t="s">
        <v>39</v>
      </c>
      <c r="D949" t="s">
        <v>30</v>
      </c>
      <c r="E949" t="s">
        <v>23</v>
      </c>
      <c r="F949" t="s">
        <v>62</v>
      </c>
      <c r="G949" s="6">
        <v>8314</v>
      </c>
      <c r="H949" s="7">
        <v>7</v>
      </c>
      <c r="I949" s="6">
        <v>2909.9</v>
      </c>
      <c r="J949" s="6">
        <v>61107.9</v>
      </c>
      <c r="K949" s="5">
        <v>43474.958333333336</v>
      </c>
      <c r="L949" s="4" t="s">
        <v>341</v>
      </c>
      <c r="M949" t="s">
        <v>51</v>
      </c>
      <c r="N949" s="6">
        <v>58198</v>
      </c>
      <c r="O949">
        <v>4.7619047620000003</v>
      </c>
      <c r="P949" s="6">
        <v>2909.9</v>
      </c>
      <c r="Q949">
        <v>6.6</v>
      </c>
      <c r="R949" s="6">
        <f>RawSales[[#This Row],[Unit price]]*RawSales[[#This Row],[Quantity]]</f>
        <v>58198</v>
      </c>
      <c r="S949" s="6">
        <f>RawSales[[#This Row],[Subtotal]]*$B$1</f>
        <v>2909.9</v>
      </c>
      <c r="T949" s="6" t="b">
        <f>ROUND(RawSales[[#This Row],[Subtotal]],2)=ROUND(RawSales[[#This Row],[cogs]],2)</f>
        <v>1</v>
      </c>
      <c r="U949" s="6" t="b">
        <f>ROUND(RawSales[[#This Row],[cogs]]*0.05,2)=ROUND(RawSales[[#This Row],[Tax 5%]],2)</f>
        <v>1</v>
      </c>
      <c r="V949" s="6" t="b">
        <f>ROUND(RawSales[[#This Row],[cogs]]+RawSales[[#This Row],[Tax 5%]],2)=ROUND(RawSales[[#This Row],[Sales]],2)</f>
        <v>1</v>
      </c>
    </row>
    <row r="950" spans="1:22" x14ac:dyDescent="0.35">
      <c r="A950" s="4" t="s">
        <v>1492</v>
      </c>
      <c r="B950" t="s">
        <v>38</v>
      </c>
      <c r="C950" t="s">
        <v>39</v>
      </c>
      <c r="D950" t="s">
        <v>22</v>
      </c>
      <c r="E950" t="s">
        <v>23</v>
      </c>
      <c r="F950" t="s">
        <v>24</v>
      </c>
      <c r="G950" s="6">
        <v>7831</v>
      </c>
      <c r="H950" s="7">
        <v>10</v>
      </c>
      <c r="I950" s="6">
        <v>3915.5</v>
      </c>
      <c r="J950" s="6">
        <v>82225.5</v>
      </c>
      <c r="K950" s="4" t="s">
        <v>225</v>
      </c>
      <c r="L950" s="4" t="s">
        <v>551</v>
      </c>
      <c r="M950" t="s">
        <v>34</v>
      </c>
      <c r="N950" s="6">
        <v>78310</v>
      </c>
      <c r="O950">
        <v>4.7619047620000003</v>
      </c>
      <c r="P950" s="6">
        <v>3915.5</v>
      </c>
      <c r="Q950">
        <v>6.6</v>
      </c>
      <c r="R950" s="6">
        <f>RawSales[[#This Row],[Unit price]]*RawSales[[#This Row],[Quantity]]</f>
        <v>78310</v>
      </c>
      <c r="S950" s="6">
        <f>RawSales[[#This Row],[Subtotal]]*$B$1</f>
        <v>3915.5</v>
      </c>
      <c r="T950" s="6" t="b">
        <f>ROUND(RawSales[[#This Row],[Subtotal]],2)=ROUND(RawSales[[#This Row],[cogs]],2)</f>
        <v>1</v>
      </c>
      <c r="U950" s="6" t="b">
        <f>ROUND(RawSales[[#This Row],[cogs]]*0.05,2)=ROUND(RawSales[[#This Row],[Tax 5%]],2)</f>
        <v>1</v>
      </c>
      <c r="V950" s="6" t="b">
        <f>ROUND(RawSales[[#This Row],[cogs]]+RawSales[[#This Row],[Tax 5%]],2)=ROUND(RawSales[[#This Row],[Sales]],2)</f>
        <v>1</v>
      </c>
    </row>
    <row r="951" spans="1:22" x14ac:dyDescent="0.35">
      <c r="A951" s="4" t="s">
        <v>1493</v>
      </c>
      <c r="B951" t="s">
        <v>28</v>
      </c>
      <c r="C951" t="s">
        <v>29</v>
      </c>
      <c r="D951" t="s">
        <v>30</v>
      </c>
      <c r="E951" t="s">
        <v>23</v>
      </c>
      <c r="F951" t="s">
        <v>62</v>
      </c>
      <c r="G951" s="6">
        <v>5451</v>
      </c>
      <c r="H951" s="7">
        <v>6</v>
      </c>
      <c r="I951" s="6">
        <v>1635.3</v>
      </c>
      <c r="J951" s="6">
        <v>34341.300000000003</v>
      </c>
      <c r="K951" s="5">
        <v>43540.958333333336</v>
      </c>
      <c r="L951" s="4" t="s">
        <v>739</v>
      </c>
      <c r="M951" t="s">
        <v>34</v>
      </c>
      <c r="N951" s="6">
        <v>32706</v>
      </c>
      <c r="O951">
        <v>4.7619047620000003</v>
      </c>
      <c r="P951" s="6">
        <v>1635.3</v>
      </c>
      <c r="Q951">
        <v>7.8</v>
      </c>
      <c r="R951" s="6">
        <f>RawSales[[#This Row],[Unit price]]*RawSales[[#This Row],[Quantity]]</f>
        <v>32706</v>
      </c>
      <c r="S951" s="6">
        <f>RawSales[[#This Row],[Subtotal]]*$B$1</f>
        <v>1635.3000000000002</v>
      </c>
      <c r="T951" s="6" t="b">
        <f>ROUND(RawSales[[#This Row],[Subtotal]],2)=ROUND(RawSales[[#This Row],[cogs]],2)</f>
        <v>1</v>
      </c>
      <c r="U951" s="6" t="b">
        <f>ROUND(RawSales[[#This Row],[cogs]]*0.05,2)=ROUND(RawSales[[#This Row],[Tax 5%]],2)</f>
        <v>1</v>
      </c>
      <c r="V951" s="6" t="b">
        <f>ROUND(RawSales[[#This Row],[cogs]]+RawSales[[#This Row],[Tax 5%]],2)=ROUND(RawSales[[#This Row],[Sales]],2)</f>
        <v>1</v>
      </c>
    </row>
    <row r="952" spans="1:22" x14ac:dyDescent="0.35">
      <c r="A952" s="4" t="s">
        <v>1494</v>
      </c>
      <c r="B952" t="s">
        <v>20</v>
      </c>
      <c r="C952" t="s">
        <v>21</v>
      </c>
      <c r="D952" t="s">
        <v>30</v>
      </c>
      <c r="E952" t="s">
        <v>23</v>
      </c>
      <c r="F952" t="s">
        <v>43</v>
      </c>
      <c r="G952" s="6">
        <v>3232</v>
      </c>
      <c r="H952" s="7">
        <v>10</v>
      </c>
      <c r="I952" s="6">
        <v>1616</v>
      </c>
      <c r="J952" s="6">
        <v>33936</v>
      </c>
      <c r="K952" s="5">
        <v>43515.958333333336</v>
      </c>
      <c r="L952" s="4" t="s">
        <v>750</v>
      </c>
      <c r="M952" t="s">
        <v>51</v>
      </c>
      <c r="N952" s="6">
        <v>32320</v>
      </c>
      <c r="O952">
        <v>4.7619047620000003</v>
      </c>
      <c r="P952" s="6">
        <v>1616</v>
      </c>
      <c r="Q952">
        <v>10</v>
      </c>
      <c r="R952" s="6">
        <f>RawSales[[#This Row],[Unit price]]*RawSales[[#This Row],[Quantity]]</f>
        <v>32320</v>
      </c>
      <c r="S952" s="6">
        <f>RawSales[[#This Row],[Subtotal]]*$B$1</f>
        <v>1616</v>
      </c>
      <c r="T952" s="6" t="b">
        <f>ROUND(RawSales[[#This Row],[Subtotal]],2)=ROUND(RawSales[[#This Row],[cogs]],2)</f>
        <v>1</v>
      </c>
      <c r="U952" s="6" t="b">
        <f>ROUND(RawSales[[#This Row],[cogs]]*0.05,2)=ROUND(RawSales[[#This Row],[Tax 5%]],2)</f>
        <v>1</v>
      </c>
      <c r="V952" s="6" t="b">
        <f>ROUND(RawSales[[#This Row],[cogs]]+RawSales[[#This Row],[Tax 5%]],2)=ROUND(RawSales[[#This Row],[Sales]],2)</f>
        <v>1</v>
      </c>
    </row>
    <row r="953" spans="1:22" x14ac:dyDescent="0.35">
      <c r="A953" s="4" t="s">
        <v>1495</v>
      </c>
      <c r="B953" t="s">
        <v>38</v>
      </c>
      <c r="C953" t="s">
        <v>39</v>
      </c>
      <c r="D953" t="s">
        <v>30</v>
      </c>
      <c r="E953" t="s">
        <v>31</v>
      </c>
      <c r="F953" t="s">
        <v>43</v>
      </c>
      <c r="G953" s="6">
        <v>3431</v>
      </c>
      <c r="H953" s="7">
        <v>8</v>
      </c>
      <c r="I953" s="6">
        <v>1372.4</v>
      </c>
      <c r="J953" s="6">
        <v>28820.400000000001</v>
      </c>
      <c r="K953" s="5">
        <v>43489.958333333336</v>
      </c>
      <c r="L953" s="4" t="s">
        <v>1496</v>
      </c>
      <c r="M953" t="s">
        <v>34</v>
      </c>
      <c r="N953" s="6">
        <v>27448</v>
      </c>
      <c r="O953">
        <v>4.7619047620000003</v>
      </c>
      <c r="P953" s="6">
        <v>1372.4</v>
      </c>
      <c r="Q953">
        <v>5.7</v>
      </c>
      <c r="R953" s="6">
        <f>RawSales[[#This Row],[Unit price]]*RawSales[[#This Row],[Quantity]]</f>
        <v>27448</v>
      </c>
      <c r="S953" s="6">
        <f>RawSales[[#This Row],[Subtotal]]*$B$1</f>
        <v>1372.4</v>
      </c>
      <c r="T953" s="6" t="b">
        <f>ROUND(RawSales[[#This Row],[Subtotal]],2)=ROUND(RawSales[[#This Row],[cogs]],2)</f>
        <v>1</v>
      </c>
      <c r="U953" s="6" t="b">
        <f>ROUND(RawSales[[#This Row],[cogs]]*0.05,2)=ROUND(RawSales[[#This Row],[Tax 5%]],2)</f>
        <v>1</v>
      </c>
      <c r="V953" s="6" t="b">
        <f>ROUND(RawSales[[#This Row],[cogs]]+RawSales[[#This Row],[Tax 5%]],2)=ROUND(RawSales[[#This Row],[Sales]],2)</f>
        <v>1</v>
      </c>
    </row>
    <row r="954" spans="1:22" x14ac:dyDescent="0.35">
      <c r="A954" s="4" t="s">
        <v>1497</v>
      </c>
      <c r="B954" t="s">
        <v>28</v>
      </c>
      <c r="C954" t="s">
        <v>29</v>
      </c>
      <c r="D954" t="s">
        <v>22</v>
      </c>
      <c r="E954" t="s">
        <v>23</v>
      </c>
      <c r="F954" t="s">
        <v>62</v>
      </c>
      <c r="G954" s="6">
        <v>3912</v>
      </c>
      <c r="H954" s="7">
        <v>1</v>
      </c>
      <c r="I954" s="6">
        <v>195.6</v>
      </c>
      <c r="J954" s="6">
        <v>4107.6000000000004</v>
      </c>
      <c r="K954" s="5">
        <v>43549.958333333336</v>
      </c>
      <c r="L954" s="4" t="s">
        <v>1498</v>
      </c>
      <c r="M954" t="s">
        <v>51</v>
      </c>
      <c r="N954" s="6">
        <v>3912</v>
      </c>
      <c r="O954">
        <v>4.7619047620000003</v>
      </c>
      <c r="P954" s="6">
        <v>195.6</v>
      </c>
      <c r="Q954">
        <v>9.6</v>
      </c>
      <c r="R954" s="6">
        <f>RawSales[[#This Row],[Unit price]]*RawSales[[#This Row],[Quantity]]</f>
        <v>3912</v>
      </c>
      <c r="S954" s="6">
        <f>RawSales[[#This Row],[Subtotal]]*$B$1</f>
        <v>195.60000000000002</v>
      </c>
      <c r="T954" s="6" t="b">
        <f>ROUND(RawSales[[#This Row],[Subtotal]],2)=ROUND(RawSales[[#This Row],[cogs]],2)</f>
        <v>1</v>
      </c>
      <c r="U954" s="6" t="b">
        <f>ROUND(RawSales[[#This Row],[cogs]]*0.05,2)=ROUND(RawSales[[#This Row],[Tax 5%]],2)</f>
        <v>1</v>
      </c>
      <c r="V954" s="6" t="b">
        <f>ROUND(RawSales[[#This Row],[cogs]]+RawSales[[#This Row],[Tax 5%]],2)=ROUND(RawSales[[#This Row],[Sales]],2)</f>
        <v>1</v>
      </c>
    </row>
    <row r="955" spans="1:22" x14ac:dyDescent="0.35">
      <c r="A955" s="4" t="s">
        <v>1499</v>
      </c>
      <c r="B955" t="s">
        <v>20</v>
      </c>
      <c r="C955" t="s">
        <v>21</v>
      </c>
      <c r="D955" t="s">
        <v>22</v>
      </c>
      <c r="E955" t="s">
        <v>31</v>
      </c>
      <c r="F955" t="s">
        <v>62</v>
      </c>
      <c r="G955" s="6">
        <v>8233</v>
      </c>
      <c r="H955" s="7">
        <v>4</v>
      </c>
      <c r="I955" s="6">
        <v>1646.6</v>
      </c>
      <c r="J955" s="6">
        <v>34578.6</v>
      </c>
      <c r="K955" s="5">
        <v>43475.958333333336</v>
      </c>
      <c r="L955" s="4" t="s">
        <v>889</v>
      </c>
      <c r="M955" t="s">
        <v>51</v>
      </c>
      <c r="N955" s="6">
        <v>32932</v>
      </c>
      <c r="O955">
        <v>4.7619047620000003</v>
      </c>
      <c r="P955" s="6">
        <v>1646.6</v>
      </c>
      <c r="Q955">
        <v>7.5</v>
      </c>
      <c r="R955" s="6">
        <f>RawSales[[#This Row],[Unit price]]*RawSales[[#This Row],[Quantity]]</f>
        <v>32932</v>
      </c>
      <c r="S955" s="6">
        <f>RawSales[[#This Row],[Subtotal]]*$B$1</f>
        <v>1646.6000000000001</v>
      </c>
      <c r="T955" s="6" t="b">
        <f>ROUND(RawSales[[#This Row],[Subtotal]],2)=ROUND(RawSales[[#This Row],[cogs]],2)</f>
        <v>1</v>
      </c>
      <c r="U955" s="6" t="b">
        <f>ROUND(RawSales[[#This Row],[cogs]]*0.05,2)=ROUND(RawSales[[#This Row],[Tax 5%]],2)</f>
        <v>1</v>
      </c>
      <c r="V955" s="6" t="b">
        <f>ROUND(RawSales[[#This Row],[cogs]]+RawSales[[#This Row],[Tax 5%]],2)=ROUND(RawSales[[#This Row],[Sales]],2)</f>
        <v>1</v>
      </c>
    </row>
    <row r="956" spans="1:22" x14ac:dyDescent="0.35">
      <c r="A956" s="4" t="s">
        <v>1500</v>
      </c>
      <c r="B956" t="s">
        <v>20</v>
      </c>
      <c r="C956" t="s">
        <v>21</v>
      </c>
      <c r="D956" t="s">
        <v>30</v>
      </c>
      <c r="E956" t="s">
        <v>31</v>
      </c>
      <c r="F956" t="s">
        <v>49</v>
      </c>
      <c r="G956" s="6">
        <v>5238</v>
      </c>
      <c r="H956" s="7">
        <v>1</v>
      </c>
      <c r="I956" s="6">
        <v>261.89999999999998</v>
      </c>
      <c r="J956" s="6">
        <v>5499.9</v>
      </c>
      <c r="K956" s="5">
        <v>43549.958333333336</v>
      </c>
      <c r="L956" s="4" t="s">
        <v>472</v>
      </c>
      <c r="M956" t="s">
        <v>26</v>
      </c>
      <c r="N956" s="6">
        <v>5238</v>
      </c>
      <c r="O956">
        <v>4.7619047620000003</v>
      </c>
      <c r="P956" s="6">
        <v>261.89999999999998</v>
      </c>
      <c r="Q956">
        <v>5.8</v>
      </c>
      <c r="R956" s="6">
        <f>RawSales[[#This Row],[Unit price]]*RawSales[[#This Row],[Quantity]]</f>
        <v>5238</v>
      </c>
      <c r="S956" s="6">
        <f>RawSales[[#This Row],[Subtotal]]*$B$1</f>
        <v>261.90000000000003</v>
      </c>
      <c r="T956" s="6" t="b">
        <f>ROUND(RawSales[[#This Row],[Subtotal]],2)=ROUND(RawSales[[#This Row],[cogs]],2)</f>
        <v>1</v>
      </c>
      <c r="U956" s="6" t="b">
        <f>ROUND(RawSales[[#This Row],[cogs]]*0.05,2)=ROUND(RawSales[[#This Row],[Tax 5%]],2)</f>
        <v>1</v>
      </c>
      <c r="V956" s="6" t="b">
        <f>ROUND(RawSales[[#This Row],[cogs]]+RawSales[[#This Row],[Tax 5%]],2)=ROUND(RawSales[[#This Row],[Sales]],2)</f>
        <v>1</v>
      </c>
    </row>
    <row r="957" spans="1:22" x14ac:dyDescent="0.35">
      <c r="A957" s="4" t="s">
        <v>1501</v>
      </c>
      <c r="B957" t="s">
        <v>20</v>
      </c>
      <c r="C957" t="s">
        <v>21</v>
      </c>
      <c r="D957" t="s">
        <v>22</v>
      </c>
      <c r="E957" t="s">
        <v>23</v>
      </c>
      <c r="F957" t="s">
        <v>49</v>
      </c>
      <c r="G957" s="6">
        <v>1966</v>
      </c>
      <c r="H957" s="7">
        <v>10</v>
      </c>
      <c r="I957" s="6">
        <v>983</v>
      </c>
      <c r="J957" s="6">
        <v>20643</v>
      </c>
      <c r="K957" s="5">
        <v>43538.958333333336</v>
      </c>
      <c r="L957" s="4" t="s">
        <v>1502</v>
      </c>
      <c r="M957" t="s">
        <v>51</v>
      </c>
      <c r="N957" s="6">
        <v>19660</v>
      </c>
      <c r="O957">
        <v>4.7619047620000003</v>
      </c>
      <c r="P957" s="6">
        <v>983</v>
      </c>
      <c r="Q957">
        <v>7.2</v>
      </c>
      <c r="R957" s="6">
        <f>RawSales[[#This Row],[Unit price]]*RawSales[[#This Row],[Quantity]]</f>
        <v>19660</v>
      </c>
      <c r="S957" s="6">
        <f>RawSales[[#This Row],[Subtotal]]*$B$1</f>
        <v>983</v>
      </c>
      <c r="T957" s="6" t="b">
        <f>ROUND(RawSales[[#This Row],[Subtotal]],2)=ROUND(RawSales[[#This Row],[cogs]],2)</f>
        <v>1</v>
      </c>
      <c r="U957" s="6" t="b">
        <f>ROUND(RawSales[[#This Row],[cogs]]*0.05,2)=ROUND(RawSales[[#This Row],[Tax 5%]],2)</f>
        <v>1</v>
      </c>
      <c r="V957" s="6" t="b">
        <f>ROUND(RawSales[[#This Row],[cogs]]+RawSales[[#This Row],[Tax 5%]],2)=ROUND(RawSales[[#This Row],[Sales]],2)</f>
        <v>1</v>
      </c>
    </row>
    <row r="958" spans="1:22" x14ac:dyDescent="0.35">
      <c r="A958" s="4" t="s">
        <v>1503</v>
      </c>
      <c r="B958" t="s">
        <v>28</v>
      </c>
      <c r="C958" t="s">
        <v>29</v>
      </c>
      <c r="D958" t="s">
        <v>22</v>
      </c>
      <c r="E958" t="s">
        <v>31</v>
      </c>
      <c r="F958" t="s">
        <v>40</v>
      </c>
      <c r="G958" s="6">
        <v>8787</v>
      </c>
      <c r="H958" s="7">
        <v>9</v>
      </c>
      <c r="I958" s="6">
        <v>3954.15</v>
      </c>
      <c r="J958" s="6">
        <v>83037.149999999994</v>
      </c>
      <c r="K958" s="5">
        <v>43495.958333333336</v>
      </c>
      <c r="L958" s="4" t="s">
        <v>1504</v>
      </c>
      <c r="M958" t="s">
        <v>34</v>
      </c>
      <c r="N958" s="6">
        <v>79083</v>
      </c>
      <c r="O958">
        <v>4.7619047620000003</v>
      </c>
      <c r="P958" s="6">
        <v>3954.15</v>
      </c>
      <c r="Q958">
        <v>5.6</v>
      </c>
      <c r="R958" s="6">
        <f>RawSales[[#This Row],[Unit price]]*RawSales[[#This Row],[Quantity]]</f>
        <v>79083</v>
      </c>
      <c r="S958" s="6">
        <f>RawSales[[#This Row],[Subtotal]]*$B$1</f>
        <v>3954.15</v>
      </c>
      <c r="T958" s="6" t="b">
        <f>ROUND(RawSales[[#This Row],[Subtotal]],2)=ROUND(RawSales[[#This Row],[cogs]],2)</f>
        <v>1</v>
      </c>
      <c r="U958" s="6" t="b">
        <f>ROUND(RawSales[[#This Row],[cogs]]*0.05,2)=ROUND(RawSales[[#This Row],[Tax 5%]],2)</f>
        <v>1</v>
      </c>
      <c r="V958" s="6" t="b">
        <f>ROUND(RawSales[[#This Row],[cogs]]+RawSales[[#This Row],[Tax 5%]],2)=ROUND(RawSales[[#This Row],[Sales]],2)</f>
        <v>1</v>
      </c>
    </row>
    <row r="959" spans="1:22" x14ac:dyDescent="0.35">
      <c r="A959" s="4" t="s">
        <v>1505</v>
      </c>
      <c r="B959" t="s">
        <v>28</v>
      </c>
      <c r="C959" t="s">
        <v>29</v>
      </c>
      <c r="D959" t="s">
        <v>30</v>
      </c>
      <c r="E959" t="s">
        <v>23</v>
      </c>
      <c r="F959" t="s">
        <v>32</v>
      </c>
      <c r="G959" s="6">
        <v>7704</v>
      </c>
      <c r="H959" s="7">
        <v>3</v>
      </c>
      <c r="I959" s="6">
        <v>1155.5999999999999</v>
      </c>
      <c r="J959" s="6">
        <v>24267.599999999999</v>
      </c>
      <c r="K959" s="5">
        <v>43506.958333333336</v>
      </c>
      <c r="L959" s="4" t="s">
        <v>1208</v>
      </c>
      <c r="M959" t="s">
        <v>51</v>
      </c>
      <c r="N959" s="6">
        <v>23112</v>
      </c>
      <c r="O959">
        <v>4.7619047620000003</v>
      </c>
      <c r="P959" s="6">
        <v>1155.5999999999999</v>
      </c>
      <c r="Q959">
        <v>7.2</v>
      </c>
      <c r="R959" s="6">
        <f>RawSales[[#This Row],[Unit price]]*RawSales[[#This Row],[Quantity]]</f>
        <v>23112</v>
      </c>
      <c r="S959" s="6">
        <f>RawSales[[#This Row],[Subtotal]]*$B$1</f>
        <v>1155.6000000000001</v>
      </c>
      <c r="T959" s="6" t="b">
        <f>ROUND(RawSales[[#This Row],[Subtotal]],2)=ROUND(RawSales[[#This Row],[cogs]],2)</f>
        <v>1</v>
      </c>
      <c r="U959" s="6" t="b">
        <f>ROUND(RawSales[[#This Row],[cogs]]*0.05,2)=ROUND(RawSales[[#This Row],[Tax 5%]],2)</f>
        <v>1</v>
      </c>
      <c r="V959" s="6" t="b">
        <f>ROUND(RawSales[[#This Row],[cogs]]+RawSales[[#This Row],[Tax 5%]],2)=ROUND(RawSales[[#This Row],[Sales]],2)</f>
        <v>1</v>
      </c>
    </row>
    <row r="960" spans="1:22" x14ac:dyDescent="0.35">
      <c r="A960" s="4" t="s">
        <v>531</v>
      </c>
      <c r="B960" t="s">
        <v>20</v>
      </c>
      <c r="C960" t="s">
        <v>21</v>
      </c>
      <c r="D960" t="s">
        <v>30</v>
      </c>
      <c r="E960" t="s">
        <v>23</v>
      </c>
      <c r="F960" t="s">
        <v>140</v>
      </c>
      <c r="G960" s="6">
        <v>4026</v>
      </c>
      <c r="H960" s="7">
        <v>10</v>
      </c>
      <c r="I960" s="6">
        <v>2013</v>
      </c>
      <c r="J960" s="6">
        <v>42273</v>
      </c>
      <c r="K960" s="5">
        <v>43519.958333333336</v>
      </c>
      <c r="L960" s="4" t="s">
        <v>532</v>
      </c>
      <c r="M960" t="s">
        <v>51</v>
      </c>
      <c r="N960" s="6">
        <v>40260</v>
      </c>
      <c r="O960">
        <v>4.7619047620000003</v>
      </c>
      <c r="P960" s="6">
        <v>2013</v>
      </c>
      <c r="Q960">
        <v>5</v>
      </c>
      <c r="R960" s="6">
        <f>RawSales[[#This Row],[Unit price]]*RawSales[[#This Row],[Quantity]]</f>
        <v>40260</v>
      </c>
      <c r="S960" s="6">
        <f>RawSales[[#This Row],[Subtotal]]*$B$1</f>
        <v>2013</v>
      </c>
      <c r="T960" s="6" t="b">
        <f>ROUND(RawSales[[#This Row],[Subtotal]],2)=ROUND(RawSales[[#This Row],[cogs]],2)</f>
        <v>1</v>
      </c>
      <c r="U960" s="6" t="b">
        <f>ROUND(RawSales[[#This Row],[cogs]]*0.05,2)=ROUND(RawSales[[#This Row],[Tax 5%]],2)</f>
        <v>1</v>
      </c>
      <c r="V960" s="6" t="b">
        <f>ROUND(RawSales[[#This Row],[cogs]]+RawSales[[#This Row],[Tax 5%]],2)=ROUND(RawSales[[#This Row],[Sales]],2)</f>
        <v>1</v>
      </c>
    </row>
    <row r="961" spans="1:22" x14ac:dyDescent="0.35">
      <c r="A961" s="4" t="s">
        <v>1506</v>
      </c>
      <c r="B961" t="s">
        <v>20</v>
      </c>
      <c r="C961" t="s">
        <v>21</v>
      </c>
      <c r="D961" t="s">
        <v>22</v>
      </c>
      <c r="E961" t="s">
        <v>23</v>
      </c>
      <c r="F961" t="s">
        <v>24</v>
      </c>
      <c r="G961" s="6">
        <v>9161</v>
      </c>
      <c r="H961" s="7">
        <v>1</v>
      </c>
      <c r="I961" s="6">
        <v>458.05</v>
      </c>
      <c r="J961" s="6">
        <v>9619.0499999999993</v>
      </c>
      <c r="K961" s="5">
        <v>43543.958333333336</v>
      </c>
      <c r="L961" s="4" t="s">
        <v>472</v>
      </c>
      <c r="M961" t="s">
        <v>26</v>
      </c>
      <c r="N961" s="6">
        <v>9161</v>
      </c>
      <c r="O961">
        <v>4.7619047620000003</v>
      </c>
      <c r="P961" s="6">
        <v>458.05</v>
      </c>
      <c r="R961" s="6">
        <f>RawSales[[#This Row],[Unit price]]*RawSales[[#This Row],[Quantity]]</f>
        <v>9161</v>
      </c>
      <c r="S961" s="6">
        <f>RawSales[[#This Row],[Subtotal]]*$B$1</f>
        <v>458.05</v>
      </c>
      <c r="T961" s="6" t="b">
        <f>ROUND(RawSales[[#This Row],[Subtotal]],2)=ROUND(RawSales[[#This Row],[cogs]],2)</f>
        <v>1</v>
      </c>
      <c r="U961" s="6" t="b">
        <f>ROUND(RawSales[[#This Row],[cogs]]*0.05,2)=ROUND(RawSales[[#This Row],[Tax 5%]],2)</f>
        <v>1</v>
      </c>
      <c r="V961" s="6" t="b">
        <f>ROUND(RawSales[[#This Row],[cogs]]+RawSales[[#This Row],[Tax 5%]],2)=ROUND(RawSales[[#This Row],[Sales]],2)</f>
        <v>1</v>
      </c>
    </row>
    <row r="962" spans="1:22" x14ac:dyDescent="0.35">
      <c r="A962" s="4" t="s">
        <v>1507</v>
      </c>
      <c r="B962" t="s">
        <v>38</v>
      </c>
      <c r="C962" t="s">
        <v>39</v>
      </c>
      <c r="D962" t="s">
        <v>30</v>
      </c>
      <c r="E962" t="s">
        <v>23</v>
      </c>
      <c r="F962" t="s">
        <v>24</v>
      </c>
      <c r="G962" s="6">
        <v>4124</v>
      </c>
      <c r="H962" s="7">
        <v>4</v>
      </c>
      <c r="I962" s="6">
        <v>824.8</v>
      </c>
      <c r="J962" s="6">
        <v>17320.8</v>
      </c>
      <c r="K962" s="5">
        <v>43514.958333333336</v>
      </c>
      <c r="L962" s="4" t="s">
        <v>379</v>
      </c>
      <c r="M962" t="s">
        <v>26</v>
      </c>
      <c r="N962" s="6">
        <v>16496</v>
      </c>
      <c r="O962">
        <v>4.7619047620000003</v>
      </c>
      <c r="P962" s="6">
        <v>824.8</v>
      </c>
      <c r="Q962">
        <v>7.1</v>
      </c>
      <c r="R962" s="6">
        <f>RawSales[[#This Row],[Unit price]]*RawSales[[#This Row],[Quantity]]</f>
        <v>16496</v>
      </c>
      <c r="S962" s="6">
        <f>RawSales[[#This Row],[Subtotal]]*$B$1</f>
        <v>824.80000000000007</v>
      </c>
      <c r="T962" s="6" t="b">
        <f>ROUND(RawSales[[#This Row],[Subtotal]],2)=ROUND(RawSales[[#This Row],[cogs]],2)</f>
        <v>1</v>
      </c>
      <c r="U962" s="6" t="b">
        <f>ROUND(RawSales[[#This Row],[cogs]]*0.05,2)=ROUND(RawSales[[#This Row],[Tax 5%]],2)</f>
        <v>1</v>
      </c>
      <c r="V962" s="6" t="b">
        <f>ROUND(RawSales[[#This Row],[cogs]]+RawSales[[#This Row],[Tax 5%]],2)=ROUND(RawSales[[#This Row],[Sales]],2)</f>
        <v>1</v>
      </c>
    </row>
    <row r="963" spans="1:22" x14ac:dyDescent="0.35">
      <c r="A963" s="4" t="s">
        <v>1508</v>
      </c>
      <c r="B963" t="s">
        <v>38</v>
      </c>
      <c r="C963" t="s">
        <v>39</v>
      </c>
      <c r="D963" t="s">
        <v>22</v>
      </c>
      <c r="E963" t="s">
        <v>31</v>
      </c>
      <c r="F963" t="s">
        <v>24</v>
      </c>
      <c r="G963" s="6">
        <v>2431</v>
      </c>
      <c r="H963" s="7">
        <v>3</v>
      </c>
      <c r="I963" s="6">
        <v>364.65</v>
      </c>
      <c r="J963" s="6">
        <v>7657.65</v>
      </c>
      <c r="K963" s="5">
        <v>43472.958333333336</v>
      </c>
      <c r="L963" s="4" t="s">
        <v>723</v>
      </c>
      <c r="M963" t="s">
        <v>51</v>
      </c>
      <c r="N963" s="6">
        <v>7293</v>
      </c>
      <c r="O963">
        <v>4.7619047620000003</v>
      </c>
      <c r="P963" s="6">
        <v>364.65</v>
      </c>
      <c r="Q963">
        <v>4.3</v>
      </c>
      <c r="R963" s="6">
        <f>RawSales[[#This Row],[Unit price]]*RawSales[[#This Row],[Quantity]]</f>
        <v>7293</v>
      </c>
      <c r="S963" s="6">
        <f>RawSales[[#This Row],[Subtotal]]*$B$1</f>
        <v>364.65000000000003</v>
      </c>
      <c r="T963" s="6" t="b">
        <f>ROUND(RawSales[[#This Row],[Subtotal]],2)=ROUND(RawSales[[#This Row],[cogs]],2)</f>
        <v>1</v>
      </c>
      <c r="U963" s="6" t="b">
        <f>ROUND(RawSales[[#This Row],[cogs]]*0.05,2)=ROUND(RawSales[[#This Row],[Tax 5%]],2)</f>
        <v>1</v>
      </c>
      <c r="V963" s="6" t="b">
        <f>ROUND(RawSales[[#This Row],[cogs]]+RawSales[[#This Row],[Tax 5%]],2)=ROUND(RawSales[[#This Row],[Sales]],2)</f>
        <v>1</v>
      </c>
    </row>
    <row r="964" spans="1:22" x14ac:dyDescent="0.35">
      <c r="A964" s="4" t="s">
        <v>1509</v>
      </c>
      <c r="B964" t="s">
        <v>38</v>
      </c>
      <c r="C964" t="s">
        <v>39</v>
      </c>
      <c r="D964" t="s">
        <v>30</v>
      </c>
      <c r="E964" t="s">
        <v>23</v>
      </c>
      <c r="F964" t="s">
        <v>49</v>
      </c>
      <c r="G964" s="6">
        <v>9022</v>
      </c>
      <c r="H964" s="7">
        <v>3</v>
      </c>
      <c r="I964" s="6">
        <v>1353.3</v>
      </c>
      <c r="J964" s="6">
        <v>28419.3</v>
      </c>
      <c r="K964" s="4" t="s">
        <v>1510</v>
      </c>
      <c r="L964" s="4" t="s">
        <v>1093</v>
      </c>
      <c r="M964" t="s">
        <v>26</v>
      </c>
      <c r="N964" s="6">
        <v>27066</v>
      </c>
      <c r="O964">
        <v>4.7619047620000003</v>
      </c>
      <c r="P964" s="6">
        <v>1353.3</v>
      </c>
      <c r="Q964">
        <v>6.2</v>
      </c>
      <c r="R964" s="6">
        <f>RawSales[[#This Row],[Unit price]]*RawSales[[#This Row],[Quantity]]</f>
        <v>27066</v>
      </c>
      <c r="S964" s="6">
        <f>RawSales[[#This Row],[Subtotal]]*$B$1</f>
        <v>1353.3000000000002</v>
      </c>
      <c r="T964" s="6" t="b">
        <f>ROUND(RawSales[[#This Row],[Subtotal]],2)=ROUND(RawSales[[#This Row],[cogs]],2)</f>
        <v>1</v>
      </c>
      <c r="U964" s="6" t="b">
        <f>ROUND(RawSales[[#This Row],[cogs]]*0.05,2)=ROUND(RawSales[[#This Row],[Tax 5%]],2)</f>
        <v>1</v>
      </c>
      <c r="V964" s="6" t="b">
        <f>ROUND(RawSales[[#This Row],[cogs]]+RawSales[[#This Row],[Tax 5%]],2)=ROUND(RawSales[[#This Row],[Sales]],2)</f>
        <v>1</v>
      </c>
    </row>
    <row r="965" spans="1:22" x14ac:dyDescent="0.35">
      <c r="A965" s="4" t="s">
        <v>1511</v>
      </c>
      <c r="B965" t="s">
        <v>20</v>
      </c>
      <c r="C965" t="s">
        <v>21</v>
      </c>
      <c r="D965" t="s">
        <v>22</v>
      </c>
      <c r="E965" t="s">
        <v>31</v>
      </c>
      <c r="F965" t="s">
        <v>32</v>
      </c>
      <c r="G965" s="6">
        <v>4759</v>
      </c>
      <c r="H965" s="7">
        <v>8</v>
      </c>
      <c r="I965" s="6">
        <v>1903.6</v>
      </c>
      <c r="J965" s="6">
        <v>39975.599999999999</v>
      </c>
      <c r="K965" s="5">
        <v>43465.958333333336</v>
      </c>
      <c r="L965" s="4" t="s">
        <v>1512</v>
      </c>
      <c r="M965" t="s">
        <v>26</v>
      </c>
      <c r="N965" s="6">
        <v>38072</v>
      </c>
      <c r="O965">
        <v>4.7619047620000003</v>
      </c>
      <c r="P965" s="6">
        <v>1903.6</v>
      </c>
      <c r="Q965">
        <v>5.7</v>
      </c>
      <c r="R965" s="6">
        <f>RawSales[[#This Row],[Unit price]]*RawSales[[#This Row],[Quantity]]</f>
        <v>38072</v>
      </c>
      <c r="S965" s="6">
        <f>RawSales[[#This Row],[Subtotal]]*$B$1</f>
        <v>1903.6000000000001</v>
      </c>
      <c r="T965" s="6" t="b">
        <f>ROUND(RawSales[[#This Row],[Subtotal]],2)=ROUND(RawSales[[#This Row],[cogs]],2)</f>
        <v>1</v>
      </c>
      <c r="U965" s="6" t="b">
        <f>ROUND(RawSales[[#This Row],[cogs]]*0.05,2)=ROUND(RawSales[[#This Row],[Tax 5%]],2)</f>
        <v>1</v>
      </c>
      <c r="V965" s="6" t="b">
        <f>ROUND(RawSales[[#This Row],[cogs]]+RawSales[[#This Row],[Tax 5%]],2)=ROUND(RawSales[[#This Row],[Sales]],2)</f>
        <v>1</v>
      </c>
    </row>
    <row r="966" spans="1:22" x14ac:dyDescent="0.35">
      <c r="A966" s="4" t="s">
        <v>1513</v>
      </c>
      <c r="B966" t="s">
        <v>38</v>
      </c>
      <c r="C966" t="s">
        <v>39</v>
      </c>
      <c r="D966" t="s">
        <v>22</v>
      </c>
      <c r="E966" t="s">
        <v>23</v>
      </c>
      <c r="F966" t="s">
        <v>49</v>
      </c>
      <c r="G966" s="6">
        <v>1018</v>
      </c>
      <c r="H966" s="7">
        <v>8</v>
      </c>
      <c r="I966" s="6">
        <v>407.2</v>
      </c>
      <c r="J966" s="6">
        <v>8551.2000000000007</v>
      </c>
      <c r="K966" s="5">
        <v>43553.958333333336</v>
      </c>
      <c r="L966" s="4" t="s">
        <v>645</v>
      </c>
      <c r="M966" t="s">
        <v>51</v>
      </c>
      <c r="N966" s="6">
        <v>8144</v>
      </c>
      <c r="O966">
        <v>4.7619047620000003</v>
      </c>
      <c r="P966" s="6">
        <v>407.2</v>
      </c>
      <c r="Q966">
        <v>9.5</v>
      </c>
      <c r="R966" s="6">
        <f>RawSales[[#This Row],[Unit price]]*RawSales[[#This Row],[Quantity]]</f>
        <v>8144</v>
      </c>
      <c r="S966" s="6">
        <f>RawSales[[#This Row],[Subtotal]]*$B$1</f>
        <v>407.20000000000005</v>
      </c>
      <c r="T966" s="6" t="b">
        <f>ROUND(RawSales[[#This Row],[Subtotal]],2)=ROUND(RawSales[[#This Row],[cogs]],2)</f>
        <v>1</v>
      </c>
      <c r="U966" s="6" t="b">
        <f>ROUND(RawSales[[#This Row],[cogs]]*0.05,2)=ROUND(RawSales[[#This Row],[Tax 5%]],2)</f>
        <v>1</v>
      </c>
      <c r="V966" s="6" t="b">
        <f>ROUND(RawSales[[#This Row],[cogs]]+RawSales[[#This Row],[Tax 5%]],2)=ROUND(RawSales[[#This Row],[Sales]],2)</f>
        <v>1</v>
      </c>
    </row>
    <row r="967" spans="1:22" x14ac:dyDescent="0.35">
      <c r="A967" s="4" t="s">
        <v>1514</v>
      </c>
      <c r="B967" t="s">
        <v>28</v>
      </c>
      <c r="C967" t="s">
        <v>29</v>
      </c>
      <c r="D967" t="s">
        <v>30</v>
      </c>
      <c r="E967" t="s">
        <v>23</v>
      </c>
      <c r="F967" t="s">
        <v>43</v>
      </c>
      <c r="G967" s="6">
        <v>9971</v>
      </c>
      <c r="H967" s="7">
        <v>6</v>
      </c>
      <c r="I967" s="6">
        <v>2991.3</v>
      </c>
      <c r="J967" s="6">
        <v>62817.3</v>
      </c>
      <c r="K967" s="5">
        <v>43521.958333333336</v>
      </c>
      <c r="L967" s="4" t="s">
        <v>1440</v>
      </c>
      <c r="M967" t="s">
        <v>34</v>
      </c>
      <c r="N967" s="6">
        <v>59826</v>
      </c>
      <c r="O967">
        <v>4.7619047620000003</v>
      </c>
      <c r="P967" s="6">
        <v>2991.3</v>
      </c>
      <c r="Q967">
        <v>7.9</v>
      </c>
      <c r="R967" s="6">
        <f>RawSales[[#This Row],[Unit price]]*RawSales[[#This Row],[Quantity]]</f>
        <v>59826</v>
      </c>
      <c r="S967" s="6">
        <f>RawSales[[#This Row],[Subtotal]]*$B$1</f>
        <v>2991.3</v>
      </c>
      <c r="T967" s="6" t="b">
        <f>ROUND(RawSales[[#This Row],[Subtotal]],2)=ROUND(RawSales[[#This Row],[cogs]],2)</f>
        <v>1</v>
      </c>
      <c r="U967" s="6" t="b">
        <f>ROUND(RawSales[[#This Row],[cogs]]*0.05,2)=ROUND(RawSales[[#This Row],[Tax 5%]],2)</f>
        <v>1</v>
      </c>
      <c r="V967" s="6" t="b">
        <f>ROUND(RawSales[[#This Row],[cogs]]+RawSales[[#This Row],[Tax 5%]],2)=ROUND(RawSales[[#This Row],[Sales]],2)</f>
        <v>1</v>
      </c>
    </row>
    <row r="968" spans="1:22" x14ac:dyDescent="0.35">
      <c r="A968" s="4" t="s">
        <v>1515</v>
      </c>
      <c r="B968" t="s">
        <v>38</v>
      </c>
      <c r="C968" t="s">
        <v>39</v>
      </c>
      <c r="D968" t="s">
        <v>30</v>
      </c>
      <c r="E968" t="s">
        <v>31</v>
      </c>
      <c r="F968" t="s">
        <v>43</v>
      </c>
      <c r="G968" s="6">
        <v>6614</v>
      </c>
      <c r="H968" s="7">
        <v>4</v>
      </c>
      <c r="I968" s="6">
        <v>1322.8</v>
      </c>
      <c r="J968" s="6">
        <v>27778.799999999999</v>
      </c>
      <c r="K968" s="5">
        <v>43542.958333333336</v>
      </c>
      <c r="L968" s="4" t="s">
        <v>884</v>
      </c>
      <c r="M968" t="s">
        <v>51</v>
      </c>
      <c r="N968" s="6">
        <v>26456</v>
      </c>
      <c r="O968">
        <v>4.7619047620000003</v>
      </c>
      <c r="P968" s="6">
        <v>1322.8</v>
      </c>
      <c r="Q968">
        <v>5.6</v>
      </c>
      <c r="R968" s="6">
        <f>RawSales[[#This Row],[Unit price]]*RawSales[[#This Row],[Quantity]]</f>
        <v>26456</v>
      </c>
      <c r="S968" s="6">
        <f>RawSales[[#This Row],[Subtotal]]*$B$1</f>
        <v>1322.8000000000002</v>
      </c>
      <c r="T968" s="6" t="b">
        <f>ROUND(RawSales[[#This Row],[Subtotal]],2)=ROUND(RawSales[[#This Row],[cogs]],2)</f>
        <v>1</v>
      </c>
      <c r="U968" s="6" t="b">
        <f>ROUND(RawSales[[#This Row],[cogs]]*0.05,2)=ROUND(RawSales[[#This Row],[Tax 5%]],2)</f>
        <v>1</v>
      </c>
      <c r="V968" s="6" t="b">
        <f>ROUND(RawSales[[#This Row],[cogs]]+RawSales[[#This Row],[Tax 5%]],2)=ROUND(RawSales[[#This Row],[Sales]],2)</f>
        <v>1</v>
      </c>
    </row>
    <row r="969" spans="1:22" x14ac:dyDescent="0.35">
      <c r="A969" s="4" t="s">
        <v>1516</v>
      </c>
      <c r="B969" t="s">
        <v>20</v>
      </c>
      <c r="C969" t="s">
        <v>21</v>
      </c>
      <c r="D969" t="s">
        <v>22</v>
      </c>
      <c r="E969" t="s">
        <v>23</v>
      </c>
      <c r="F969" t="s">
        <v>40</v>
      </c>
      <c r="G969" s="6">
        <v>8867</v>
      </c>
      <c r="H969" s="7">
        <v>10</v>
      </c>
      <c r="I969" s="6">
        <v>4433.5</v>
      </c>
      <c r="J969" s="6">
        <v>93103.5</v>
      </c>
      <c r="K969" s="5">
        <v>43476.958333333336</v>
      </c>
      <c r="L969" s="4" t="s">
        <v>1517</v>
      </c>
      <c r="M969" t="s">
        <v>34</v>
      </c>
      <c r="N969" s="6">
        <v>88670</v>
      </c>
      <c r="O969">
        <v>4.7619047620000003</v>
      </c>
      <c r="P969" s="6">
        <v>4433.5</v>
      </c>
      <c r="Q969">
        <v>7.3</v>
      </c>
      <c r="R969" s="6">
        <f>RawSales[[#This Row],[Unit price]]*RawSales[[#This Row],[Quantity]]</f>
        <v>88670</v>
      </c>
      <c r="S969" s="6">
        <f>RawSales[[#This Row],[Subtotal]]*$B$1</f>
        <v>4433.5</v>
      </c>
      <c r="T969" s="6" t="b">
        <f>ROUND(RawSales[[#This Row],[Subtotal]],2)=ROUND(RawSales[[#This Row],[cogs]],2)</f>
        <v>1</v>
      </c>
      <c r="U969" s="6" t="b">
        <f>ROUND(RawSales[[#This Row],[cogs]]*0.05,2)=ROUND(RawSales[[#This Row],[Tax 5%]],2)</f>
        <v>1</v>
      </c>
      <c r="V969" s="6" t="b">
        <f>ROUND(RawSales[[#This Row],[cogs]]+RawSales[[#This Row],[Tax 5%]],2)=ROUND(RawSales[[#This Row],[Sales]],2)</f>
        <v>1</v>
      </c>
    </row>
    <row r="970" spans="1:22" x14ac:dyDescent="0.35">
      <c r="A970" s="4" t="s">
        <v>1518</v>
      </c>
      <c r="B970" t="s">
        <v>28</v>
      </c>
      <c r="C970" t="s">
        <v>29</v>
      </c>
      <c r="D970" t="s">
        <v>30</v>
      </c>
      <c r="E970" t="s">
        <v>31</v>
      </c>
      <c r="F970" t="s">
        <v>43</v>
      </c>
      <c r="G970" s="6">
        <v>1811</v>
      </c>
      <c r="H970" s="7">
        <v>10</v>
      </c>
      <c r="I970" s="6">
        <v>905.5</v>
      </c>
      <c r="J970" s="6">
        <v>19015.5</v>
      </c>
      <c r="K970" s="5">
        <v>43536.958333333336</v>
      </c>
      <c r="L970" s="4" t="s">
        <v>420</v>
      </c>
      <c r="M970" t="s">
        <v>34</v>
      </c>
      <c r="N970" s="6">
        <v>18110</v>
      </c>
      <c r="O970">
        <v>4.7619047620000003</v>
      </c>
      <c r="P970" s="6">
        <v>905.5</v>
      </c>
      <c r="Q970">
        <v>5.9</v>
      </c>
      <c r="R970" s="6">
        <f>RawSales[[#This Row],[Unit price]]*RawSales[[#This Row],[Quantity]]</f>
        <v>18110</v>
      </c>
      <c r="S970" s="6">
        <f>RawSales[[#This Row],[Subtotal]]*$B$1</f>
        <v>905.5</v>
      </c>
      <c r="T970" s="6" t="b">
        <f>ROUND(RawSales[[#This Row],[Subtotal]],2)=ROUND(RawSales[[#This Row],[cogs]],2)</f>
        <v>1</v>
      </c>
      <c r="U970" s="6" t="b">
        <f>ROUND(RawSales[[#This Row],[cogs]]*0.05,2)=ROUND(RawSales[[#This Row],[Tax 5%]],2)</f>
        <v>1</v>
      </c>
      <c r="V970" s="6" t="b">
        <f>ROUND(RawSales[[#This Row],[cogs]]+RawSales[[#This Row],[Tax 5%]],2)=ROUND(RawSales[[#This Row],[Sales]],2)</f>
        <v>1</v>
      </c>
    </row>
    <row r="971" spans="1:22" x14ac:dyDescent="0.35">
      <c r="A971" s="4" t="s">
        <v>1519</v>
      </c>
      <c r="B971" t="s">
        <v>20</v>
      </c>
      <c r="C971" t="s">
        <v>21</v>
      </c>
      <c r="D971" t="s">
        <v>30</v>
      </c>
      <c r="E971" t="s">
        <v>31</v>
      </c>
      <c r="F971" t="s">
        <v>32</v>
      </c>
      <c r="G971" s="6">
        <v>2152</v>
      </c>
      <c r="H971" s="7">
        <v>6</v>
      </c>
      <c r="I971" s="6">
        <v>645.6</v>
      </c>
      <c r="J971" s="6">
        <v>13557.6</v>
      </c>
      <c r="K971" s="5">
        <v>43481.958333333336</v>
      </c>
      <c r="L971" s="4" t="s">
        <v>1520</v>
      </c>
      <c r="M971" t="s">
        <v>51</v>
      </c>
      <c r="N971" s="6">
        <v>12912</v>
      </c>
      <c r="O971">
        <v>4.7619047620000003</v>
      </c>
      <c r="P971" s="6">
        <v>645.6</v>
      </c>
      <c r="Q971">
        <v>9.4</v>
      </c>
      <c r="R971" s="6">
        <f>RawSales[[#This Row],[Unit price]]*RawSales[[#This Row],[Quantity]]</f>
        <v>12912</v>
      </c>
      <c r="S971" s="6">
        <f>RawSales[[#This Row],[Subtotal]]*$B$1</f>
        <v>645.6</v>
      </c>
      <c r="T971" s="6" t="b">
        <f>ROUND(RawSales[[#This Row],[Subtotal]],2)=ROUND(RawSales[[#This Row],[cogs]],2)</f>
        <v>1</v>
      </c>
      <c r="U971" s="6" t="b">
        <f>ROUND(RawSales[[#This Row],[cogs]]*0.05,2)=ROUND(RawSales[[#This Row],[Tax 5%]],2)</f>
        <v>1</v>
      </c>
      <c r="V971" s="6" t="b">
        <f>ROUND(RawSales[[#This Row],[cogs]]+RawSales[[#This Row],[Tax 5%]],2)=ROUND(RawSales[[#This Row],[Sales]],2)</f>
        <v>1</v>
      </c>
    </row>
    <row r="972" spans="1:22" x14ac:dyDescent="0.35">
      <c r="A972" s="4" t="s">
        <v>1521</v>
      </c>
      <c r="B972" t="s">
        <v>28</v>
      </c>
      <c r="C972" t="s">
        <v>29</v>
      </c>
      <c r="D972" t="s">
        <v>22</v>
      </c>
      <c r="E972" t="s">
        <v>23</v>
      </c>
      <c r="F972" t="s">
        <v>62</v>
      </c>
      <c r="G972" s="6">
        <v>9554</v>
      </c>
      <c r="H972" s="7">
        <v>4</v>
      </c>
      <c r="I972" s="6">
        <v>1910.8</v>
      </c>
      <c r="J972" s="6">
        <v>40126.800000000003</v>
      </c>
      <c r="K972" s="5">
        <v>43521.958333333336</v>
      </c>
      <c r="L972" s="4" t="s">
        <v>1486</v>
      </c>
      <c r="M972" t="s">
        <v>34</v>
      </c>
      <c r="N972" s="6">
        <v>38216</v>
      </c>
      <c r="O972">
        <v>4.7619047620000003</v>
      </c>
      <c r="P972" s="6">
        <v>1910.8</v>
      </c>
      <c r="Q972">
        <v>4.5</v>
      </c>
      <c r="R972" s="6">
        <f>RawSales[[#This Row],[Unit price]]*RawSales[[#This Row],[Quantity]]</f>
        <v>38216</v>
      </c>
      <c r="S972" s="6">
        <f>RawSales[[#This Row],[Subtotal]]*$B$1</f>
        <v>1910.8000000000002</v>
      </c>
      <c r="T972" s="6" t="b">
        <f>ROUND(RawSales[[#This Row],[Subtotal]],2)=ROUND(RawSales[[#This Row],[cogs]],2)</f>
        <v>1</v>
      </c>
      <c r="U972" s="6" t="b">
        <f>ROUND(RawSales[[#This Row],[cogs]]*0.05,2)=ROUND(RawSales[[#This Row],[Tax 5%]],2)</f>
        <v>1</v>
      </c>
      <c r="V972" s="6" t="b">
        <f>ROUND(RawSales[[#This Row],[cogs]]+RawSales[[#This Row],[Tax 5%]],2)=ROUND(RawSales[[#This Row],[Sales]],2)</f>
        <v>1</v>
      </c>
    </row>
    <row r="973" spans="1:22" x14ac:dyDescent="0.35">
      <c r="A973" s="4" t="s">
        <v>1522</v>
      </c>
      <c r="B973" t="s">
        <v>38</v>
      </c>
      <c r="C973" t="s">
        <v>39</v>
      </c>
      <c r="D973" t="s">
        <v>22</v>
      </c>
      <c r="E973" t="s">
        <v>31</v>
      </c>
      <c r="F973" t="s">
        <v>32</v>
      </c>
      <c r="G973" s="6">
        <v>8669</v>
      </c>
      <c r="H973" s="7">
        <v>5</v>
      </c>
      <c r="I973" s="6">
        <v>2167.25</v>
      </c>
      <c r="J973" s="6">
        <v>45512.25</v>
      </c>
      <c r="K973" s="5">
        <v>43506.958333333336</v>
      </c>
      <c r="L973" s="4" t="s">
        <v>1523</v>
      </c>
      <c r="M973" t="s">
        <v>34</v>
      </c>
      <c r="N973" s="6">
        <v>43345</v>
      </c>
      <c r="O973">
        <v>4.7619047620000003</v>
      </c>
      <c r="P973" s="6">
        <v>2167.25</v>
      </c>
      <c r="Q973">
        <v>9.4</v>
      </c>
      <c r="R973" s="6">
        <f>RawSales[[#This Row],[Unit price]]*RawSales[[#This Row],[Quantity]]</f>
        <v>43345</v>
      </c>
      <c r="S973" s="6">
        <f>RawSales[[#This Row],[Subtotal]]*$B$1</f>
        <v>2167.25</v>
      </c>
      <c r="T973" s="6" t="b">
        <f>ROUND(RawSales[[#This Row],[Subtotal]],2)=ROUND(RawSales[[#This Row],[cogs]],2)</f>
        <v>1</v>
      </c>
      <c r="U973" s="6" t="b">
        <f>ROUND(RawSales[[#This Row],[cogs]]*0.05,2)=ROUND(RawSales[[#This Row],[Tax 5%]],2)</f>
        <v>1</v>
      </c>
      <c r="V973" s="6" t="b">
        <f>ROUND(RawSales[[#This Row],[cogs]]+RawSales[[#This Row],[Tax 5%]],2)=ROUND(RawSales[[#This Row],[Sales]],2)</f>
        <v>1</v>
      </c>
    </row>
    <row r="974" spans="1:22" x14ac:dyDescent="0.35">
      <c r="A974" s="4" t="s">
        <v>1524</v>
      </c>
      <c r="B974" t="s">
        <v>38</v>
      </c>
      <c r="C974" t="s">
        <v>39</v>
      </c>
      <c r="D974" t="s">
        <v>22</v>
      </c>
      <c r="E974" t="s">
        <v>23</v>
      </c>
      <c r="F974" t="s">
        <v>24</v>
      </c>
      <c r="G974" s="6">
        <v>8748</v>
      </c>
      <c r="H974" s="7">
        <v>6</v>
      </c>
      <c r="I974" s="6">
        <v>2624.4</v>
      </c>
      <c r="J974" s="6">
        <v>55112.4</v>
      </c>
      <c r="K974" s="5">
        <v>43496.958333333336</v>
      </c>
      <c r="L974" s="4" t="s">
        <v>1035</v>
      </c>
      <c r="M974" t="s">
        <v>34</v>
      </c>
      <c r="N974" s="6">
        <v>52488</v>
      </c>
      <c r="O974">
        <v>4.7619047620000003</v>
      </c>
      <c r="P974" s="6">
        <v>2624.4</v>
      </c>
      <c r="Q974">
        <v>5.0999999999999996</v>
      </c>
      <c r="R974" s="6">
        <f>RawSales[[#This Row],[Unit price]]*RawSales[[#This Row],[Quantity]]</f>
        <v>52488</v>
      </c>
      <c r="S974" s="6">
        <f>RawSales[[#This Row],[Subtotal]]*$B$1</f>
        <v>2624.4</v>
      </c>
      <c r="T974" s="6" t="b">
        <f>ROUND(RawSales[[#This Row],[Subtotal]],2)=ROUND(RawSales[[#This Row],[cogs]],2)</f>
        <v>1</v>
      </c>
      <c r="U974" s="6" t="b">
        <f>ROUND(RawSales[[#This Row],[cogs]]*0.05,2)=ROUND(RawSales[[#This Row],[Tax 5%]],2)</f>
        <v>1</v>
      </c>
      <c r="V974" s="6" t="b">
        <f>ROUND(RawSales[[#This Row],[cogs]]+RawSales[[#This Row],[Tax 5%]],2)=ROUND(RawSales[[#This Row],[Sales]],2)</f>
        <v>1</v>
      </c>
    </row>
    <row r="975" spans="1:22" x14ac:dyDescent="0.35">
      <c r="A975" s="4" t="s">
        <v>1525</v>
      </c>
      <c r="B975" t="s">
        <v>38</v>
      </c>
      <c r="C975" t="s">
        <v>39</v>
      </c>
      <c r="D975" t="s">
        <v>22</v>
      </c>
      <c r="E975" t="s">
        <v>31</v>
      </c>
      <c r="F975" t="s">
        <v>24</v>
      </c>
      <c r="G975" s="6">
        <v>5504</v>
      </c>
      <c r="H975" s="7">
        <v>7</v>
      </c>
      <c r="I975" s="6">
        <v>1926.4</v>
      </c>
      <c r="J975" s="6">
        <v>40454.400000000001</v>
      </c>
      <c r="K975" s="4" t="s">
        <v>1526</v>
      </c>
      <c r="L975" s="4" t="s">
        <v>1093</v>
      </c>
      <c r="M975" t="s">
        <v>34</v>
      </c>
      <c r="N975" s="6">
        <v>38528</v>
      </c>
      <c r="O975">
        <v>4.7619047620000003</v>
      </c>
      <c r="P975" s="6">
        <v>1926.4</v>
      </c>
      <c r="Q975">
        <v>5.2</v>
      </c>
      <c r="R975" s="6">
        <f>RawSales[[#This Row],[Unit price]]*RawSales[[#This Row],[Quantity]]</f>
        <v>38528</v>
      </c>
      <c r="S975" s="6">
        <f>RawSales[[#This Row],[Subtotal]]*$B$1</f>
        <v>1926.4</v>
      </c>
      <c r="T975" s="6" t="b">
        <f>ROUND(RawSales[[#This Row],[Subtotal]],2)=ROUND(RawSales[[#This Row],[cogs]],2)</f>
        <v>1</v>
      </c>
      <c r="U975" s="6" t="b">
        <f>ROUND(RawSales[[#This Row],[cogs]]*0.05,2)=ROUND(RawSales[[#This Row],[Tax 5%]],2)</f>
        <v>1</v>
      </c>
      <c r="V975" s="6" t="b">
        <f>ROUND(RawSales[[#This Row],[cogs]]+RawSales[[#This Row],[Tax 5%]],2)=ROUND(RawSales[[#This Row],[Sales]],2)</f>
        <v>1</v>
      </c>
    </row>
    <row r="976" spans="1:22" x14ac:dyDescent="0.35">
      <c r="A976" s="4" t="s">
        <v>1527</v>
      </c>
      <c r="B976" t="s">
        <v>20</v>
      </c>
      <c r="C976" t="s">
        <v>21</v>
      </c>
      <c r="D976" t="s">
        <v>22</v>
      </c>
      <c r="E976" t="s">
        <v>31</v>
      </c>
      <c r="F976" t="s">
        <v>62</v>
      </c>
      <c r="G976" s="6">
        <v>8906</v>
      </c>
      <c r="H976" s="7">
        <v>6</v>
      </c>
      <c r="I976" s="6">
        <v>2671.8</v>
      </c>
      <c r="J976" s="6">
        <v>56107.8</v>
      </c>
      <c r="K976" s="5">
        <v>43482.958333333336</v>
      </c>
      <c r="L976" s="4" t="s">
        <v>1047</v>
      </c>
      <c r="M976" t="s">
        <v>26</v>
      </c>
      <c r="N976" s="6">
        <v>53436</v>
      </c>
      <c r="O976">
        <v>4.7619047620000003</v>
      </c>
      <c r="P976" s="6">
        <v>2671.8</v>
      </c>
      <c r="Q976">
        <v>9.9</v>
      </c>
      <c r="R976" s="6">
        <f>RawSales[[#This Row],[Unit price]]*RawSales[[#This Row],[Quantity]]</f>
        <v>53436</v>
      </c>
      <c r="S976" s="6">
        <f>RawSales[[#This Row],[Subtotal]]*$B$1</f>
        <v>2671.8</v>
      </c>
      <c r="T976" s="6" t="b">
        <f>ROUND(RawSales[[#This Row],[Subtotal]],2)=ROUND(RawSales[[#This Row],[cogs]],2)</f>
        <v>1</v>
      </c>
      <c r="U976" s="6" t="b">
        <f>ROUND(RawSales[[#This Row],[cogs]]*0.05,2)=ROUND(RawSales[[#This Row],[Tax 5%]],2)</f>
        <v>1</v>
      </c>
      <c r="V976" s="6" t="b">
        <f>ROUND(RawSales[[#This Row],[cogs]]+RawSales[[#This Row],[Tax 5%]],2)=ROUND(RawSales[[#This Row],[Sales]],2)</f>
        <v>1</v>
      </c>
    </row>
    <row r="977" spans="1:22" x14ac:dyDescent="0.35">
      <c r="A977" s="4" t="s">
        <v>1528</v>
      </c>
      <c r="B977" t="s">
        <v>28</v>
      </c>
      <c r="C977" t="s">
        <v>29</v>
      </c>
      <c r="D977" t="s">
        <v>22</v>
      </c>
      <c r="E977" t="s">
        <v>23</v>
      </c>
      <c r="F977" t="s">
        <v>62</v>
      </c>
      <c r="G977" s="6">
        <v>6408</v>
      </c>
      <c r="H977" s="7">
        <v>7</v>
      </c>
      <c r="I977" s="6">
        <v>2242.8000000000002</v>
      </c>
      <c r="J977" s="6">
        <v>47098.8</v>
      </c>
      <c r="K977" s="5">
        <v>43514.958333333336</v>
      </c>
      <c r="L977" s="4" t="s">
        <v>1529</v>
      </c>
      <c r="M977" t="s">
        <v>51</v>
      </c>
      <c r="N977" s="6">
        <v>44856</v>
      </c>
      <c r="O977">
        <v>4.7619047620000003</v>
      </c>
      <c r="P977" s="6">
        <v>2242.8000000000002</v>
      </c>
      <c r="Q977">
        <v>7.3</v>
      </c>
      <c r="R977" s="6">
        <f>RawSales[[#This Row],[Unit price]]*RawSales[[#This Row],[Quantity]]</f>
        <v>44856</v>
      </c>
      <c r="S977" s="6">
        <f>RawSales[[#This Row],[Subtotal]]*$B$1</f>
        <v>2242.8000000000002</v>
      </c>
      <c r="T977" s="6" t="b">
        <f>ROUND(RawSales[[#This Row],[Subtotal]],2)=ROUND(RawSales[[#This Row],[cogs]],2)</f>
        <v>1</v>
      </c>
      <c r="U977" s="6" t="b">
        <f>ROUND(RawSales[[#This Row],[cogs]]*0.05,2)=ROUND(RawSales[[#This Row],[Tax 5%]],2)</f>
        <v>1</v>
      </c>
      <c r="V977" s="6" t="b">
        <f>ROUND(RawSales[[#This Row],[cogs]]+RawSales[[#This Row],[Tax 5%]],2)=ROUND(RawSales[[#This Row],[Sales]],2)</f>
        <v>1</v>
      </c>
    </row>
    <row r="978" spans="1:22" x14ac:dyDescent="0.35">
      <c r="A978" s="4" t="s">
        <v>1530</v>
      </c>
      <c r="B978" t="s">
        <v>28</v>
      </c>
      <c r="C978" t="s">
        <v>29</v>
      </c>
      <c r="D978" t="s">
        <v>22</v>
      </c>
      <c r="E978" t="s">
        <v>23</v>
      </c>
      <c r="F978" t="s">
        <v>62</v>
      </c>
      <c r="G978" s="6">
        <v>1649</v>
      </c>
      <c r="H978" s="7">
        <v>2</v>
      </c>
      <c r="I978" s="6">
        <v>164.9</v>
      </c>
      <c r="J978" s="6">
        <v>3462.9</v>
      </c>
      <c r="K978" s="5">
        <v>43500.958333333336</v>
      </c>
      <c r="L978" s="4" t="s">
        <v>50</v>
      </c>
      <c r="M978" t="s">
        <v>34</v>
      </c>
      <c r="N978" s="6">
        <v>3298</v>
      </c>
      <c r="O978">
        <v>4.7619047620000003</v>
      </c>
      <c r="P978" s="6">
        <v>164.9</v>
      </c>
      <c r="Q978">
        <v>4.5999999999999996</v>
      </c>
      <c r="R978" s="6">
        <f>RawSales[[#This Row],[Unit price]]*RawSales[[#This Row],[Quantity]]</f>
        <v>3298</v>
      </c>
      <c r="S978" s="6">
        <f>RawSales[[#This Row],[Subtotal]]*$B$1</f>
        <v>164.9</v>
      </c>
      <c r="T978" s="6" t="b">
        <f>ROUND(RawSales[[#This Row],[Subtotal]],2)=ROUND(RawSales[[#This Row],[cogs]],2)</f>
        <v>1</v>
      </c>
      <c r="U978" s="6" t="b">
        <f>ROUND(RawSales[[#This Row],[cogs]]*0.05,2)=ROUND(RawSales[[#This Row],[Tax 5%]],2)</f>
        <v>1</v>
      </c>
      <c r="V978" s="6" t="b">
        <f>ROUND(RawSales[[#This Row],[cogs]]+RawSales[[#This Row],[Tax 5%]],2)=ROUND(RawSales[[#This Row],[Sales]],2)</f>
        <v>1</v>
      </c>
    </row>
    <row r="979" spans="1:22" x14ac:dyDescent="0.35">
      <c r="A979" s="4" t="s">
        <v>1531</v>
      </c>
      <c r="B979" t="s">
        <v>38</v>
      </c>
      <c r="C979" t="s">
        <v>39</v>
      </c>
      <c r="D979" t="s">
        <v>22</v>
      </c>
      <c r="E979" t="s">
        <v>23</v>
      </c>
      <c r="F979" t="s">
        <v>140</v>
      </c>
      <c r="G979" s="6">
        <v>4484</v>
      </c>
      <c r="H979" s="7">
        <v>9</v>
      </c>
      <c r="I979" s="6">
        <v>2017.8</v>
      </c>
      <c r="J979" s="6">
        <v>42373.8</v>
      </c>
      <c r="K979" s="5">
        <v>43478.958333333336</v>
      </c>
      <c r="L979" s="4" t="s">
        <v>1043</v>
      </c>
      <c r="M979" t="s">
        <v>51</v>
      </c>
      <c r="N979" s="6">
        <v>40356</v>
      </c>
      <c r="O979">
        <v>4.7619047620000003</v>
      </c>
      <c r="P979" s="6">
        <v>2017.8</v>
      </c>
      <c r="Q979">
        <v>7.5</v>
      </c>
      <c r="R979" s="6">
        <f>RawSales[[#This Row],[Unit price]]*RawSales[[#This Row],[Quantity]]</f>
        <v>40356</v>
      </c>
      <c r="S979" s="6">
        <f>RawSales[[#This Row],[Subtotal]]*$B$1</f>
        <v>2017.8000000000002</v>
      </c>
      <c r="T979" s="6" t="b">
        <f>ROUND(RawSales[[#This Row],[Subtotal]],2)=ROUND(RawSales[[#This Row],[cogs]],2)</f>
        <v>1</v>
      </c>
      <c r="U979" s="6" t="b">
        <f>ROUND(RawSales[[#This Row],[cogs]]*0.05,2)=ROUND(RawSales[[#This Row],[Tax 5%]],2)</f>
        <v>1</v>
      </c>
      <c r="V979" s="6" t="b">
        <f>ROUND(RawSales[[#This Row],[cogs]]+RawSales[[#This Row],[Tax 5%]],2)=ROUND(RawSales[[#This Row],[Sales]],2)</f>
        <v>1</v>
      </c>
    </row>
    <row r="980" spans="1:22" x14ac:dyDescent="0.35">
      <c r="A980" s="4" t="s">
        <v>1532</v>
      </c>
      <c r="B980" t="s">
        <v>20</v>
      </c>
      <c r="C980" t="s">
        <v>21</v>
      </c>
      <c r="D980" t="s">
        <v>30</v>
      </c>
      <c r="E980" t="s">
        <v>23</v>
      </c>
      <c r="F980" t="s">
        <v>24</v>
      </c>
      <c r="G980" s="6">
        <v>7466</v>
      </c>
      <c r="H980" s="7">
        <v>4</v>
      </c>
      <c r="I980" s="6">
        <v>1493.2</v>
      </c>
      <c r="J980" s="6">
        <v>31357.200000000001</v>
      </c>
      <c r="K980" s="5">
        <v>43527.958333333336</v>
      </c>
      <c r="L980" s="4" t="s">
        <v>1208</v>
      </c>
      <c r="M980" t="s">
        <v>26</v>
      </c>
      <c r="N980" s="6">
        <v>29864</v>
      </c>
      <c r="O980">
        <v>4.7619047620000003</v>
      </c>
      <c r="P980" s="6">
        <v>1493.2</v>
      </c>
      <c r="Q980">
        <v>8.5</v>
      </c>
      <c r="R980" s="6">
        <f>RawSales[[#This Row],[Unit price]]*RawSales[[#This Row],[Quantity]]</f>
        <v>29864</v>
      </c>
      <c r="S980" s="6">
        <f>RawSales[[#This Row],[Subtotal]]*$B$1</f>
        <v>1493.2</v>
      </c>
      <c r="T980" s="6" t="b">
        <f>ROUND(RawSales[[#This Row],[Subtotal]],2)=ROUND(RawSales[[#This Row],[cogs]],2)</f>
        <v>1</v>
      </c>
      <c r="U980" s="6" t="b">
        <f>ROUND(RawSales[[#This Row],[cogs]]*0.05,2)=ROUND(RawSales[[#This Row],[Tax 5%]],2)</f>
        <v>1</v>
      </c>
      <c r="V980" s="6" t="b">
        <f>ROUND(RawSales[[#This Row],[cogs]]+RawSales[[#This Row],[Tax 5%]],2)=ROUND(RawSales[[#This Row],[Sales]],2)</f>
        <v>1</v>
      </c>
    </row>
    <row r="981" spans="1:22" x14ac:dyDescent="0.35">
      <c r="A981" s="4" t="s">
        <v>1533</v>
      </c>
      <c r="B981" t="s">
        <v>28</v>
      </c>
      <c r="C981" t="s">
        <v>29</v>
      </c>
      <c r="D981" t="s">
        <v>30</v>
      </c>
      <c r="E981" t="s">
        <v>23</v>
      </c>
      <c r="F981" t="s">
        <v>40</v>
      </c>
      <c r="G981" s="6">
        <v>9564</v>
      </c>
      <c r="H981" s="7">
        <v>4</v>
      </c>
      <c r="I981" s="6">
        <v>1912.8</v>
      </c>
      <c r="J981" s="6">
        <v>40168.800000000003</v>
      </c>
      <c r="K981" s="5">
        <v>43539.958333333336</v>
      </c>
      <c r="L981" s="4" t="s">
        <v>581</v>
      </c>
      <c r="M981" t="s">
        <v>26</v>
      </c>
      <c r="N981" s="6">
        <v>38256</v>
      </c>
      <c r="O981">
        <v>4.7619047620000003</v>
      </c>
      <c r="P981" s="6">
        <v>1912.8</v>
      </c>
      <c r="Q981">
        <v>7.9</v>
      </c>
      <c r="R981" s="6">
        <f>RawSales[[#This Row],[Unit price]]*RawSales[[#This Row],[Quantity]]</f>
        <v>38256</v>
      </c>
      <c r="S981" s="6">
        <f>RawSales[[#This Row],[Subtotal]]*$B$1</f>
        <v>1912.8000000000002</v>
      </c>
      <c r="T981" s="6" t="b">
        <f>ROUND(RawSales[[#This Row],[Subtotal]],2)=ROUND(RawSales[[#This Row],[cogs]],2)</f>
        <v>1</v>
      </c>
      <c r="U981" s="6" t="b">
        <f>ROUND(RawSales[[#This Row],[cogs]]*0.05,2)=ROUND(RawSales[[#This Row],[Tax 5%]],2)</f>
        <v>1</v>
      </c>
      <c r="V981" s="6" t="b">
        <f>ROUND(RawSales[[#This Row],[cogs]]+RawSales[[#This Row],[Tax 5%]],2)=ROUND(RawSales[[#This Row],[Sales]],2)</f>
        <v>1</v>
      </c>
    </row>
    <row r="982" spans="1:22" x14ac:dyDescent="0.35">
      <c r="A982" s="4" t="s">
        <v>1534</v>
      </c>
      <c r="B982" t="s">
        <v>28</v>
      </c>
      <c r="C982" t="s">
        <v>29</v>
      </c>
      <c r="D982" t="s">
        <v>22</v>
      </c>
      <c r="E982" t="s">
        <v>23</v>
      </c>
      <c r="F982" t="s">
        <v>43</v>
      </c>
      <c r="G982" s="6">
        <v>7211</v>
      </c>
      <c r="H982" s="7">
        <v>9</v>
      </c>
      <c r="I982" s="6">
        <v>3244.95</v>
      </c>
      <c r="J982" s="6">
        <v>68143.95</v>
      </c>
      <c r="K982" s="5">
        <v>43492.958333333336</v>
      </c>
      <c r="L982" s="4" t="s">
        <v>655</v>
      </c>
      <c r="M982" t="s">
        <v>51</v>
      </c>
      <c r="N982" s="6">
        <v>64899</v>
      </c>
      <c r="O982">
        <v>4.7619047620000003</v>
      </c>
      <c r="P982" s="6">
        <v>3244.95</v>
      </c>
      <c r="Q982">
        <v>7.7</v>
      </c>
      <c r="R982" s="6">
        <f>RawSales[[#This Row],[Unit price]]*RawSales[[#This Row],[Quantity]]</f>
        <v>64899</v>
      </c>
      <c r="S982" s="6">
        <f>RawSales[[#This Row],[Subtotal]]*$B$1</f>
        <v>3244.9500000000003</v>
      </c>
      <c r="T982" s="6" t="b">
        <f>ROUND(RawSales[[#This Row],[Subtotal]],2)=ROUND(RawSales[[#This Row],[cogs]],2)</f>
        <v>1</v>
      </c>
      <c r="U982" s="6" t="b">
        <f>ROUND(RawSales[[#This Row],[cogs]]*0.05,2)=ROUND(RawSales[[#This Row],[Tax 5%]],2)</f>
        <v>1</v>
      </c>
      <c r="V982" s="6" t="b">
        <f>ROUND(RawSales[[#This Row],[cogs]]+RawSales[[#This Row],[Tax 5%]],2)=ROUND(RawSales[[#This Row],[Sales]],2)</f>
        <v>1</v>
      </c>
    </row>
    <row r="983" spans="1:22" x14ac:dyDescent="0.35">
      <c r="A983" s="4" t="s">
        <v>1535</v>
      </c>
      <c r="B983" t="s">
        <v>38</v>
      </c>
      <c r="C983" t="s">
        <v>39</v>
      </c>
      <c r="D983" t="s">
        <v>22</v>
      </c>
      <c r="E983" t="s">
        <v>23</v>
      </c>
      <c r="F983" t="s">
        <v>40</v>
      </c>
      <c r="G983" s="6">
        <v>8539</v>
      </c>
      <c r="H983" s="7">
        <v>7</v>
      </c>
      <c r="I983" s="6">
        <v>2988.65</v>
      </c>
      <c r="J983" s="6">
        <v>62761.65</v>
      </c>
      <c r="K983" s="5">
        <v>43548.958333333336</v>
      </c>
      <c r="L983" s="4" t="s">
        <v>669</v>
      </c>
      <c r="M983" t="s">
        <v>34</v>
      </c>
      <c r="N983" s="6">
        <v>59773</v>
      </c>
      <c r="O983">
        <v>4.7619047620000003</v>
      </c>
      <c r="P983" s="6">
        <v>2988.65</v>
      </c>
      <c r="Q983">
        <v>4.0999999999999996</v>
      </c>
      <c r="R983" s="6">
        <f>RawSales[[#This Row],[Unit price]]*RawSales[[#This Row],[Quantity]]</f>
        <v>59773</v>
      </c>
      <c r="S983" s="6">
        <f>RawSales[[#This Row],[Subtotal]]*$B$1</f>
        <v>2988.65</v>
      </c>
      <c r="T983" s="6" t="b">
        <f>ROUND(RawSales[[#This Row],[Subtotal]],2)=ROUND(RawSales[[#This Row],[cogs]],2)</f>
        <v>1</v>
      </c>
      <c r="U983" s="6" t="b">
        <f>ROUND(RawSales[[#This Row],[cogs]]*0.05,2)=ROUND(RawSales[[#This Row],[Tax 5%]],2)</f>
        <v>1</v>
      </c>
      <c r="V983" s="6" t="b">
        <f>ROUND(RawSales[[#This Row],[cogs]]+RawSales[[#This Row],[Tax 5%]],2)=ROUND(RawSales[[#This Row],[Sales]],2)</f>
        <v>1</v>
      </c>
    </row>
    <row r="984" spans="1:22" x14ac:dyDescent="0.35">
      <c r="A984" s="4" t="s">
        <v>1536</v>
      </c>
      <c r="B984" t="s">
        <v>38</v>
      </c>
      <c r="C984" t="s">
        <v>39</v>
      </c>
      <c r="D984" t="s">
        <v>30</v>
      </c>
      <c r="E984" t="s">
        <v>31</v>
      </c>
      <c r="F984" t="s">
        <v>49</v>
      </c>
      <c r="G984" s="6">
        <v>8613</v>
      </c>
      <c r="H984" s="7">
        <v>2</v>
      </c>
      <c r="I984" s="6">
        <v>861.3</v>
      </c>
      <c r="J984" s="6">
        <v>18087.3</v>
      </c>
      <c r="K984" s="5">
        <v>43502.958333333336</v>
      </c>
      <c r="L984" s="4" t="s">
        <v>523</v>
      </c>
      <c r="M984" t="s">
        <v>26</v>
      </c>
      <c r="N984" s="6">
        <v>17226</v>
      </c>
      <c r="O984">
        <v>4.7619047620000003</v>
      </c>
      <c r="P984" s="6">
        <v>861.3</v>
      </c>
      <c r="Q984">
        <v>8.1999999999999993</v>
      </c>
      <c r="R984" s="6">
        <f>RawSales[[#This Row],[Unit price]]*RawSales[[#This Row],[Quantity]]</f>
        <v>17226</v>
      </c>
      <c r="S984" s="6">
        <f>RawSales[[#This Row],[Subtotal]]*$B$1</f>
        <v>861.30000000000007</v>
      </c>
      <c r="T984" s="6" t="b">
        <f>ROUND(RawSales[[#This Row],[Subtotal]],2)=ROUND(RawSales[[#This Row],[cogs]],2)</f>
        <v>1</v>
      </c>
      <c r="U984" s="6" t="b">
        <f>ROUND(RawSales[[#This Row],[cogs]]*0.05,2)=ROUND(RawSales[[#This Row],[Tax 5%]],2)</f>
        <v>1</v>
      </c>
      <c r="V984" s="6" t="b">
        <f>ROUND(RawSales[[#This Row],[cogs]]+RawSales[[#This Row],[Tax 5%]],2)=ROUND(RawSales[[#This Row],[Sales]],2)</f>
        <v>1</v>
      </c>
    </row>
    <row r="985" spans="1:22" x14ac:dyDescent="0.35">
      <c r="A985" s="4" t="s">
        <v>1537</v>
      </c>
      <c r="B985" t="s">
        <v>20</v>
      </c>
      <c r="C985" t="s">
        <v>21</v>
      </c>
      <c r="D985" t="s">
        <v>30</v>
      </c>
      <c r="E985" t="s">
        <v>23</v>
      </c>
      <c r="F985" t="s">
        <v>32</v>
      </c>
      <c r="G985" s="6">
        <v>7795</v>
      </c>
      <c r="H985" s="7">
        <v>6</v>
      </c>
      <c r="I985" s="6">
        <v>2338.5</v>
      </c>
      <c r="J985" s="6">
        <v>49108.5</v>
      </c>
      <c r="K985" s="5">
        <v>43485.958333333336</v>
      </c>
      <c r="L985" s="4" t="s">
        <v>1538</v>
      </c>
      <c r="M985" t="s">
        <v>34</v>
      </c>
      <c r="N985" s="6">
        <v>46770</v>
      </c>
      <c r="O985">
        <v>4.7619047620000003</v>
      </c>
      <c r="P985" s="6">
        <v>2338.5</v>
      </c>
      <c r="Q985">
        <v>8</v>
      </c>
      <c r="R985" s="6">
        <f>RawSales[[#This Row],[Unit price]]*RawSales[[#This Row],[Quantity]]</f>
        <v>46770</v>
      </c>
      <c r="S985" s="6">
        <f>RawSales[[#This Row],[Subtotal]]*$B$1</f>
        <v>2338.5</v>
      </c>
      <c r="T985" s="6" t="b">
        <f>ROUND(RawSales[[#This Row],[Subtotal]],2)=ROUND(RawSales[[#This Row],[cogs]],2)</f>
        <v>1</v>
      </c>
      <c r="U985" s="6" t="b">
        <f>ROUND(RawSales[[#This Row],[cogs]]*0.05,2)=ROUND(RawSales[[#This Row],[Tax 5%]],2)</f>
        <v>1</v>
      </c>
      <c r="V985" s="6" t="b">
        <f>ROUND(RawSales[[#This Row],[cogs]]+RawSales[[#This Row],[Tax 5%]],2)=ROUND(RawSales[[#This Row],[Sales]],2)</f>
        <v>1</v>
      </c>
    </row>
    <row r="986" spans="1:22" x14ac:dyDescent="0.35">
      <c r="A986" s="4" t="s">
        <v>1539</v>
      </c>
      <c r="B986" t="s">
        <v>20</v>
      </c>
      <c r="C986" t="s">
        <v>21</v>
      </c>
      <c r="D986" t="s">
        <v>22</v>
      </c>
      <c r="E986" t="s">
        <v>23</v>
      </c>
      <c r="F986" t="s">
        <v>24</v>
      </c>
      <c r="G986" s="6">
        <v>5826</v>
      </c>
      <c r="H986" s="7">
        <v>6</v>
      </c>
      <c r="I986" s="6">
        <v>1747.8</v>
      </c>
      <c r="J986" s="6">
        <v>36703.800000000003</v>
      </c>
      <c r="K986" s="5">
        <v>43551.958333333336</v>
      </c>
      <c r="L986" s="4" t="s">
        <v>1540</v>
      </c>
      <c r="M986" t="s">
        <v>26</v>
      </c>
      <c r="N986" s="6">
        <v>34956</v>
      </c>
      <c r="O986">
        <v>4.7619047620000003</v>
      </c>
      <c r="P986" s="6">
        <v>1747.8</v>
      </c>
      <c r="Q986">
        <v>9.9</v>
      </c>
      <c r="R986" s="6">
        <f>RawSales[[#This Row],[Unit price]]*RawSales[[#This Row],[Quantity]]</f>
        <v>34956</v>
      </c>
      <c r="S986" s="6">
        <f>RawSales[[#This Row],[Subtotal]]*$B$1</f>
        <v>1747.8000000000002</v>
      </c>
      <c r="T986" s="6" t="b">
        <f>ROUND(RawSales[[#This Row],[Subtotal]],2)=ROUND(RawSales[[#This Row],[cogs]],2)</f>
        <v>1</v>
      </c>
      <c r="U986" s="6" t="b">
        <f>ROUND(RawSales[[#This Row],[cogs]]*0.05,2)=ROUND(RawSales[[#This Row],[Tax 5%]],2)</f>
        <v>1</v>
      </c>
      <c r="V986" s="6" t="b">
        <f>ROUND(RawSales[[#This Row],[cogs]]+RawSales[[#This Row],[Tax 5%]],2)=ROUND(RawSales[[#This Row],[Sales]],2)</f>
        <v>1</v>
      </c>
    </row>
    <row r="987" spans="1:22" x14ac:dyDescent="0.35">
      <c r="A987" s="4" t="s">
        <v>1300</v>
      </c>
      <c r="B987" t="s">
        <v>20</v>
      </c>
      <c r="C987" t="s">
        <v>21</v>
      </c>
      <c r="D987" t="s">
        <v>30</v>
      </c>
      <c r="E987" t="s">
        <v>31</v>
      </c>
      <c r="F987" t="s">
        <v>40</v>
      </c>
      <c r="G987" s="6">
        <v>2623</v>
      </c>
      <c r="H987" s="7">
        <v>9</v>
      </c>
      <c r="I987" s="6">
        <v>1180.3499999999999</v>
      </c>
      <c r="J987" s="6">
        <v>24787.35</v>
      </c>
      <c r="K987" s="5">
        <v>43489.958333333336</v>
      </c>
      <c r="L987" s="4" t="s">
        <v>358</v>
      </c>
      <c r="M987" t="s">
        <v>34</v>
      </c>
      <c r="N987" s="6">
        <v>23607</v>
      </c>
      <c r="O987">
        <v>4.7619047620000003</v>
      </c>
      <c r="P987" s="6">
        <v>1180.3499999999999</v>
      </c>
      <c r="Q987">
        <v>5.9</v>
      </c>
      <c r="R987" s="6">
        <f>RawSales[[#This Row],[Unit price]]*RawSales[[#This Row],[Quantity]]</f>
        <v>23607</v>
      </c>
      <c r="S987" s="6">
        <f>RawSales[[#This Row],[Subtotal]]*$B$1</f>
        <v>1180.3500000000001</v>
      </c>
      <c r="T987" s="6" t="b">
        <f>ROUND(RawSales[[#This Row],[Subtotal]],2)=ROUND(RawSales[[#This Row],[cogs]],2)</f>
        <v>1</v>
      </c>
      <c r="U987" s="6" t="b">
        <f>ROUND(RawSales[[#This Row],[cogs]]*0.05,2)=ROUND(RawSales[[#This Row],[Tax 5%]],2)</f>
        <v>1</v>
      </c>
      <c r="V987" s="6" t="b">
        <f>ROUND(RawSales[[#This Row],[cogs]]+RawSales[[#This Row],[Tax 5%]],2)=ROUND(RawSales[[#This Row],[Sales]],2)</f>
        <v>1</v>
      </c>
    </row>
    <row r="988" spans="1:22" x14ac:dyDescent="0.35">
      <c r="A988" s="4" t="s">
        <v>1541</v>
      </c>
      <c r="B988" t="s">
        <v>38</v>
      </c>
      <c r="C988" t="s">
        <v>39</v>
      </c>
      <c r="D988" t="s">
        <v>22</v>
      </c>
      <c r="E988" t="s">
        <v>23</v>
      </c>
      <c r="F988" t="s">
        <v>24</v>
      </c>
      <c r="G988" s="6">
        <v>4727</v>
      </c>
      <c r="H988" s="7">
        <v>6</v>
      </c>
      <c r="I988" s="6">
        <v>1418.1</v>
      </c>
      <c r="J988" s="6">
        <v>29780.1</v>
      </c>
      <c r="K988" s="5">
        <v>43500.958333333336</v>
      </c>
      <c r="L988" s="4" t="s">
        <v>499</v>
      </c>
      <c r="M988" t="s">
        <v>26</v>
      </c>
      <c r="N988" s="6">
        <v>28362</v>
      </c>
      <c r="O988">
        <v>4.7619047620000003</v>
      </c>
      <c r="P988" s="6">
        <v>1418.1</v>
      </c>
      <c r="Q988">
        <v>8.8000000000000007</v>
      </c>
      <c r="R988" s="6">
        <f>RawSales[[#This Row],[Unit price]]*RawSales[[#This Row],[Quantity]]</f>
        <v>28362</v>
      </c>
      <c r="S988" s="6">
        <f>RawSales[[#This Row],[Subtotal]]*$B$1</f>
        <v>1418.1000000000001</v>
      </c>
      <c r="T988" s="6" t="b">
        <f>ROUND(RawSales[[#This Row],[Subtotal]],2)=ROUND(RawSales[[#This Row],[cogs]],2)</f>
        <v>1</v>
      </c>
      <c r="U988" s="6" t="b">
        <f>ROUND(RawSales[[#This Row],[cogs]]*0.05,2)=ROUND(RawSales[[#This Row],[Tax 5%]],2)</f>
        <v>1</v>
      </c>
      <c r="V988" s="6" t="b">
        <f>ROUND(RawSales[[#This Row],[cogs]]+RawSales[[#This Row],[Tax 5%]],2)=ROUND(RawSales[[#This Row],[Sales]],2)</f>
        <v>1</v>
      </c>
    </row>
    <row r="989" spans="1:22" x14ac:dyDescent="0.35">
      <c r="A989" s="4" t="s">
        <v>1542</v>
      </c>
      <c r="B989" t="s">
        <v>38</v>
      </c>
      <c r="C989" t="s">
        <v>39</v>
      </c>
      <c r="D989" t="s">
        <v>22</v>
      </c>
      <c r="E989" t="s">
        <v>31</v>
      </c>
      <c r="F989" t="s">
        <v>24</v>
      </c>
      <c r="G989" s="6">
        <v>2766</v>
      </c>
      <c r="H989" s="7">
        <v>10</v>
      </c>
      <c r="I989" s="6">
        <v>1383</v>
      </c>
      <c r="J989" s="6">
        <v>29043</v>
      </c>
      <c r="K989" s="5">
        <v>43509.958333333336</v>
      </c>
      <c r="L989" s="4" t="s">
        <v>748</v>
      </c>
      <c r="M989" t="s">
        <v>51</v>
      </c>
      <c r="N989" s="6">
        <v>27660</v>
      </c>
      <c r="O989">
        <v>4.7619047620000003</v>
      </c>
      <c r="P989" s="6">
        <v>1383</v>
      </c>
      <c r="Q989">
        <v>8.9</v>
      </c>
      <c r="R989" s="6">
        <f>RawSales[[#This Row],[Unit price]]*RawSales[[#This Row],[Quantity]]</f>
        <v>27660</v>
      </c>
      <c r="S989" s="6">
        <f>RawSales[[#This Row],[Subtotal]]*$B$1</f>
        <v>1383</v>
      </c>
      <c r="T989" s="6" t="b">
        <f>ROUND(RawSales[[#This Row],[Subtotal]],2)=ROUND(RawSales[[#This Row],[cogs]],2)</f>
        <v>1</v>
      </c>
      <c r="U989" s="6" t="b">
        <f>ROUND(RawSales[[#This Row],[cogs]]*0.05,2)=ROUND(RawSales[[#This Row],[Tax 5%]],2)</f>
        <v>1</v>
      </c>
      <c r="V989" s="6" t="b">
        <f>ROUND(RawSales[[#This Row],[cogs]]+RawSales[[#This Row],[Tax 5%]],2)=ROUND(RawSales[[#This Row],[Sales]],2)</f>
        <v>1</v>
      </c>
    </row>
    <row r="990" spans="1:22" x14ac:dyDescent="0.35">
      <c r="A990" s="4" t="s">
        <v>1543</v>
      </c>
      <c r="B990" t="s">
        <v>38</v>
      </c>
      <c r="C990" t="s">
        <v>39</v>
      </c>
      <c r="D990" t="s">
        <v>22</v>
      </c>
      <c r="E990" t="s">
        <v>23</v>
      </c>
      <c r="F990" t="s">
        <v>32</v>
      </c>
      <c r="G990" s="6">
        <v>5611</v>
      </c>
      <c r="H990" s="7">
        <v>2</v>
      </c>
      <c r="I990" s="6">
        <v>561.1</v>
      </c>
      <c r="J990" s="6">
        <v>11783.1</v>
      </c>
      <c r="K990" s="5">
        <v>43497.958333333336</v>
      </c>
      <c r="L990" s="4" t="s">
        <v>125</v>
      </c>
      <c r="M990" t="s">
        <v>26</v>
      </c>
      <c r="N990" s="6">
        <v>11222</v>
      </c>
      <c r="O990">
        <v>4.7619047620000003</v>
      </c>
      <c r="P990" s="6">
        <v>561.1</v>
      </c>
      <c r="Q990">
        <v>6.3</v>
      </c>
      <c r="R990" s="6">
        <f>RawSales[[#This Row],[Unit price]]*RawSales[[#This Row],[Quantity]]</f>
        <v>11222</v>
      </c>
      <c r="S990" s="6">
        <f>RawSales[[#This Row],[Subtotal]]*$B$1</f>
        <v>561.1</v>
      </c>
      <c r="T990" s="6" t="b">
        <f>ROUND(RawSales[[#This Row],[Subtotal]],2)=ROUND(RawSales[[#This Row],[cogs]],2)</f>
        <v>1</v>
      </c>
      <c r="U990" s="6" t="b">
        <f>ROUND(RawSales[[#This Row],[cogs]]*0.05,2)=ROUND(RawSales[[#This Row],[Tax 5%]],2)</f>
        <v>1</v>
      </c>
      <c r="V990" s="6" t="b">
        <f>ROUND(RawSales[[#This Row],[cogs]]+RawSales[[#This Row],[Tax 5%]],2)=ROUND(RawSales[[#This Row],[Sales]],2)</f>
        <v>1</v>
      </c>
    </row>
    <row r="991" spans="1:22" x14ac:dyDescent="0.35">
      <c r="A991" s="4" t="s">
        <v>1544</v>
      </c>
      <c r="B991" t="s">
        <v>38</v>
      </c>
      <c r="C991" t="s">
        <v>39</v>
      </c>
      <c r="D991" t="s">
        <v>30</v>
      </c>
      <c r="E991" t="s">
        <v>31</v>
      </c>
      <c r="F991" t="s">
        <v>24</v>
      </c>
      <c r="G991" s="6">
        <v>9979</v>
      </c>
      <c r="H991" s="7">
        <v>2</v>
      </c>
      <c r="I991" s="6">
        <v>997.9</v>
      </c>
      <c r="J991" s="6">
        <v>20955.900000000001</v>
      </c>
      <c r="K991" s="5">
        <v>43530.958333333336</v>
      </c>
      <c r="L991" s="4" t="s">
        <v>468</v>
      </c>
      <c r="M991" t="s">
        <v>34</v>
      </c>
      <c r="N991" s="6">
        <v>19958</v>
      </c>
      <c r="O991">
        <v>4.7619047620000003</v>
      </c>
      <c r="P991" s="6">
        <v>997.9</v>
      </c>
      <c r="Q991">
        <v>8</v>
      </c>
      <c r="R991" s="6">
        <f>RawSales[[#This Row],[Unit price]]*RawSales[[#This Row],[Quantity]]</f>
        <v>19958</v>
      </c>
      <c r="S991" s="6">
        <f>RawSales[[#This Row],[Subtotal]]*$B$1</f>
        <v>997.90000000000009</v>
      </c>
      <c r="T991" s="6" t="b">
        <f>ROUND(RawSales[[#This Row],[Subtotal]],2)=ROUND(RawSales[[#This Row],[cogs]],2)</f>
        <v>1</v>
      </c>
      <c r="U991" s="6" t="b">
        <f>ROUND(RawSales[[#This Row],[cogs]]*0.05,2)=ROUND(RawSales[[#This Row],[Tax 5%]],2)</f>
        <v>1</v>
      </c>
      <c r="V991" s="6" t="b">
        <f>ROUND(RawSales[[#This Row],[cogs]]+RawSales[[#This Row],[Tax 5%]],2)=ROUND(RawSales[[#This Row],[Sales]],2)</f>
        <v>1</v>
      </c>
    </row>
    <row r="992" spans="1:22" x14ac:dyDescent="0.35">
      <c r="A992" s="4" t="s">
        <v>1545</v>
      </c>
      <c r="B992" t="s">
        <v>38</v>
      </c>
      <c r="C992" t="s">
        <v>39</v>
      </c>
      <c r="D992" t="s">
        <v>30</v>
      </c>
      <c r="E992" t="s">
        <v>31</v>
      </c>
      <c r="F992" t="s">
        <v>40</v>
      </c>
      <c r="G992" s="6">
        <v>2474</v>
      </c>
      <c r="H992" s="7">
        <v>10</v>
      </c>
      <c r="I992" s="6">
        <v>1237</v>
      </c>
      <c r="J992" s="6">
        <v>25977</v>
      </c>
      <c r="K992" s="5">
        <v>43519.958333333336</v>
      </c>
      <c r="L992" s="4" t="s">
        <v>1540</v>
      </c>
      <c r="M992" t="s">
        <v>26</v>
      </c>
      <c r="N992" s="6">
        <v>24740</v>
      </c>
      <c r="O992">
        <v>4.7619047620000003</v>
      </c>
      <c r="P992" s="6">
        <v>1237</v>
      </c>
      <c r="Q992">
        <v>7.1</v>
      </c>
      <c r="R992" s="6">
        <f>RawSales[[#This Row],[Unit price]]*RawSales[[#This Row],[Quantity]]</f>
        <v>24740</v>
      </c>
      <c r="S992" s="6">
        <f>RawSales[[#This Row],[Subtotal]]*$B$1</f>
        <v>1237</v>
      </c>
      <c r="T992" s="6" t="b">
        <f>ROUND(RawSales[[#This Row],[Subtotal]],2)=ROUND(RawSales[[#This Row],[cogs]],2)</f>
        <v>1</v>
      </c>
      <c r="U992" s="6" t="b">
        <f>ROUND(RawSales[[#This Row],[cogs]]*0.05,2)=ROUND(RawSales[[#This Row],[Tax 5%]],2)</f>
        <v>1</v>
      </c>
      <c r="V992" s="6" t="b">
        <f>ROUND(RawSales[[#This Row],[cogs]]+RawSales[[#This Row],[Tax 5%]],2)=ROUND(RawSales[[#This Row],[Sales]],2)</f>
        <v>1</v>
      </c>
    </row>
    <row r="993" spans="1:22" x14ac:dyDescent="0.35">
      <c r="A993" s="4" t="s">
        <v>1546</v>
      </c>
      <c r="B993" t="s">
        <v>38</v>
      </c>
      <c r="C993" t="s">
        <v>39</v>
      </c>
      <c r="D993" t="s">
        <v>30</v>
      </c>
      <c r="E993" t="s">
        <v>31</v>
      </c>
      <c r="F993" t="s">
        <v>62</v>
      </c>
      <c r="G993" s="6">
        <v>9549</v>
      </c>
      <c r="H993" s="7">
        <v>7</v>
      </c>
      <c r="I993" s="6">
        <v>3342.15</v>
      </c>
      <c r="J993" s="6">
        <v>70185.149999999994</v>
      </c>
      <c r="K993" s="5">
        <v>43517.958333333336</v>
      </c>
      <c r="L993" s="4" t="s">
        <v>188</v>
      </c>
      <c r="M993" t="s">
        <v>34</v>
      </c>
      <c r="N993" s="6">
        <v>66843</v>
      </c>
      <c r="O993">
        <v>4.7619047620000003</v>
      </c>
      <c r="P993" s="6">
        <v>3342.15</v>
      </c>
      <c r="Q993">
        <v>8.6999999999999993</v>
      </c>
      <c r="R993" s="6">
        <f>RawSales[[#This Row],[Unit price]]*RawSales[[#This Row],[Quantity]]</f>
        <v>66843</v>
      </c>
      <c r="S993" s="6">
        <f>RawSales[[#This Row],[Subtotal]]*$B$1</f>
        <v>3342.15</v>
      </c>
      <c r="T993" s="6" t="b">
        <f>ROUND(RawSales[[#This Row],[Subtotal]],2)=ROUND(RawSales[[#This Row],[cogs]],2)</f>
        <v>1</v>
      </c>
      <c r="U993" s="6" t="b">
        <f>ROUND(RawSales[[#This Row],[cogs]]*0.05,2)=ROUND(RawSales[[#This Row],[Tax 5%]],2)</f>
        <v>1</v>
      </c>
      <c r="V993" s="6" t="b">
        <f>ROUND(RawSales[[#This Row],[cogs]]+RawSales[[#This Row],[Tax 5%]],2)=ROUND(RawSales[[#This Row],[Sales]],2)</f>
        <v>1</v>
      </c>
    </row>
    <row r="994" spans="1:22" x14ac:dyDescent="0.35">
      <c r="A994" s="4" t="s">
        <v>1547</v>
      </c>
      <c r="B994" t="s">
        <v>20</v>
      </c>
      <c r="C994" t="s">
        <v>21</v>
      </c>
      <c r="D994" t="s">
        <v>22</v>
      </c>
      <c r="E994" t="s">
        <v>31</v>
      </c>
      <c r="F994" t="s">
        <v>32</v>
      </c>
      <c r="G994" s="6">
        <v>5890</v>
      </c>
      <c r="H994" s="7">
        <v>8</v>
      </c>
      <c r="I994" s="6">
        <v>2356</v>
      </c>
      <c r="J994" s="6">
        <v>49476</v>
      </c>
      <c r="K994" s="5">
        <v>43470.958333333336</v>
      </c>
      <c r="L994" s="4" t="s">
        <v>249</v>
      </c>
      <c r="M994" t="s">
        <v>26</v>
      </c>
      <c r="N994" s="6">
        <v>47120</v>
      </c>
      <c r="O994">
        <v>4.7619047620000003</v>
      </c>
      <c r="P994" s="6">
        <v>2356</v>
      </c>
      <c r="Q994">
        <v>8.9</v>
      </c>
      <c r="R994" s="6">
        <f>RawSales[[#This Row],[Unit price]]*RawSales[[#This Row],[Quantity]]</f>
        <v>47120</v>
      </c>
      <c r="S994" s="6">
        <f>RawSales[[#This Row],[Subtotal]]*$B$1</f>
        <v>2356</v>
      </c>
      <c r="T994" s="6" t="b">
        <f>ROUND(RawSales[[#This Row],[Subtotal]],2)=ROUND(RawSales[[#This Row],[cogs]],2)</f>
        <v>1</v>
      </c>
      <c r="U994" s="6" t="b">
        <f>ROUND(RawSales[[#This Row],[cogs]]*0.05,2)=ROUND(RawSales[[#This Row],[Tax 5%]],2)</f>
        <v>1</v>
      </c>
      <c r="V994" s="6" t="b">
        <f>ROUND(RawSales[[#This Row],[cogs]]+RawSales[[#This Row],[Tax 5%]],2)=ROUND(RawSales[[#This Row],[Sales]],2)</f>
        <v>1</v>
      </c>
    </row>
    <row r="995" spans="1:22" x14ac:dyDescent="0.35">
      <c r="A995" s="4" t="s">
        <v>1548</v>
      </c>
      <c r="B995" t="s">
        <v>20</v>
      </c>
      <c r="C995" t="s">
        <v>21</v>
      </c>
      <c r="D995" t="s">
        <v>22</v>
      </c>
      <c r="E995" t="s">
        <v>23</v>
      </c>
      <c r="F995" t="s">
        <v>49</v>
      </c>
      <c r="G995" s="6">
        <v>3014</v>
      </c>
      <c r="H995" s="7">
        <v>10</v>
      </c>
      <c r="I995" s="6">
        <v>1507</v>
      </c>
      <c r="J995" s="6">
        <v>31647</v>
      </c>
      <c r="K995" s="5">
        <v>43505.958333333336</v>
      </c>
      <c r="L995" s="4" t="s">
        <v>141</v>
      </c>
      <c r="M995" t="s">
        <v>34</v>
      </c>
      <c r="N995" s="6">
        <v>30140</v>
      </c>
      <c r="O995">
        <v>4.7619047620000003</v>
      </c>
      <c r="P995" s="6">
        <v>1507</v>
      </c>
      <c r="Q995">
        <v>9.1999999999999993</v>
      </c>
      <c r="R995" s="6">
        <f>RawSales[[#This Row],[Unit price]]*RawSales[[#This Row],[Quantity]]</f>
        <v>30140</v>
      </c>
      <c r="S995" s="6">
        <f>RawSales[[#This Row],[Subtotal]]*$B$1</f>
        <v>1507</v>
      </c>
      <c r="T995" s="6" t="b">
        <f>ROUND(RawSales[[#This Row],[Subtotal]],2)=ROUND(RawSales[[#This Row],[cogs]],2)</f>
        <v>1</v>
      </c>
      <c r="U995" s="6" t="b">
        <f>ROUND(RawSales[[#This Row],[cogs]]*0.05,2)=ROUND(RawSales[[#This Row],[Tax 5%]],2)</f>
        <v>1</v>
      </c>
      <c r="V995" s="6" t="b">
        <f>ROUND(RawSales[[#This Row],[cogs]]+RawSales[[#This Row],[Tax 5%]],2)=ROUND(RawSales[[#This Row],[Sales]],2)</f>
        <v>1</v>
      </c>
    </row>
    <row r="996" spans="1:22" x14ac:dyDescent="0.35">
      <c r="A996" s="4" t="s">
        <v>1549</v>
      </c>
      <c r="B996" t="s">
        <v>38</v>
      </c>
      <c r="C996" t="s">
        <v>39</v>
      </c>
      <c r="D996" t="s">
        <v>30</v>
      </c>
      <c r="E996" t="s">
        <v>23</v>
      </c>
      <c r="F996" t="s">
        <v>140</v>
      </c>
      <c r="G996" s="6">
        <v>4620</v>
      </c>
      <c r="H996" s="7">
        <v>1</v>
      </c>
      <c r="I996" s="6">
        <v>231</v>
      </c>
      <c r="J996" s="6">
        <v>4851</v>
      </c>
      <c r="K996" s="5">
        <v>43542.958333333336</v>
      </c>
      <c r="L996" s="4" t="s">
        <v>1550</v>
      </c>
      <c r="M996" t="s">
        <v>26</v>
      </c>
      <c r="N996" s="6">
        <v>4620</v>
      </c>
      <c r="O996">
        <v>4.7619047620000003</v>
      </c>
      <c r="P996" s="6">
        <v>231</v>
      </c>
      <c r="Q996">
        <v>6.3</v>
      </c>
      <c r="R996" s="6">
        <f>RawSales[[#This Row],[Unit price]]*RawSales[[#This Row],[Quantity]]</f>
        <v>4620</v>
      </c>
      <c r="S996" s="6">
        <f>RawSales[[#This Row],[Subtotal]]*$B$1</f>
        <v>231</v>
      </c>
      <c r="T996" s="6" t="b">
        <f>ROUND(RawSales[[#This Row],[Subtotal]],2)=ROUND(RawSales[[#This Row],[cogs]],2)</f>
        <v>1</v>
      </c>
      <c r="U996" s="6" t="b">
        <f>ROUND(RawSales[[#This Row],[cogs]]*0.05,2)=ROUND(RawSales[[#This Row],[Tax 5%]],2)</f>
        <v>1</v>
      </c>
      <c r="V996" s="6" t="b">
        <f>ROUND(RawSales[[#This Row],[cogs]]+RawSales[[#This Row],[Tax 5%]],2)=ROUND(RawSales[[#This Row],[Sales]],2)</f>
        <v>1</v>
      </c>
    </row>
    <row r="997" spans="1:22" x14ac:dyDescent="0.35">
      <c r="A997" s="4" t="s">
        <v>1551</v>
      </c>
      <c r="B997" t="s">
        <v>38</v>
      </c>
      <c r="C997" t="s">
        <v>39</v>
      </c>
      <c r="D997" t="s">
        <v>22</v>
      </c>
      <c r="E997" t="s">
        <v>23</v>
      </c>
      <c r="F997" t="s">
        <v>49</v>
      </c>
      <c r="G997" s="6">
        <v>7652</v>
      </c>
      <c r="H997" s="7">
        <v>5</v>
      </c>
      <c r="I997" s="6">
        <v>1913</v>
      </c>
      <c r="J997" s="6">
        <v>40173</v>
      </c>
      <c r="K997" s="5">
        <v>43548.958333333336</v>
      </c>
      <c r="L997" s="4" t="s">
        <v>94</v>
      </c>
      <c r="M997" t="s">
        <v>26</v>
      </c>
      <c r="N997" s="6">
        <v>38260</v>
      </c>
      <c r="O997">
        <v>4.7619047620000003</v>
      </c>
      <c r="P997" s="6">
        <v>1913</v>
      </c>
      <c r="Q997">
        <v>9.9</v>
      </c>
      <c r="R997" s="6">
        <f>RawSales[[#This Row],[Unit price]]*RawSales[[#This Row],[Quantity]]</f>
        <v>38260</v>
      </c>
      <c r="S997" s="6">
        <f>RawSales[[#This Row],[Subtotal]]*$B$1</f>
        <v>1913</v>
      </c>
      <c r="T997" s="6" t="b">
        <f>ROUND(RawSales[[#This Row],[Subtotal]],2)=ROUND(RawSales[[#This Row],[cogs]],2)</f>
        <v>1</v>
      </c>
      <c r="U997" s="6" t="b">
        <f>ROUND(RawSales[[#This Row],[cogs]]*0.05,2)=ROUND(RawSales[[#This Row],[Tax 5%]],2)</f>
        <v>1</v>
      </c>
      <c r="V997" s="6" t="b">
        <f>ROUND(RawSales[[#This Row],[cogs]]+RawSales[[#This Row],[Tax 5%]],2)=ROUND(RawSales[[#This Row],[Sales]],2)</f>
        <v>1</v>
      </c>
    </row>
    <row r="998" spans="1:22" x14ac:dyDescent="0.35">
      <c r="A998" s="4" t="s">
        <v>1552</v>
      </c>
      <c r="B998" t="s">
        <v>38</v>
      </c>
      <c r="C998" t="s">
        <v>39</v>
      </c>
      <c r="D998" t="s">
        <v>22</v>
      </c>
      <c r="E998" t="s">
        <v>31</v>
      </c>
      <c r="F998" t="s">
        <v>324</v>
      </c>
      <c r="G998" s="6">
        <v>5959</v>
      </c>
      <c r="H998" s="7">
        <v>4</v>
      </c>
      <c r="I998" s="6">
        <v>1191.8</v>
      </c>
      <c r="J998" s="6">
        <v>25027.8</v>
      </c>
      <c r="K998" s="5">
        <v>43483.958333333336</v>
      </c>
      <c r="L998" s="4" t="s">
        <v>884</v>
      </c>
      <c r="M998" t="s">
        <v>26</v>
      </c>
      <c r="N998" s="6">
        <v>23836</v>
      </c>
      <c r="O998">
        <v>4.7619047620000003</v>
      </c>
      <c r="P998" s="6">
        <v>1191.8</v>
      </c>
      <c r="R998" s="6">
        <f>RawSales[[#This Row],[Unit price]]*RawSales[[#This Row],[Quantity]]</f>
        <v>23836</v>
      </c>
      <c r="S998" s="6">
        <f>RawSales[[#This Row],[Subtotal]]*$B$1</f>
        <v>1191.8</v>
      </c>
      <c r="T998" s="6" t="b">
        <f>ROUND(RawSales[[#This Row],[Subtotal]],2)=ROUND(RawSales[[#This Row],[cogs]],2)</f>
        <v>1</v>
      </c>
      <c r="U998" s="6" t="b">
        <f>ROUND(RawSales[[#This Row],[cogs]]*0.05,2)=ROUND(RawSales[[#This Row],[Tax 5%]],2)</f>
        <v>1</v>
      </c>
      <c r="V998" s="6" t="b">
        <f>ROUND(RawSales[[#This Row],[cogs]]+RawSales[[#This Row],[Tax 5%]],2)=ROUND(RawSales[[#This Row],[Sales]],2)</f>
        <v>1</v>
      </c>
    </row>
    <row r="999" spans="1:22" x14ac:dyDescent="0.35">
      <c r="A999" s="4" t="s">
        <v>1553</v>
      </c>
      <c r="B999" t="s">
        <v>28</v>
      </c>
      <c r="C999" t="s">
        <v>29</v>
      </c>
      <c r="D999" t="s">
        <v>22</v>
      </c>
      <c r="E999" t="s">
        <v>23</v>
      </c>
      <c r="F999" t="s">
        <v>62</v>
      </c>
      <c r="G999" s="6">
        <v>2018</v>
      </c>
      <c r="H999" s="7">
        <v>4</v>
      </c>
      <c r="I999" s="6">
        <v>403.6</v>
      </c>
      <c r="J999" s="6">
        <v>8475.6</v>
      </c>
      <c r="K999" s="5">
        <v>43508.958333333336</v>
      </c>
      <c r="L999" s="4" t="s">
        <v>755</v>
      </c>
      <c r="M999" t="s">
        <v>51</v>
      </c>
      <c r="N999" s="6">
        <v>8072</v>
      </c>
      <c r="O999">
        <v>4.7619047620000003</v>
      </c>
      <c r="P999" s="6">
        <v>403.6</v>
      </c>
      <c r="Q999">
        <v>5</v>
      </c>
      <c r="R999" s="6">
        <f>RawSales[[#This Row],[Unit price]]*RawSales[[#This Row],[Quantity]]</f>
        <v>8072</v>
      </c>
      <c r="S999" s="6">
        <f>RawSales[[#This Row],[Subtotal]]*$B$1</f>
        <v>403.6</v>
      </c>
      <c r="T999" s="6" t="b">
        <f>ROUND(RawSales[[#This Row],[Subtotal]],2)=ROUND(RawSales[[#This Row],[cogs]],2)</f>
        <v>1</v>
      </c>
      <c r="U999" s="6" t="b">
        <f>ROUND(RawSales[[#This Row],[cogs]]*0.05,2)=ROUND(RawSales[[#This Row],[Tax 5%]],2)</f>
        <v>1</v>
      </c>
      <c r="V999" s="6" t="b">
        <f>ROUND(RawSales[[#This Row],[cogs]]+RawSales[[#This Row],[Tax 5%]],2)=ROUND(RawSales[[#This Row],[Sales]],2)</f>
        <v>1</v>
      </c>
    </row>
    <row r="1000" spans="1:22" x14ac:dyDescent="0.35">
      <c r="A1000" s="4" t="s">
        <v>1554</v>
      </c>
      <c r="B1000" t="s">
        <v>38</v>
      </c>
      <c r="C1000" t="s">
        <v>39</v>
      </c>
      <c r="D1000" t="s">
        <v>30</v>
      </c>
      <c r="E1000" t="s">
        <v>31</v>
      </c>
      <c r="F1000" t="s">
        <v>24</v>
      </c>
      <c r="G1000" s="6">
        <v>4327</v>
      </c>
      <c r="H1000" s="7">
        <v>2</v>
      </c>
      <c r="I1000" s="6">
        <v>432.7</v>
      </c>
      <c r="J1000" s="6">
        <v>9086.7000000000007</v>
      </c>
      <c r="K1000" s="5">
        <v>43531.958333333336</v>
      </c>
      <c r="L1000" s="4" t="s">
        <v>1555</v>
      </c>
      <c r="M1000" t="s">
        <v>34</v>
      </c>
      <c r="N1000" s="6">
        <v>8654</v>
      </c>
      <c r="O1000">
        <v>4.7619047620000003</v>
      </c>
      <c r="P1000" s="6">
        <v>432.7</v>
      </c>
      <c r="Q1000">
        <v>5.7</v>
      </c>
      <c r="R1000" s="6">
        <f>RawSales[[#This Row],[Unit price]]*RawSales[[#This Row],[Quantity]]</f>
        <v>8654</v>
      </c>
      <c r="S1000" s="6">
        <f>RawSales[[#This Row],[Subtotal]]*$B$1</f>
        <v>432.70000000000005</v>
      </c>
      <c r="T1000" s="6" t="b">
        <f>ROUND(RawSales[[#This Row],[Subtotal]],2)=ROUND(RawSales[[#This Row],[cogs]],2)</f>
        <v>1</v>
      </c>
      <c r="U1000" s="6" t="b">
        <f>ROUND(RawSales[[#This Row],[cogs]]*0.05,2)=ROUND(RawSales[[#This Row],[Tax 5%]],2)</f>
        <v>1</v>
      </c>
      <c r="V1000" s="6" t="b">
        <f>ROUND(RawSales[[#This Row],[cogs]]+RawSales[[#This Row],[Tax 5%]],2)=ROUND(RawSales[[#This Row],[Sales]],2)</f>
        <v>1</v>
      </c>
    </row>
    <row r="1001" spans="1:22" x14ac:dyDescent="0.35">
      <c r="A1001" s="4" t="s">
        <v>1556</v>
      </c>
      <c r="B1001" t="s">
        <v>20</v>
      </c>
      <c r="C1001" t="s">
        <v>21</v>
      </c>
      <c r="D1001" t="s">
        <v>22</v>
      </c>
      <c r="E1001" t="s">
        <v>23</v>
      </c>
      <c r="F1001" t="s">
        <v>43</v>
      </c>
      <c r="G1001" s="6">
        <v>1587</v>
      </c>
      <c r="H1001" s="7">
        <v>10</v>
      </c>
      <c r="I1001" s="6">
        <v>793.5</v>
      </c>
      <c r="J1001" s="6">
        <v>16663.5</v>
      </c>
      <c r="K1001" s="5">
        <v>43536.958333333336</v>
      </c>
      <c r="L1001" s="4" t="s">
        <v>1332</v>
      </c>
      <c r="M1001" t="s">
        <v>26</v>
      </c>
      <c r="N1001" s="6">
        <v>15870</v>
      </c>
      <c r="O1001">
        <v>4.7619047620000003</v>
      </c>
      <c r="P1001" s="6">
        <v>793.5</v>
      </c>
      <c r="Q1001">
        <v>5.8</v>
      </c>
      <c r="R1001" s="6">
        <f>RawSales[[#This Row],[Unit price]]*RawSales[[#This Row],[Quantity]]</f>
        <v>15870</v>
      </c>
      <c r="S1001" s="6">
        <f>RawSales[[#This Row],[Subtotal]]*$B$1</f>
        <v>793.5</v>
      </c>
      <c r="T1001" s="6" t="b">
        <f>ROUND(RawSales[[#This Row],[Subtotal]],2)=ROUND(RawSales[[#This Row],[cogs]],2)</f>
        <v>1</v>
      </c>
      <c r="U1001" s="6" t="b">
        <f>ROUND(RawSales[[#This Row],[cogs]]*0.05,2)=ROUND(RawSales[[#This Row],[Tax 5%]],2)</f>
        <v>1</v>
      </c>
      <c r="V1001" s="6" t="b">
        <f>ROUND(RawSales[[#This Row],[cogs]]+RawSales[[#This Row],[Tax 5%]],2)=ROUND(RawSales[[#This Row],[Sales]],2)</f>
        <v>1</v>
      </c>
    </row>
    <row r="1002" spans="1:22" x14ac:dyDescent="0.35">
      <c r="A1002" s="4" t="s">
        <v>1557</v>
      </c>
      <c r="B1002" t="s">
        <v>20</v>
      </c>
      <c r="C1002" t="s">
        <v>21</v>
      </c>
      <c r="D1002" t="s">
        <v>30</v>
      </c>
      <c r="E1002" t="s">
        <v>23</v>
      </c>
      <c r="F1002" t="s">
        <v>43</v>
      </c>
      <c r="G1002" s="6">
        <v>3568</v>
      </c>
      <c r="H1002" s="7">
        <v>5</v>
      </c>
      <c r="I1002" s="6">
        <v>892</v>
      </c>
      <c r="J1002" s="6">
        <v>18732</v>
      </c>
      <c r="K1002" s="5">
        <v>43501.958333333336</v>
      </c>
      <c r="L1002" s="4" t="s">
        <v>792</v>
      </c>
      <c r="M1002" t="s">
        <v>51</v>
      </c>
      <c r="N1002" s="6">
        <v>17840</v>
      </c>
      <c r="O1002">
        <v>4.7619047620000003</v>
      </c>
      <c r="P1002" s="6">
        <v>892</v>
      </c>
      <c r="Q1002">
        <v>6.6</v>
      </c>
      <c r="R1002" s="6">
        <f>RawSales[[#This Row],[Unit price]]*RawSales[[#This Row],[Quantity]]</f>
        <v>17840</v>
      </c>
      <c r="S1002" s="6">
        <f>RawSales[[#This Row],[Subtotal]]*$B$1</f>
        <v>892</v>
      </c>
      <c r="T1002" s="6" t="b">
        <f>ROUND(RawSales[[#This Row],[Subtotal]],2)=ROUND(RawSales[[#This Row],[cogs]],2)</f>
        <v>1</v>
      </c>
      <c r="U1002" s="6" t="b">
        <f>ROUND(RawSales[[#This Row],[cogs]]*0.05,2)=ROUND(RawSales[[#This Row],[Tax 5%]],2)</f>
        <v>1</v>
      </c>
      <c r="V1002" s="6" t="b">
        <f>ROUND(RawSales[[#This Row],[cogs]]+RawSales[[#This Row],[Tax 5%]],2)=ROUND(RawSales[[#This Row],[Sales]],2)</f>
        <v>1</v>
      </c>
    </row>
    <row r="1003" spans="1:22" x14ac:dyDescent="0.35">
      <c r="A1003" s="4" t="s">
        <v>1558</v>
      </c>
      <c r="B1003" t="s">
        <v>20</v>
      </c>
      <c r="C1003" t="s">
        <v>21</v>
      </c>
      <c r="D1003" t="s">
        <v>30</v>
      </c>
      <c r="E1003" t="s">
        <v>23</v>
      </c>
      <c r="F1003" t="s">
        <v>43</v>
      </c>
      <c r="G1003" s="6">
        <v>2303</v>
      </c>
      <c r="H1003" s="7">
        <v>9</v>
      </c>
      <c r="I1003" s="6">
        <v>1036.3499999999999</v>
      </c>
      <c r="J1003" s="6">
        <v>21763.35</v>
      </c>
      <c r="K1003" s="5">
        <v>43467.958333333336</v>
      </c>
      <c r="L1003" s="4" t="s">
        <v>251</v>
      </c>
      <c r="M1003" t="s">
        <v>34</v>
      </c>
      <c r="N1003" s="6">
        <v>20727</v>
      </c>
      <c r="O1003">
        <v>4.7619047620000003</v>
      </c>
      <c r="P1003" s="6">
        <v>1036.3499999999999</v>
      </c>
      <c r="Q1003">
        <v>7.9</v>
      </c>
      <c r="R1003" s="6">
        <f>RawSales[[#This Row],[Unit price]]*RawSales[[#This Row],[Quantity]]</f>
        <v>20727</v>
      </c>
      <c r="S1003" s="6">
        <f>RawSales[[#This Row],[Subtotal]]*$B$1</f>
        <v>1036.3500000000001</v>
      </c>
      <c r="T1003" s="6" t="b">
        <f>ROUND(RawSales[[#This Row],[Subtotal]],2)=ROUND(RawSales[[#This Row],[cogs]],2)</f>
        <v>1</v>
      </c>
      <c r="U1003" s="6" t="b">
        <f>ROUND(RawSales[[#This Row],[cogs]]*0.05,2)=ROUND(RawSales[[#This Row],[Tax 5%]],2)</f>
        <v>1</v>
      </c>
      <c r="V1003" s="6" t="b">
        <f>ROUND(RawSales[[#This Row],[cogs]]+RawSales[[#This Row],[Tax 5%]],2)=ROUND(RawSales[[#This Row],[Sales]],2)</f>
        <v>1</v>
      </c>
    </row>
    <row r="1004" spans="1:22" x14ac:dyDescent="0.35">
      <c r="A1004" s="4" t="s">
        <v>1559</v>
      </c>
      <c r="B1004" t="s">
        <v>38</v>
      </c>
      <c r="C1004" t="s">
        <v>39</v>
      </c>
      <c r="D1004" t="s">
        <v>22</v>
      </c>
      <c r="E1004" t="s">
        <v>23</v>
      </c>
      <c r="F1004" t="s">
        <v>43</v>
      </c>
      <c r="G1004" s="6">
        <v>1537</v>
      </c>
      <c r="H1004" s="7">
        <v>2</v>
      </c>
      <c r="I1004" s="6">
        <v>153.69999999999999</v>
      </c>
      <c r="J1004" s="6">
        <v>3227.7</v>
      </c>
      <c r="K1004" s="5">
        <v>43539.958333333336</v>
      </c>
      <c r="L1004" s="4" t="s">
        <v>1560</v>
      </c>
      <c r="M1004" t="s">
        <v>26</v>
      </c>
      <c r="N1004" s="6">
        <v>3074</v>
      </c>
      <c r="O1004">
        <v>4.7619047620000003</v>
      </c>
      <c r="P1004" s="6">
        <v>153.69999999999999</v>
      </c>
      <c r="Q1004">
        <v>7.2</v>
      </c>
      <c r="R1004" s="6">
        <f>RawSales[[#This Row],[Unit price]]*RawSales[[#This Row],[Quantity]]</f>
        <v>3074</v>
      </c>
      <c r="S1004" s="6">
        <f>RawSales[[#This Row],[Subtotal]]*$B$1</f>
        <v>153.70000000000002</v>
      </c>
      <c r="T1004" s="6" t="b">
        <f>ROUND(RawSales[[#This Row],[Subtotal]],2)=ROUND(RawSales[[#This Row],[cogs]],2)</f>
        <v>1</v>
      </c>
      <c r="U1004" s="6" t="b">
        <f>ROUND(RawSales[[#This Row],[cogs]]*0.05,2)=ROUND(RawSales[[#This Row],[Tax 5%]],2)</f>
        <v>1</v>
      </c>
      <c r="V1004" s="6" t="b">
        <f>ROUND(RawSales[[#This Row],[cogs]]+RawSales[[#This Row],[Tax 5%]],2)=ROUND(RawSales[[#This Row],[Sales]],2)</f>
        <v>1</v>
      </c>
    </row>
    <row r="1005" spans="1:22" x14ac:dyDescent="0.35">
      <c r="A1005" s="4" t="s">
        <v>1561</v>
      </c>
      <c r="B1005" t="s">
        <v>20</v>
      </c>
      <c r="C1005" t="s">
        <v>21</v>
      </c>
      <c r="D1005" t="s">
        <v>22</v>
      </c>
      <c r="E1005" t="s">
        <v>23</v>
      </c>
      <c r="F1005" t="s">
        <v>49</v>
      </c>
      <c r="G1005" s="6">
        <v>8767</v>
      </c>
      <c r="H1005" s="7">
        <v>2</v>
      </c>
      <c r="I1005" s="6">
        <v>876.7</v>
      </c>
      <c r="J1005" s="6">
        <v>18410.7</v>
      </c>
      <c r="K1005" s="4" t="s">
        <v>1562</v>
      </c>
      <c r="L1005" s="4" t="s">
        <v>1563</v>
      </c>
      <c r="M1005" t="s">
        <v>51</v>
      </c>
      <c r="N1005" s="6">
        <v>17534</v>
      </c>
      <c r="O1005">
        <v>4.7619047620000003</v>
      </c>
      <c r="P1005" s="6">
        <v>876.7</v>
      </c>
      <c r="Q1005">
        <v>7.7</v>
      </c>
      <c r="R1005" s="6">
        <f>RawSales[[#This Row],[Unit price]]*RawSales[[#This Row],[Quantity]]</f>
        <v>17534</v>
      </c>
      <c r="S1005" s="6">
        <f>RawSales[[#This Row],[Subtotal]]*$B$1</f>
        <v>876.7</v>
      </c>
      <c r="T1005" s="6" t="b">
        <f>ROUND(RawSales[[#This Row],[Subtotal]],2)=ROUND(RawSales[[#This Row],[cogs]],2)</f>
        <v>1</v>
      </c>
      <c r="U1005" s="6" t="b">
        <f>ROUND(RawSales[[#This Row],[cogs]]*0.05,2)=ROUND(RawSales[[#This Row],[Tax 5%]],2)</f>
        <v>1</v>
      </c>
      <c r="V1005" s="6" t="b">
        <f>ROUND(RawSales[[#This Row],[cogs]]+RawSales[[#This Row],[Tax 5%]],2)=ROUND(RawSales[[#This Row],[Sales]],2)</f>
        <v>1</v>
      </c>
    </row>
    <row r="1006" spans="1:22" x14ac:dyDescent="0.35">
      <c r="A1006" s="4" t="s">
        <v>1564</v>
      </c>
      <c r="B1006" t="s">
        <v>38</v>
      </c>
      <c r="C1006" t="s">
        <v>39</v>
      </c>
      <c r="D1006" t="s">
        <v>22</v>
      </c>
      <c r="E1006" t="s">
        <v>23</v>
      </c>
      <c r="F1006" t="s">
        <v>43</v>
      </c>
      <c r="G1006" s="6">
        <v>9919</v>
      </c>
      <c r="H1006" s="7">
        <v>6</v>
      </c>
      <c r="I1006" s="6">
        <v>2975.7</v>
      </c>
      <c r="J1006" s="6">
        <v>62489.7</v>
      </c>
      <c r="K1006" s="4" t="s">
        <v>1565</v>
      </c>
      <c r="L1006" s="4" t="s">
        <v>381</v>
      </c>
      <c r="M1006" t="s">
        <v>51</v>
      </c>
      <c r="N1006" s="6">
        <v>59514</v>
      </c>
      <c r="O1006">
        <v>4.7619047620000003</v>
      </c>
      <c r="P1006" s="6">
        <v>2975.7</v>
      </c>
      <c r="Q1006">
        <v>5.5</v>
      </c>
      <c r="R1006" s="6">
        <f>RawSales[[#This Row],[Unit price]]*RawSales[[#This Row],[Quantity]]</f>
        <v>59514</v>
      </c>
      <c r="S1006" s="6">
        <f>RawSales[[#This Row],[Subtotal]]*$B$1</f>
        <v>2975.7000000000003</v>
      </c>
      <c r="T1006" s="6" t="b">
        <f>ROUND(RawSales[[#This Row],[Subtotal]],2)=ROUND(RawSales[[#This Row],[cogs]],2)</f>
        <v>1</v>
      </c>
      <c r="U1006" s="6" t="b">
        <f>ROUND(RawSales[[#This Row],[cogs]]*0.05,2)=ROUND(RawSales[[#This Row],[Tax 5%]],2)</f>
        <v>1</v>
      </c>
      <c r="V1006" s="6" t="b">
        <f>ROUND(RawSales[[#This Row],[cogs]]+RawSales[[#This Row],[Tax 5%]],2)=ROUND(RawSales[[#This Row],[Sales]],2)</f>
        <v>1</v>
      </c>
    </row>
    <row r="1007" spans="1:22" x14ac:dyDescent="0.35">
      <c r="A1007" s="4" t="s">
        <v>1566</v>
      </c>
      <c r="B1007" t="s">
        <v>20</v>
      </c>
      <c r="C1007" t="s">
        <v>21</v>
      </c>
      <c r="D1007" t="s">
        <v>22</v>
      </c>
      <c r="E1007" t="s">
        <v>23</v>
      </c>
      <c r="F1007" t="s">
        <v>49</v>
      </c>
      <c r="G1007" s="6">
        <v>8834</v>
      </c>
      <c r="H1007" s="7">
        <v>7</v>
      </c>
      <c r="I1007" s="6">
        <v>3091.9</v>
      </c>
      <c r="J1007" s="6">
        <v>64929.9</v>
      </c>
      <c r="K1007" s="5">
        <v>43513.958333333336</v>
      </c>
      <c r="L1007" s="4" t="s">
        <v>1387</v>
      </c>
      <c r="M1007" t="s">
        <v>26</v>
      </c>
      <c r="N1007" s="6">
        <v>61838</v>
      </c>
      <c r="O1007">
        <v>4.7619047620000003</v>
      </c>
      <c r="P1007" s="6">
        <v>3091.9</v>
      </c>
      <c r="Q1007">
        <v>6.6</v>
      </c>
      <c r="R1007" s="6">
        <f>RawSales[[#This Row],[Unit price]]*RawSales[[#This Row],[Quantity]]</f>
        <v>61838</v>
      </c>
      <c r="S1007" s="6">
        <f>RawSales[[#This Row],[Subtotal]]*$B$1</f>
        <v>3091.9</v>
      </c>
      <c r="T1007" s="6" t="b">
        <f>ROUND(RawSales[[#This Row],[Subtotal]],2)=ROUND(RawSales[[#This Row],[cogs]],2)</f>
        <v>1</v>
      </c>
      <c r="U1007" s="6" t="b">
        <f>ROUND(RawSales[[#This Row],[cogs]]*0.05,2)=ROUND(RawSales[[#This Row],[Tax 5%]],2)</f>
        <v>1</v>
      </c>
      <c r="V1007" s="6" t="b">
        <f>ROUND(RawSales[[#This Row],[cogs]]+RawSales[[#This Row],[Tax 5%]],2)=ROUND(RawSales[[#This Row],[Sales]],2)</f>
        <v>1</v>
      </c>
    </row>
    <row r="1008" spans="1:22" x14ac:dyDescent="0.35">
      <c r="A1008" s="4" t="s">
        <v>1567</v>
      </c>
      <c r="B1008" t="s">
        <v>20</v>
      </c>
      <c r="C1008" t="s">
        <v>21</v>
      </c>
      <c r="D1008" t="s">
        <v>30</v>
      </c>
      <c r="E1008" t="s">
        <v>31</v>
      </c>
      <c r="F1008" t="s">
        <v>32</v>
      </c>
      <c r="G1008" s="6">
        <v>3399</v>
      </c>
      <c r="H1008" s="7">
        <v>6</v>
      </c>
      <c r="I1008" s="6">
        <v>1019.7</v>
      </c>
      <c r="J1008" s="6">
        <v>21413.7</v>
      </c>
      <c r="K1008" s="5">
        <v>43531.958333333336</v>
      </c>
      <c r="L1008" s="4" t="s">
        <v>1568</v>
      </c>
      <c r="M1008" t="s">
        <v>51</v>
      </c>
      <c r="N1008" s="6">
        <v>20394</v>
      </c>
      <c r="O1008">
        <v>4.7619047620000003</v>
      </c>
      <c r="P1008" s="6">
        <v>1019.7</v>
      </c>
      <c r="Q1008">
        <v>7.7</v>
      </c>
      <c r="R1008" s="6">
        <f>RawSales[[#This Row],[Unit price]]*RawSales[[#This Row],[Quantity]]</f>
        <v>20394</v>
      </c>
      <c r="S1008" s="6">
        <f>RawSales[[#This Row],[Subtotal]]*$B$1</f>
        <v>1019.7</v>
      </c>
      <c r="T1008" s="6" t="b">
        <f>ROUND(RawSales[[#This Row],[Subtotal]],2)=ROUND(RawSales[[#This Row],[cogs]],2)</f>
        <v>1</v>
      </c>
      <c r="U1008" s="6" t="b">
        <f>ROUND(RawSales[[#This Row],[cogs]]*0.05,2)=ROUND(RawSales[[#This Row],[Tax 5%]],2)</f>
        <v>1</v>
      </c>
      <c r="V1008" s="6" t="b">
        <f>ROUND(RawSales[[#This Row],[cogs]]+RawSales[[#This Row],[Tax 5%]],2)=ROUND(RawSales[[#This Row],[Sales]],2)</f>
        <v>1</v>
      </c>
    </row>
    <row r="1009" spans="1:22" x14ac:dyDescent="0.35">
      <c r="A1009" s="4" t="s">
        <v>1569</v>
      </c>
      <c r="B1009" t="s">
        <v>20</v>
      </c>
      <c r="C1009" t="s">
        <v>21</v>
      </c>
      <c r="D1009" t="s">
        <v>22</v>
      </c>
      <c r="E1009" t="s">
        <v>23</v>
      </c>
      <c r="F1009" t="s">
        <v>32</v>
      </c>
      <c r="G1009" s="6">
        <v>5807</v>
      </c>
      <c r="H1009" s="7">
        <v>9</v>
      </c>
      <c r="I1009" s="6">
        <v>2613.15</v>
      </c>
      <c r="J1009" s="6">
        <v>54876.15</v>
      </c>
      <c r="K1009" s="5">
        <v>43483.958333333336</v>
      </c>
      <c r="L1009" s="4" t="s">
        <v>901</v>
      </c>
      <c r="M1009" t="s">
        <v>34</v>
      </c>
      <c r="N1009" s="6">
        <v>52263</v>
      </c>
      <c r="O1009">
        <v>4.7619047620000003</v>
      </c>
      <c r="P1009" s="6">
        <v>2613.15</v>
      </c>
      <c r="Q1009">
        <v>4.3</v>
      </c>
      <c r="R1009" s="6">
        <f>RawSales[[#This Row],[Unit price]]*RawSales[[#This Row],[Quantity]]</f>
        <v>52263</v>
      </c>
      <c r="S1009" s="6">
        <f>RawSales[[#This Row],[Subtotal]]*$B$1</f>
        <v>2613.15</v>
      </c>
      <c r="T1009" s="6" t="b">
        <f>ROUND(RawSales[[#This Row],[Subtotal]],2)=ROUND(RawSales[[#This Row],[cogs]],2)</f>
        <v>1</v>
      </c>
      <c r="U1009" s="6" t="b">
        <f>ROUND(RawSales[[#This Row],[cogs]]*0.05,2)=ROUND(RawSales[[#This Row],[Tax 5%]],2)</f>
        <v>1</v>
      </c>
      <c r="V1009" s="6" t="b">
        <f>ROUND(RawSales[[#This Row],[cogs]]+RawSales[[#This Row],[Tax 5%]],2)=ROUND(RawSales[[#This Row],[Sales]],2)</f>
        <v>1</v>
      </c>
    </row>
    <row r="1010" spans="1:22" x14ac:dyDescent="0.35">
      <c r="A1010" s="4" t="s">
        <v>1570</v>
      </c>
      <c r="B1010" t="s">
        <v>38</v>
      </c>
      <c r="C1010" t="s">
        <v>39</v>
      </c>
      <c r="D1010" t="s">
        <v>30</v>
      </c>
      <c r="E1010" t="s">
        <v>23</v>
      </c>
      <c r="F1010" t="s">
        <v>40</v>
      </c>
      <c r="G1010" s="6">
        <v>5613</v>
      </c>
      <c r="H1010" s="7">
        <v>4</v>
      </c>
      <c r="I1010" s="6">
        <v>1122.5999999999999</v>
      </c>
      <c r="J1010" s="6">
        <v>23574.6</v>
      </c>
      <c r="K1010" s="5">
        <v>43483.958333333336</v>
      </c>
      <c r="L1010" s="4" t="s">
        <v>1205</v>
      </c>
      <c r="M1010" t="s">
        <v>34</v>
      </c>
      <c r="N1010" s="6">
        <v>22452</v>
      </c>
      <c r="O1010">
        <v>4.7619047620000003</v>
      </c>
      <c r="P1010" s="6">
        <v>1122.5999999999999</v>
      </c>
      <c r="Q1010">
        <v>8.6</v>
      </c>
      <c r="R1010" s="6">
        <f>RawSales[[#This Row],[Unit price]]*RawSales[[#This Row],[Quantity]]</f>
        <v>22452</v>
      </c>
      <c r="S1010" s="6">
        <f>RawSales[[#This Row],[Subtotal]]*$B$1</f>
        <v>1122.6000000000001</v>
      </c>
      <c r="T1010" s="6" t="b">
        <f>ROUND(RawSales[[#This Row],[Subtotal]],2)=ROUND(RawSales[[#This Row],[cogs]],2)</f>
        <v>1</v>
      </c>
      <c r="U1010" s="6" t="b">
        <f>ROUND(RawSales[[#This Row],[cogs]]*0.05,2)=ROUND(RawSales[[#This Row],[Tax 5%]],2)</f>
        <v>1</v>
      </c>
      <c r="V1010" s="6" t="b">
        <f>ROUND(RawSales[[#This Row],[cogs]]+RawSales[[#This Row],[Tax 5%]],2)=ROUND(RawSales[[#This Row],[Sales]],2)</f>
        <v>1</v>
      </c>
    </row>
    <row r="1011" spans="1:22" x14ac:dyDescent="0.35">
      <c r="A1011" s="4" t="s">
        <v>1571</v>
      </c>
      <c r="B1011" t="s">
        <v>28</v>
      </c>
      <c r="C1011" t="s">
        <v>29</v>
      </c>
      <c r="D1011" t="s">
        <v>22</v>
      </c>
      <c r="E1011" t="s">
        <v>31</v>
      </c>
      <c r="F1011" t="s">
        <v>32</v>
      </c>
      <c r="G1011" s="6">
        <v>1777</v>
      </c>
      <c r="H1011" s="7">
        <v>5</v>
      </c>
      <c r="I1011" s="6">
        <v>444.25</v>
      </c>
      <c r="J1011" s="6">
        <v>9329.25</v>
      </c>
      <c r="K1011" s="5">
        <v>43510.958333333336</v>
      </c>
      <c r="L1011" s="4" t="s">
        <v>433</v>
      </c>
      <c r="M1011" t="s">
        <v>51</v>
      </c>
      <c r="N1011" s="6">
        <v>8885</v>
      </c>
      <c r="O1011">
        <v>4.7619047620000003</v>
      </c>
      <c r="P1011" s="6">
        <v>444.25</v>
      </c>
      <c r="Q1011">
        <v>5.4</v>
      </c>
      <c r="R1011" s="6">
        <f>RawSales[[#This Row],[Unit price]]*RawSales[[#This Row],[Quantity]]</f>
        <v>8885</v>
      </c>
      <c r="S1011" s="6">
        <f>RawSales[[#This Row],[Subtotal]]*$B$1</f>
        <v>444.25</v>
      </c>
      <c r="T1011" s="6" t="b">
        <f>ROUND(RawSales[[#This Row],[Subtotal]],2)=ROUND(RawSales[[#This Row],[cogs]],2)</f>
        <v>1</v>
      </c>
      <c r="U1011" s="6" t="b">
        <f>ROUND(RawSales[[#This Row],[cogs]]*0.05,2)=ROUND(RawSales[[#This Row],[Tax 5%]],2)</f>
        <v>1</v>
      </c>
      <c r="V1011" s="6" t="b">
        <f>ROUND(RawSales[[#This Row],[cogs]]+RawSales[[#This Row],[Tax 5%]],2)=ROUND(RawSales[[#This Row],[Sales]],2)</f>
        <v>1</v>
      </c>
    </row>
    <row r="1012" spans="1:22" x14ac:dyDescent="0.35">
      <c r="A1012" s="4" t="s">
        <v>1572</v>
      </c>
      <c r="B1012" t="s">
        <v>38</v>
      </c>
      <c r="C1012" t="s">
        <v>39</v>
      </c>
      <c r="D1012" t="s">
        <v>22</v>
      </c>
      <c r="E1012" t="s">
        <v>31</v>
      </c>
      <c r="F1012" t="s">
        <v>62</v>
      </c>
      <c r="G1012" s="6">
        <v>7192</v>
      </c>
      <c r="H1012" s="7">
        <v>5</v>
      </c>
      <c r="I1012" s="6">
        <v>1798</v>
      </c>
      <c r="J1012" s="6">
        <v>37758</v>
      </c>
      <c r="K1012" s="5">
        <v>43481.958333333336</v>
      </c>
      <c r="L1012" s="4" t="s">
        <v>1104</v>
      </c>
      <c r="M1012" t="s">
        <v>51</v>
      </c>
      <c r="N1012" s="6">
        <v>35960</v>
      </c>
      <c r="O1012">
        <v>4.7619047620000003</v>
      </c>
      <c r="P1012" s="6">
        <v>1798</v>
      </c>
      <c r="Q1012">
        <v>4.3</v>
      </c>
      <c r="R1012" s="6">
        <f>RawSales[[#This Row],[Unit price]]*RawSales[[#This Row],[Quantity]]</f>
        <v>35960</v>
      </c>
      <c r="S1012" s="6">
        <f>RawSales[[#This Row],[Subtotal]]*$B$1</f>
        <v>1798</v>
      </c>
      <c r="T1012" s="6" t="b">
        <f>ROUND(RawSales[[#This Row],[Subtotal]],2)=ROUND(RawSales[[#This Row],[cogs]],2)</f>
        <v>1</v>
      </c>
      <c r="U1012" s="6" t="b">
        <f>ROUND(RawSales[[#This Row],[cogs]]*0.05,2)=ROUND(RawSales[[#This Row],[Tax 5%]],2)</f>
        <v>1</v>
      </c>
      <c r="V1012" s="6" t="b">
        <f>ROUND(RawSales[[#This Row],[cogs]]+RawSales[[#This Row],[Tax 5%]],2)=ROUND(RawSales[[#This Row],[Sales]],2)</f>
        <v>1</v>
      </c>
    </row>
    <row r="1013" spans="1:22" x14ac:dyDescent="0.35">
      <c r="A1013" s="4" t="s">
        <v>1573</v>
      </c>
      <c r="B1013" t="s">
        <v>28</v>
      </c>
      <c r="C1013" t="s">
        <v>29</v>
      </c>
      <c r="D1013" t="s">
        <v>30</v>
      </c>
      <c r="E1013" t="s">
        <v>23</v>
      </c>
      <c r="F1013" t="s">
        <v>49</v>
      </c>
      <c r="G1013" s="6">
        <v>2556</v>
      </c>
      <c r="H1013" s="7">
        <v>7</v>
      </c>
      <c r="I1013" s="6">
        <v>894.6</v>
      </c>
      <c r="J1013" s="6">
        <v>18786.599999999999</v>
      </c>
      <c r="K1013" s="5">
        <v>43497.958333333336</v>
      </c>
      <c r="L1013" s="4" t="s">
        <v>1574</v>
      </c>
      <c r="M1013" t="s">
        <v>26</v>
      </c>
      <c r="N1013" s="6">
        <v>17892</v>
      </c>
      <c r="O1013">
        <v>4.7619047620000003</v>
      </c>
      <c r="P1013" s="6">
        <v>894.6</v>
      </c>
      <c r="Q1013">
        <v>7.1</v>
      </c>
      <c r="R1013" s="6">
        <f>RawSales[[#This Row],[Unit price]]*RawSales[[#This Row],[Quantity]]</f>
        <v>17892</v>
      </c>
      <c r="S1013" s="6">
        <f>RawSales[[#This Row],[Subtotal]]*$B$1</f>
        <v>894.6</v>
      </c>
      <c r="T1013" s="6" t="b">
        <f>ROUND(RawSales[[#This Row],[Subtotal]],2)=ROUND(RawSales[[#This Row],[cogs]],2)</f>
        <v>1</v>
      </c>
      <c r="U1013" s="6" t="b">
        <f>ROUND(RawSales[[#This Row],[cogs]]*0.05,2)=ROUND(RawSales[[#This Row],[Tax 5%]],2)</f>
        <v>1</v>
      </c>
      <c r="V1013" s="6" t="b">
        <f>ROUND(RawSales[[#This Row],[cogs]]+RawSales[[#This Row],[Tax 5%]],2)=ROUND(RawSales[[#This Row],[Sales]],2)</f>
        <v>1</v>
      </c>
    </row>
    <row r="1014" spans="1:22" x14ac:dyDescent="0.35">
      <c r="A1014" s="4" t="s">
        <v>1575</v>
      </c>
      <c r="B1014" t="s">
        <v>20</v>
      </c>
      <c r="C1014" t="s">
        <v>21</v>
      </c>
      <c r="D1014" t="s">
        <v>22</v>
      </c>
      <c r="E1014" t="s">
        <v>31</v>
      </c>
      <c r="F1014" t="s">
        <v>49</v>
      </c>
      <c r="G1014" s="6">
        <v>5604</v>
      </c>
      <c r="H1014" s="7">
        <v>10</v>
      </c>
      <c r="I1014" s="6">
        <v>2802</v>
      </c>
      <c r="J1014" s="6">
        <v>58842</v>
      </c>
      <c r="K1014" s="5">
        <v>43478.958333333336</v>
      </c>
      <c r="L1014" s="4" t="s">
        <v>312</v>
      </c>
      <c r="M1014" t="s">
        <v>34</v>
      </c>
      <c r="N1014" s="6">
        <v>56040</v>
      </c>
      <c r="O1014">
        <v>4.7619047620000003</v>
      </c>
      <c r="P1014" s="6">
        <v>2802</v>
      </c>
      <c r="Q1014">
        <v>4.4000000000000004</v>
      </c>
      <c r="R1014" s="6">
        <f>RawSales[[#This Row],[Unit price]]*RawSales[[#This Row],[Quantity]]</f>
        <v>56040</v>
      </c>
      <c r="S1014" s="6">
        <f>RawSales[[#This Row],[Subtotal]]*$B$1</f>
        <v>2802</v>
      </c>
      <c r="T1014" s="6" t="b">
        <f>ROUND(RawSales[[#This Row],[Subtotal]],2)=ROUND(RawSales[[#This Row],[cogs]],2)</f>
        <v>1</v>
      </c>
      <c r="U1014" s="6" t="b">
        <f>ROUND(RawSales[[#This Row],[cogs]]*0.05,2)=ROUND(RawSales[[#This Row],[Tax 5%]],2)</f>
        <v>1</v>
      </c>
      <c r="V1014" s="6" t="b">
        <f>ROUND(RawSales[[#This Row],[cogs]]+RawSales[[#This Row],[Tax 5%]],2)=ROUND(RawSales[[#This Row],[Sales]],2)</f>
        <v>1</v>
      </c>
    </row>
    <row r="1015" spans="1:22" x14ac:dyDescent="0.35">
      <c r="A1015" s="4" t="s">
        <v>1576</v>
      </c>
      <c r="B1015" t="s">
        <v>28</v>
      </c>
      <c r="C1015" t="s">
        <v>29</v>
      </c>
      <c r="D1015" t="s">
        <v>22</v>
      </c>
      <c r="E1015" t="s">
        <v>31</v>
      </c>
      <c r="F1015" t="s">
        <v>49</v>
      </c>
      <c r="G1015" s="6">
        <v>9135</v>
      </c>
      <c r="H1015" s="7">
        <v>1</v>
      </c>
      <c r="I1015" s="6">
        <v>456.75</v>
      </c>
      <c r="J1015" s="6">
        <v>9591.75</v>
      </c>
      <c r="K1015" s="5">
        <v>43511.958333333336</v>
      </c>
      <c r="L1015" s="4" t="s">
        <v>404</v>
      </c>
      <c r="M1015" t="s">
        <v>26</v>
      </c>
      <c r="N1015" s="6">
        <v>9135</v>
      </c>
      <c r="O1015">
        <v>4.7619047620000003</v>
      </c>
      <c r="P1015" s="6">
        <v>456.75</v>
      </c>
      <c r="Q1015">
        <v>6.8</v>
      </c>
      <c r="R1015" s="6">
        <f>RawSales[[#This Row],[Unit price]]*RawSales[[#This Row],[Quantity]]</f>
        <v>9135</v>
      </c>
      <c r="S1015" s="6">
        <f>RawSales[[#This Row],[Subtotal]]*$B$1</f>
        <v>456.75</v>
      </c>
      <c r="T1015" s="6" t="b">
        <f>ROUND(RawSales[[#This Row],[Subtotal]],2)=ROUND(RawSales[[#This Row],[cogs]],2)</f>
        <v>1</v>
      </c>
      <c r="U1015" s="6" t="b">
        <f>ROUND(RawSales[[#This Row],[cogs]]*0.05,2)=ROUND(RawSales[[#This Row],[Tax 5%]],2)</f>
        <v>1</v>
      </c>
      <c r="V1015" s="6" t="b">
        <f>ROUND(RawSales[[#This Row],[cogs]]+RawSales[[#This Row],[Tax 5%]],2)=ROUND(RawSales[[#This Row],[Sales]],2)</f>
        <v>1</v>
      </c>
    </row>
    <row r="1016" spans="1:22" x14ac:dyDescent="0.35">
      <c r="A1016" s="4" t="s">
        <v>776</v>
      </c>
      <c r="B1016" t="s">
        <v>28</v>
      </c>
      <c r="C1016" t="s">
        <v>29</v>
      </c>
      <c r="D1016" t="s">
        <v>30</v>
      </c>
      <c r="E1016" t="s">
        <v>31</v>
      </c>
      <c r="F1016" t="s">
        <v>62</v>
      </c>
      <c r="G1016" s="6">
        <v>2187</v>
      </c>
      <c r="H1016" s="7">
        <v>2</v>
      </c>
      <c r="I1016" s="6">
        <v>218.7</v>
      </c>
      <c r="J1016" s="6">
        <v>4592.7</v>
      </c>
      <c r="K1016" s="5">
        <v>43489.958333333336</v>
      </c>
      <c r="L1016" s="4" t="s">
        <v>777</v>
      </c>
      <c r="M1016" t="s">
        <v>34</v>
      </c>
      <c r="N1016" s="6">
        <v>4374</v>
      </c>
      <c r="O1016">
        <v>4.7619047620000003</v>
      </c>
      <c r="P1016" s="6">
        <v>218.7</v>
      </c>
      <c r="Q1016">
        <v>6.9</v>
      </c>
      <c r="R1016" s="6">
        <f>RawSales[[#This Row],[Unit price]]*RawSales[[#This Row],[Quantity]]</f>
        <v>4374</v>
      </c>
      <c r="S1016" s="6">
        <f>RawSales[[#This Row],[Subtotal]]*$B$1</f>
        <v>218.70000000000002</v>
      </c>
      <c r="T1016" s="6" t="b">
        <f>ROUND(RawSales[[#This Row],[Subtotal]],2)=ROUND(RawSales[[#This Row],[cogs]],2)</f>
        <v>1</v>
      </c>
      <c r="U1016" s="6" t="b">
        <f>ROUND(RawSales[[#This Row],[cogs]]*0.05,2)=ROUND(RawSales[[#This Row],[Tax 5%]],2)</f>
        <v>1</v>
      </c>
      <c r="V1016" s="6" t="b">
        <f>ROUND(RawSales[[#This Row],[cogs]]+RawSales[[#This Row],[Tax 5%]],2)=ROUND(RawSales[[#This Row],[Sales]],2)</f>
        <v>1</v>
      </c>
    </row>
    <row r="1017" spans="1:22" x14ac:dyDescent="0.35">
      <c r="A1017" s="4" t="s">
        <v>1577</v>
      </c>
      <c r="B1017" t="s">
        <v>38</v>
      </c>
      <c r="C1017" t="s">
        <v>39</v>
      </c>
      <c r="D1017" t="s">
        <v>30</v>
      </c>
      <c r="E1017" t="s">
        <v>23</v>
      </c>
      <c r="F1017" t="s">
        <v>32</v>
      </c>
      <c r="G1017" s="6">
        <v>1580</v>
      </c>
      <c r="H1017" s="7">
        <v>10</v>
      </c>
      <c r="I1017" s="6">
        <v>790</v>
      </c>
      <c r="J1017" s="6">
        <v>16590</v>
      </c>
      <c r="K1017" s="5">
        <v>43473.958333333336</v>
      </c>
      <c r="L1017" s="4" t="s">
        <v>190</v>
      </c>
      <c r="M1017" t="s">
        <v>26</v>
      </c>
      <c r="N1017" s="6">
        <v>15800</v>
      </c>
      <c r="O1017">
        <v>4.7619047620000003</v>
      </c>
      <c r="P1017" s="6">
        <v>790</v>
      </c>
      <c r="Q1017">
        <v>7.8</v>
      </c>
      <c r="R1017" s="6">
        <f>RawSales[[#This Row],[Unit price]]*RawSales[[#This Row],[Quantity]]</f>
        <v>15800</v>
      </c>
      <c r="S1017" s="6">
        <f>RawSales[[#This Row],[Subtotal]]*$B$1</f>
        <v>790</v>
      </c>
      <c r="T1017" s="6" t="b">
        <f>ROUND(RawSales[[#This Row],[Subtotal]],2)=ROUND(RawSales[[#This Row],[cogs]],2)</f>
        <v>1</v>
      </c>
      <c r="U1017" s="6" t="b">
        <f>ROUND(RawSales[[#This Row],[cogs]]*0.05,2)=ROUND(RawSales[[#This Row],[Tax 5%]],2)</f>
        <v>1</v>
      </c>
      <c r="V1017" s="6" t="b">
        <f>ROUND(RawSales[[#This Row],[cogs]]+RawSales[[#This Row],[Tax 5%]],2)=ROUND(RawSales[[#This Row],[Sales]],2)</f>
        <v>1</v>
      </c>
    </row>
    <row r="1018" spans="1:22" x14ac:dyDescent="0.35">
      <c r="A1018" s="4" t="s">
        <v>1578</v>
      </c>
      <c r="B1018" t="s">
        <v>20</v>
      </c>
      <c r="C1018" t="s">
        <v>21</v>
      </c>
      <c r="D1018" t="s">
        <v>22</v>
      </c>
      <c r="E1018" t="s">
        <v>31</v>
      </c>
      <c r="F1018" t="s">
        <v>32</v>
      </c>
      <c r="G1018" s="6">
        <v>3769</v>
      </c>
      <c r="H1018" s="7">
        <v>2</v>
      </c>
      <c r="I1018" s="6">
        <v>376.9</v>
      </c>
      <c r="J1018" s="6">
        <v>7914.9</v>
      </c>
      <c r="K1018" s="5">
        <v>43515.958333333336</v>
      </c>
      <c r="L1018" s="4" t="s">
        <v>245</v>
      </c>
      <c r="M1018" t="s">
        <v>34</v>
      </c>
      <c r="N1018" s="6">
        <v>7538</v>
      </c>
      <c r="O1018">
        <v>4.7619047620000003</v>
      </c>
      <c r="P1018" s="6">
        <v>376.9</v>
      </c>
      <c r="Q1018">
        <v>9.5</v>
      </c>
      <c r="R1018" s="6">
        <f>RawSales[[#This Row],[Unit price]]*RawSales[[#This Row],[Quantity]]</f>
        <v>7538</v>
      </c>
      <c r="S1018" s="6">
        <f>RawSales[[#This Row],[Subtotal]]*$B$1</f>
        <v>376.90000000000003</v>
      </c>
      <c r="T1018" s="6" t="b">
        <f>ROUND(RawSales[[#This Row],[Subtotal]],2)=ROUND(RawSales[[#This Row],[cogs]],2)</f>
        <v>1</v>
      </c>
      <c r="U1018" s="6" t="b">
        <f>ROUND(RawSales[[#This Row],[cogs]]*0.05,2)=ROUND(RawSales[[#This Row],[Tax 5%]],2)</f>
        <v>1</v>
      </c>
      <c r="V1018" s="6" t="b">
        <f>ROUND(RawSales[[#This Row],[cogs]]+RawSales[[#This Row],[Tax 5%]],2)=ROUND(RawSales[[#This Row],[Sales]],2)</f>
        <v>1</v>
      </c>
    </row>
    <row r="1019" spans="1:22" x14ac:dyDescent="0.35">
      <c r="A1019" s="4" t="s">
        <v>1186</v>
      </c>
      <c r="B1019" t="s">
        <v>38</v>
      </c>
      <c r="C1019" t="s">
        <v>39</v>
      </c>
      <c r="D1019" t="s">
        <v>30</v>
      </c>
      <c r="E1019" t="s">
        <v>31</v>
      </c>
      <c r="F1019" t="s">
        <v>32</v>
      </c>
      <c r="G1019" s="6">
        <v>5561</v>
      </c>
      <c r="H1019" s="7">
        <v>7</v>
      </c>
      <c r="I1019" s="6">
        <v>1946.35</v>
      </c>
      <c r="J1019" s="6">
        <v>40873.35</v>
      </c>
      <c r="K1019" s="5">
        <v>43546.958333333336</v>
      </c>
      <c r="L1019" s="4" t="s">
        <v>1187</v>
      </c>
      <c r="M1019" t="s">
        <v>26</v>
      </c>
      <c r="N1019" s="6">
        <v>38927</v>
      </c>
      <c r="O1019">
        <v>4.7619047620000003</v>
      </c>
      <c r="P1019" s="6">
        <v>1946.35</v>
      </c>
      <c r="Q1019">
        <v>8.5</v>
      </c>
      <c r="R1019" s="6">
        <f>RawSales[[#This Row],[Unit price]]*RawSales[[#This Row],[Quantity]]</f>
        <v>38927</v>
      </c>
      <c r="S1019" s="6">
        <f>RawSales[[#This Row],[Subtotal]]*$B$1</f>
        <v>1946.3500000000001</v>
      </c>
      <c r="T1019" s="6" t="b">
        <f>ROUND(RawSales[[#This Row],[Subtotal]],2)=ROUND(RawSales[[#This Row],[cogs]],2)</f>
        <v>1</v>
      </c>
      <c r="U1019" s="6" t="b">
        <f>ROUND(RawSales[[#This Row],[cogs]]*0.05,2)=ROUND(RawSales[[#This Row],[Tax 5%]],2)</f>
        <v>1</v>
      </c>
      <c r="V1019" s="6" t="b">
        <f>ROUND(RawSales[[#This Row],[cogs]]+RawSales[[#This Row],[Tax 5%]],2)=ROUND(RawSales[[#This Row],[Sales]],2)</f>
        <v>1</v>
      </c>
    </row>
    <row r="1020" spans="1:22" x14ac:dyDescent="0.35">
      <c r="A1020" s="4" t="s">
        <v>1579</v>
      </c>
      <c r="B1020" t="s">
        <v>20</v>
      </c>
      <c r="C1020" t="s">
        <v>21</v>
      </c>
      <c r="D1020" t="s">
        <v>22</v>
      </c>
      <c r="E1020" t="s">
        <v>23</v>
      </c>
      <c r="F1020" t="s">
        <v>43</v>
      </c>
      <c r="G1020" s="6">
        <v>3626</v>
      </c>
      <c r="H1020" s="7">
        <v>2</v>
      </c>
      <c r="I1020" s="6">
        <v>362.6</v>
      </c>
      <c r="J1020" s="6">
        <v>7614.6</v>
      </c>
      <c r="K1020" s="5">
        <v>43474.958333333336</v>
      </c>
      <c r="L1020" s="4" t="s">
        <v>318</v>
      </c>
      <c r="M1020" t="s">
        <v>51</v>
      </c>
      <c r="N1020" s="6">
        <v>7252</v>
      </c>
      <c r="O1020">
        <v>4.7619047620000003</v>
      </c>
      <c r="P1020" s="6">
        <v>362.6</v>
      </c>
      <c r="Q1020">
        <v>7.2</v>
      </c>
      <c r="R1020" s="6">
        <f>RawSales[[#This Row],[Unit price]]*RawSales[[#This Row],[Quantity]]</f>
        <v>7252</v>
      </c>
      <c r="S1020" s="6">
        <f>RawSales[[#This Row],[Subtotal]]*$B$1</f>
        <v>362.6</v>
      </c>
      <c r="T1020" s="6" t="b">
        <f>ROUND(RawSales[[#This Row],[Subtotal]],2)=ROUND(RawSales[[#This Row],[cogs]],2)</f>
        <v>1</v>
      </c>
      <c r="U1020" s="6" t="b">
        <f>ROUND(RawSales[[#This Row],[cogs]]*0.05,2)=ROUND(RawSales[[#This Row],[Tax 5%]],2)</f>
        <v>1</v>
      </c>
      <c r="V1020" s="6" t="b">
        <f>ROUND(RawSales[[#This Row],[cogs]]+RawSales[[#This Row],[Tax 5%]],2)=ROUND(RawSales[[#This Row],[Sales]],2)</f>
        <v>1</v>
      </c>
    </row>
    <row r="1021" spans="1:22" x14ac:dyDescent="0.35">
      <c r="A1021" s="4" t="s">
        <v>1580</v>
      </c>
      <c r="B1021" t="s">
        <v>38</v>
      </c>
      <c r="C1021" t="s">
        <v>39</v>
      </c>
      <c r="D1021" t="s">
        <v>22</v>
      </c>
      <c r="E1021" t="s">
        <v>23</v>
      </c>
      <c r="F1021" t="s">
        <v>40</v>
      </c>
      <c r="G1021" s="6">
        <v>7591</v>
      </c>
      <c r="H1021" s="7">
        <v>6</v>
      </c>
      <c r="I1021" s="6">
        <v>2277.3000000000002</v>
      </c>
      <c r="J1021" s="6">
        <v>47823.3</v>
      </c>
      <c r="K1021" s="5">
        <v>43532.958333333336</v>
      </c>
      <c r="L1021" s="4" t="s">
        <v>1581</v>
      </c>
      <c r="M1021" t="s">
        <v>26</v>
      </c>
      <c r="N1021" s="6">
        <v>45546</v>
      </c>
      <c r="O1021">
        <v>4.7619047620000003</v>
      </c>
      <c r="P1021" s="6">
        <v>2277.3000000000002</v>
      </c>
      <c r="Q1021">
        <v>8.6999999999999993</v>
      </c>
      <c r="R1021" s="6">
        <f>RawSales[[#This Row],[Unit price]]*RawSales[[#This Row],[Quantity]]</f>
        <v>45546</v>
      </c>
      <c r="S1021" s="6">
        <f>RawSales[[#This Row],[Subtotal]]*$B$1</f>
        <v>2277.3000000000002</v>
      </c>
      <c r="T1021" s="6" t="b">
        <f>ROUND(RawSales[[#This Row],[Subtotal]],2)=ROUND(RawSales[[#This Row],[cogs]],2)</f>
        <v>1</v>
      </c>
      <c r="U1021" s="6" t="b">
        <f>ROUND(RawSales[[#This Row],[cogs]]*0.05,2)=ROUND(RawSales[[#This Row],[Tax 5%]],2)</f>
        <v>1</v>
      </c>
      <c r="V1021" s="6" t="b">
        <f>ROUND(RawSales[[#This Row],[cogs]]+RawSales[[#This Row],[Tax 5%]],2)=ROUND(RawSales[[#This Row],[Sales]],2)</f>
        <v>1</v>
      </c>
    </row>
    <row r="1022" spans="1:22" x14ac:dyDescent="0.35">
      <c r="A1022" s="4" t="s">
        <v>1582</v>
      </c>
      <c r="B1022" t="s">
        <v>38</v>
      </c>
      <c r="C1022" t="s">
        <v>39</v>
      </c>
      <c r="D1022" t="s">
        <v>30</v>
      </c>
      <c r="E1022" t="s">
        <v>23</v>
      </c>
      <c r="F1022" t="s">
        <v>24</v>
      </c>
      <c r="G1022" s="6">
        <v>3943</v>
      </c>
      <c r="H1022" s="7">
        <v>6</v>
      </c>
      <c r="I1022" s="6">
        <v>1182.9000000000001</v>
      </c>
      <c r="J1022" s="6">
        <v>24840.9</v>
      </c>
      <c r="K1022" s="5">
        <v>43548.958333333336</v>
      </c>
      <c r="L1022" s="4" t="s">
        <v>425</v>
      </c>
      <c r="M1022" t="s">
        <v>51</v>
      </c>
      <c r="N1022" s="6">
        <v>23658</v>
      </c>
      <c r="O1022">
        <v>4.7619047620000003</v>
      </c>
      <c r="P1022" s="6">
        <v>1182.9000000000001</v>
      </c>
      <c r="Q1022">
        <v>9.4</v>
      </c>
      <c r="R1022" s="6">
        <f>RawSales[[#This Row],[Unit price]]*RawSales[[#This Row],[Quantity]]</f>
        <v>23658</v>
      </c>
      <c r="S1022" s="6">
        <f>RawSales[[#This Row],[Subtotal]]*$B$1</f>
        <v>1182.9000000000001</v>
      </c>
      <c r="T1022" s="6" t="b">
        <f>ROUND(RawSales[[#This Row],[Subtotal]],2)=ROUND(RawSales[[#This Row],[cogs]],2)</f>
        <v>1</v>
      </c>
      <c r="U1022" s="6" t="b">
        <f>ROUND(RawSales[[#This Row],[cogs]]*0.05,2)=ROUND(RawSales[[#This Row],[Tax 5%]],2)</f>
        <v>1</v>
      </c>
      <c r="V1022" s="6" t="b">
        <f>ROUND(RawSales[[#This Row],[cogs]]+RawSales[[#This Row],[Tax 5%]],2)=ROUND(RawSales[[#This Row],[Sales]],2)</f>
        <v>1</v>
      </c>
    </row>
    <row r="1023" spans="1:22" x14ac:dyDescent="0.35">
      <c r="A1023" s="4" t="s">
        <v>1583</v>
      </c>
      <c r="B1023" t="s">
        <v>20</v>
      </c>
      <c r="C1023" t="s">
        <v>21</v>
      </c>
      <c r="D1023" t="s">
        <v>22</v>
      </c>
      <c r="E1023" t="s">
        <v>23</v>
      </c>
      <c r="F1023" t="s">
        <v>24</v>
      </c>
      <c r="G1023" s="6">
        <v>1096</v>
      </c>
      <c r="H1023" s="7">
        <v>10</v>
      </c>
      <c r="I1023" s="6">
        <v>548</v>
      </c>
      <c r="J1023" s="6">
        <v>11508</v>
      </c>
      <c r="K1023" s="5">
        <v>43497.958333333336</v>
      </c>
      <c r="L1023" s="4" t="s">
        <v>1378</v>
      </c>
      <c r="M1023" t="s">
        <v>34</v>
      </c>
      <c r="N1023" s="6">
        <v>10960</v>
      </c>
      <c r="O1023">
        <v>4.7619047620000003</v>
      </c>
      <c r="P1023" s="6">
        <v>548</v>
      </c>
      <c r="Q1023">
        <v>6</v>
      </c>
      <c r="R1023" s="6">
        <f>RawSales[[#This Row],[Unit price]]*RawSales[[#This Row],[Quantity]]</f>
        <v>10960</v>
      </c>
      <c r="S1023" s="6">
        <f>RawSales[[#This Row],[Subtotal]]*$B$1</f>
        <v>548</v>
      </c>
      <c r="T1023" s="6" t="b">
        <f>ROUND(RawSales[[#This Row],[Subtotal]],2)=ROUND(RawSales[[#This Row],[cogs]],2)</f>
        <v>1</v>
      </c>
      <c r="U1023" s="6" t="b">
        <f>ROUND(RawSales[[#This Row],[cogs]]*0.05,2)=ROUND(RawSales[[#This Row],[Tax 5%]],2)</f>
        <v>1</v>
      </c>
      <c r="V1023" s="6" t="b">
        <f>ROUND(RawSales[[#This Row],[cogs]]+RawSales[[#This Row],[Tax 5%]],2)=ROUND(RawSales[[#This Row],[Sales]],2)</f>
        <v>1</v>
      </c>
    </row>
    <row r="1024" spans="1:22" x14ac:dyDescent="0.35">
      <c r="A1024" s="4" t="s">
        <v>1584</v>
      </c>
      <c r="B1024" t="s">
        <v>20</v>
      </c>
      <c r="C1024" t="s">
        <v>21</v>
      </c>
      <c r="D1024" t="s">
        <v>30</v>
      </c>
      <c r="E1024" t="s">
        <v>31</v>
      </c>
      <c r="F1024" t="s">
        <v>32</v>
      </c>
      <c r="G1024" s="6">
        <v>6582</v>
      </c>
      <c r="H1024" s="7">
        <v>1</v>
      </c>
      <c r="I1024" s="6">
        <v>329.1</v>
      </c>
      <c r="J1024" s="6">
        <v>6911.1</v>
      </c>
      <c r="K1024" s="5">
        <v>43517.958333333336</v>
      </c>
      <c r="L1024" s="4" t="s">
        <v>806</v>
      </c>
      <c r="M1024" t="s">
        <v>26</v>
      </c>
      <c r="N1024" s="6">
        <v>6582</v>
      </c>
      <c r="O1024">
        <v>4.7619047620000003</v>
      </c>
      <c r="P1024" s="6">
        <v>329.1</v>
      </c>
      <c r="Q1024">
        <v>4.0999999999999996</v>
      </c>
      <c r="R1024" s="6">
        <f>RawSales[[#This Row],[Unit price]]*RawSales[[#This Row],[Quantity]]</f>
        <v>6582</v>
      </c>
      <c r="S1024" s="6">
        <f>RawSales[[#This Row],[Subtotal]]*$B$1</f>
        <v>329.1</v>
      </c>
      <c r="T1024" s="6" t="b">
        <f>ROUND(RawSales[[#This Row],[Subtotal]],2)=ROUND(RawSales[[#This Row],[cogs]],2)</f>
        <v>1</v>
      </c>
      <c r="U1024" s="6" t="b">
        <f>ROUND(RawSales[[#This Row],[cogs]]*0.05,2)=ROUND(RawSales[[#This Row],[Tax 5%]],2)</f>
        <v>1</v>
      </c>
      <c r="V1024" s="6" t="b">
        <f>ROUND(RawSales[[#This Row],[cogs]]+RawSales[[#This Row],[Tax 5%]],2)=ROUND(RawSales[[#This Row],[Sales]],2)</f>
        <v>1</v>
      </c>
    </row>
    <row r="1025" spans="1:22" x14ac:dyDescent="0.35">
      <c r="A1025" s="4" t="s">
        <v>1585</v>
      </c>
      <c r="B1025" t="s">
        <v>28</v>
      </c>
      <c r="C1025" t="s">
        <v>29</v>
      </c>
      <c r="D1025" t="s">
        <v>30</v>
      </c>
      <c r="E1025" t="s">
        <v>31</v>
      </c>
      <c r="F1025" t="s">
        <v>24</v>
      </c>
      <c r="G1025" s="6">
        <v>3232</v>
      </c>
      <c r="H1025" s="7">
        <v>3</v>
      </c>
      <c r="I1025" s="6">
        <v>484.8</v>
      </c>
      <c r="J1025" s="6">
        <v>10180.799999999999</v>
      </c>
      <c r="K1025" s="5">
        <v>43550.958333333336</v>
      </c>
      <c r="L1025" s="4" t="s">
        <v>1280</v>
      </c>
      <c r="M1025" t="s">
        <v>51</v>
      </c>
      <c r="N1025" s="6">
        <v>9696</v>
      </c>
      <c r="O1025">
        <v>4.7619047620000003</v>
      </c>
      <c r="P1025" s="6">
        <v>484.8</v>
      </c>
      <c r="Q1025">
        <v>4.3</v>
      </c>
      <c r="R1025" s="6">
        <f>RawSales[[#This Row],[Unit price]]*RawSales[[#This Row],[Quantity]]</f>
        <v>9696</v>
      </c>
      <c r="S1025" s="6">
        <f>RawSales[[#This Row],[Subtotal]]*$B$1</f>
        <v>484.8</v>
      </c>
      <c r="T1025" s="6" t="b">
        <f>ROUND(RawSales[[#This Row],[Subtotal]],2)=ROUND(RawSales[[#This Row],[cogs]],2)</f>
        <v>1</v>
      </c>
      <c r="U1025" s="6" t="b">
        <f>ROUND(RawSales[[#This Row],[cogs]]*0.05,2)=ROUND(RawSales[[#This Row],[Tax 5%]],2)</f>
        <v>1</v>
      </c>
      <c r="V1025" s="6" t="b">
        <f>ROUND(RawSales[[#This Row],[cogs]]+RawSales[[#This Row],[Tax 5%]],2)=ROUND(RawSales[[#This Row],[Sales]],2)</f>
        <v>1</v>
      </c>
    </row>
    <row r="1026" spans="1:22" x14ac:dyDescent="0.35">
      <c r="A1026" s="4" t="s">
        <v>189</v>
      </c>
      <c r="B1026" t="s">
        <v>20</v>
      </c>
      <c r="C1026" t="s">
        <v>21</v>
      </c>
      <c r="D1026" t="s">
        <v>30</v>
      </c>
      <c r="E1026" t="s">
        <v>31</v>
      </c>
      <c r="F1026" t="s">
        <v>40</v>
      </c>
      <c r="G1026" s="6">
        <v>9955</v>
      </c>
      <c r="H1026" s="7">
        <v>7</v>
      </c>
      <c r="I1026" s="6">
        <v>3484.25</v>
      </c>
      <c r="J1026" s="6">
        <v>73169.25</v>
      </c>
      <c r="K1026" s="5">
        <v>43537.958333333336</v>
      </c>
      <c r="L1026" s="4" t="s">
        <v>190</v>
      </c>
      <c r="M1026" t="s">
        <v>26</v>
      </c>
      <c r="N1026" s="6">
        <v>69685</v>
      </c>
      <c r="O1026">
        <v>4.7619047620000003</v>
      </c>
      <c r="P1026" s="6">
        <v>3484.25</v>
      </c>
      <c r="Q1026">
        <v>7.6</v>
      </c>
      <c r="R1026" s="6">
        <f>RawSales[[#This Row],[Unit price]]*RawSales[[#This Row],[Quantity]]</f>
        <v>69685</v>
      </c>
      <c r="S1026" s="6">
        <f>RawSales[[#This Row],[Subtotal]]*$B$1</f>
        <v>3484.25</v>
      </c>
      <c r="T1026" s="6" t="b">
        <f>ROUND(RawSales[[#This Row],[Subtotal]],2)=ROUND(RawSales[[#This Row],[cogs]],2)</f>
        <v>1</v>
      </c>
      <c r="U1026" s="6" t="b">
        <f>ROUND(RawSales[[#This Row],[cogs]]*0.05,2)=ROUND(RawSales[[#This Row],[Tax 5%]],2)</f>
        <v>1</v>
      </c>
      <c r="V1026" s="6" t="b">
        <f>ROUND(RawSales[[#This Row],[cogs]]+RawSales[[#This Row],[Tax 5%]],2)=ROUND(RawSales[[#This Row],[Sales]],2)</f>
        <v>1</v>
      </c>
    </row>
    <row r="1027" spans="1:22" x14ac:dyDescent="0.35">
      <c r="A1027" s="4" t="s">
        <v>1586</v>
      </c>
      <c r="B1027" t="s">
        <v>38</v>
      </c>
      <c r="C1027" t="s">
        <v>39</v>
      </c>
      <c r="D1027" t="s">
        <v>22</v>
      </c>
      <c r="E1027" t="s">
        <v>23</v>
      </c>
      <c r="F1027" t="s">
        <v>40</v>
      </c>
      <c r="G1027" s="6">
        <v>6665</v>
      </c>
      <c r="H1027" s="7">
        <v>9</v>
      </c>
      <c r="I1027" s="6">
        <v>2999.25</v>
      </c>
      <c r="J1027" s="6">
        <v>62984.25</v>
      </c>
      <c r="K1027" s="5">
        <v>43468.958333333336</v>
      </c>
      <c r="L1027" s="4" t="s">
        <v>354</v>
      </c>
      <c r="M1027" t="s">
        <v>51</v>
      </c>
      <c r="N1027" s="6">
        <v>59985</v>
      </c>
      <c r="O1027">
        <v>4.7619047620000003</v>
      </c>
      <c r="P1027" s="6">
        <v>2999.25</v>
      </c>
      <c r="Q1027">
        <v>9.6999999999999993</v>
      </c>
      <c r="R1027" s="6">
        <f>RawSales[[#This Row],[Unit price]]*RawSales[[#This Row],[Quantity]]</f>
        <v>59985</v>
      </c>
      <c r="S1027" s="6">
        <f>RawSales[[#This Row],[Subtotal]]*$B$1</f>
        <v>2999.25</v>
      </c>
      <c r="T1027" s="6" t="b">
        <f>ROUND(RawSales[[#This Row],[Subtotal]],2)=ROUND(RawSales[[#This Row],[cogs]],2)</f>
        <v>1</v>
      </c>
      <c r="U1027" s="6" t="b">
        <f>ROUND(RawSales[[#This Row],[cogs]]*0.05,2)=ROUND(RawSales[[#This Row],[Tax 5%]],2)</f>
        <v>1</v>
      </c>
      <c r="V1027" s="6" t="b">
        <f>ROUND(RawSales[[#This Row],[cogs]]+RawSales[[#This Row],[Tax 5%]],2)=ROUND(RawSales[[#This Row],[Sales]],2)</f>
        <v>1</v>
      </c>
    </row>
    <row r="1028" spans="1:22" x14ac:dyDescent="0.35">
      <c r="A1028" s="4" t="s">
        <v>1587</v>
      </c>
      <c r="B1028" t="s">
        <v>38</v>
      </c>
      <c r="C1028" t="s">
        <v>39</v>
      </c>
      <c r="D1028" t="s">
        <v>22</v>
      </c>
      <c r="E1028" t="s">
        <v>23</v>
      </c>
      <c r="F1028" t="s">
        <v>100</v>
      </c>
      <c r="G1028" s="6">
        <v>6282</v>
      </c>
      <c r="H1028" s="7">
        <v>2</v>
      </c>
      <c r="I1028" s="6">
        <v>628.20000000000005</v>
      </c>
      <c r="J1028" s="6">
        <v>13192.2</v>
      </c>
      <c r="K1028" s="5">
        <v>43481.958333333336</v>
      </c>
      <c r="L1028" s="4" t="s">
        <v>560</v>
      </c>
      <c r="M1028" t="s">
        <v>34</v>
      </c>
      <c r="N1028" s="6">
        <v>12564</v>
      </c>
      <c r="O1028">
        <v>4.7619047620000003</v>
      </c>
      <c r="P1028" s="6">
        <v>628.20000000000005</v>
      </c>
      <c r="Q1028">
        <v>4.9000000000000004</v>
      </c>
      <c r="R1028" s="6">
        <f>RawSales[[#This Row],[Unit price]]*RawSales[[#This Row],[Quantity]]</f>
        <v>12564</v>
      </c>
      <c r="S1028" s="6">
        <f>RawSales[[#This Row],[Subtotal]]*$B$1</f>
        <v>628.20000000000005</v>
      </c>
      <c r="T1028" s="6" t="b">
        <f>ROUND(RawSales[[#This Row],[Subtotal]],2)=ROUND(RawSales[[#This Row],[cogs]],2)</f>
        <v>1</v>
      </c>
      <c r="U1028" s="6" t="b">
        <f>ROUND(RawSales[[#This Row],[cogs]]*0.05,2)=ROUND(RawSales[[#This Row],[Tax 5%]],2)</f>
        <v>1</v>
      </c>
      <c r="V1028" s="6" t="b">
        <f>ROUND(RawSales[[#This Row],[cogs]]+RawSales[[#This Row],[Tax 5%]],2)=ROUND(RawSales[[#This Row],[Sales]],2)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D3A-2972-4269-9B05-46780F1220BB}">
  <dimension ref="A1:C23"/>
  <sheetViews>
    <sheetView workbookViewId="0"/>
  </sheetViews>
  <sheetFormatPr defaultRowHeight="14.5" x14ac:dyDescent="0.35"/>
  <cols>
    <col min="1" max="1" width="77.26953125" bestFit="1" customWidth="1"/>
    <col min="2" max="2" width="16.453125" bestFit="1" customWidth="1"/>
    <col min="3" max="3" width="13.6328125" bestFit="1" customWidth="1"/>
  </cols>
  <sheetData>
    <row r="1" spans="1:3" ht="17" x14ac:dyDescent="0.4">
      <c r="A1" s="8" t="s">
        <v>1593</v>
      </c>
    </row>
    <row r="2" spans="1:3" x14ac:dyDescent="0.35">
      <c r="A2" s="3" t="s">
        <v>1594</v>
      </c>
    </row>
    <row r="4" spans="1:3" x14ac:dyDescent="0.35">
      <c r="A4" s="9" t="s">
        <v>1595</v>
      </c>
      <c r="B4" s="9" t="s">
        <v>1596</v>
      </c>
      <c r="C4" s="9" t="s">
        <v>1597</v>
      </c>
    </row>
    <row r="5" spans="1:3" x14ac:dyDescent="0.35">
      <c r="A5" t="s">
        <v>1598</v>
      </c>
      <c r="B5" s="7">
        <f>COUNTA(RawSales[Invoice ID])</f>
        <v>1025</v>
      </c>
      <c r="C5" s="4" t="s">
        <v>1599</v>
      </c>
    </row>
    <row r="6" spans="1:3" x14ac:dyDescent="0.35">
      <c r="A6" t="s">
        <v>1600</v>
      </c>
      <c r="B6" s="6">
        <f>SUM(RawSales[Subtotal])</f>
        <v>31307024</v>
      </c>
      <c r="C6" s="4" t="s">
        <v>1601</v>
      </c>
    </row>
    <row r="7" spans="1:3" x14ac:dyDescent="0.35">
      <c r="A7" t="s">
        <v>1602</v>
      </c>
      <c r="B7" s="6">
        <f>SUM(RawSales[cogs])</f>
        <v>31577888</v>
      </c>
      <c r="C7" s="4" t="s">
        <v>1603</v>
      </c>
    </row>
    <row r="8" spans="1:3" x14ac:dyDescent="0.35">
      <c r="A8" t="s">
        <v>1604</v>
      </c>
      <c r="B8" s="6">
        <f>SUM(RawSales[cogs])-SUM(RawSales[Subtotal])</f>
        <v>270864</v>
      </c>
      <c r="C8" s="4" t="s">
        <v>1605</v>
      </c>
    </row>
    <row r="9" spans="1:3" x14ac:dyDescent="0.35">
      <c r="A9" t="s">
        <v>1606</v>
      </c>
      <c r="B9" s="6">
        <f>SUM(RawSales[Tax Check])</f>
        <v>1565351.2000000025</v>
      </c>
      <c r="C9" s="4" t="s">
        <v>1607</v>
      </c>
    </row>
    <row r="10" spans="1:3" x14ac:dyDescent="0.35">
      <c r="A10" t="s">
        <v>1608</v>
      </c>
      <c r="B10" s="6">
        <f>SUM(RawSales[Tax 5%])</f>
        <v>1578894.4000000025</v>
      </c>
      <c r="C10" s="4" t="s">
        <v>1609</v>
      </c>
    </row>
    <row r="11" spans="1:3" x14ac:dyDescent="0.35">
      <c r="A11" t="s">
        <v>1610</v>
      </c>
      <c r="B11" s="6">
        <f>SUM(RawSales[Tax 5%])-SUM(RawSales[Tax Check])</f>
        <v>13543.199999999953</v>
      </c>
      <c r="C11" s="4" t="s">
        <v>1611</v>
      </c>
    </row>
    <row r="12" spans="1:3" x14ac:dyDescent="0.35">
      <c r="A12" t="s">
        <v>1612</v>
      </c>
      <c r="B12" s="6">
        <f>SUM(RawSales[Sales])</f>
        <v>33156782.400000058</v>
      </c>
      <c r="C12" s="4" t="s">
        <v>1613</v>
      </c>
    </row>
    <row r="13" spans="1:3" x14ac:dyDescent="0.35">
      <c r="A13" t="s">
        <v>1614</v>
      </c>
      <c r="B13" s="7">
        <f>COUNTIF(RawSales[Arithmetic Check],FALSE)</f>
        <v>5</v>
      </c>
      <c r="C13" s="4" t="s">
        <v>1615</v>
      </c>
    </row>
    <row r="14" spans="1:3" x14ac:dyDescent="0.35">
      <c r="A14" t="s">
        <v>1616</v>
      </c>
      <c r="B14" s="7">
        <f>COUNTIF(RawSales[Arithmetic Check],TRUE)</f>
        <v>1020</v>
      </c>
      <c r="C14" s="4" t="s">
        <v>1617</v>
      </c>
    </row>
    <row r="15" spans="1:3" x14ac:dyDescent="0.35">
      <c r="A15" t="s">
        <v>1618</v>
      </c>
      <c r="B15" s="7">
        <f>COUNTIF(RawSales[Check tax],TRUE)</f>
        <v>1025</v>
      </c>
      <c r="C15" s="4" t="s">
        <v>1599</v>
      </c>
    </row>
    <row r="16" spans="1:3" x14ac:dyDescent="0.35">
      <c r="A16" t="s">
        <v>1619</v>
      </c>
      <c r="B16" s="7">
        <f>COUNTIF(RawSales[Check sales],TRUE)</f>
        <v>1025</v>
      </c>
      <c r="C16" s="4" t="s">
        <v>1599</v>
      </c>
    </row>
    <row r="18" spans="1:1" x14ac:dyDescent="0.35">
      <c r="A18" s="10" t="s">
        <v>1620</v>
      </c>
    </row>
    <row r="19" spans="1:1" x14ac:dyDescent="0.35">
      <c r="A19" s="10" t="s">
        <v>1621</v>
      </c>
    </row>
    <row r="20" spans="1:1" x14ac:dyDescent="0.35">
      <c r="A20" s="10" t="s">
        <v>1622</v>
      </c>
    </row>
    <row r="22" spans="1:1" x14ac:dyDescent="0.35">
      <c r="A22" s="3" t="s">
        <v>1623</v>
      </c>
    </row>
    <row r="23" spans="1:1" x14ac:dyDescent="0.35">
      <c r="A23" s="3" t="s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D74F-14BE-4A77-AD02-56BD7A7F889C}">
  <dimension ref="A1:F21"/>
  <sheetViews>
    <sheetView workbookViewId="0"/>
  </sheetViews>
  <sheetFormatPr defaultRowHeight="14.5" x14ac:dyDescent="0.35"/>
  <cols>
    <col min="1" max="1" width="141.90625" bestFit="1" customWidth="1"/>
    <col min="2" max="2" width="17.81640625" bestFit="1" customWidth="1"/>
    <col min="3" max="3" width="16.54296875" bestFit="1" customWidth="1"/>
    <col min="4" max="4" width="8.1796875" bestFit="1" customWidth="1"/>
    <col min="5" max="5" width="10.08984375" bestFit="1" customWidth="1"/>
    <col min="6" max="6" width="10.7265625" bestFit="1" customWidth="1"/>
  </cols>
  <sheetData>
    <row r="1" spans="1:6" ht="17" x14ac:dyDescent="0.4">
      <c r="A1" s="8" t="s">
        <v>1625</v>
      </c>
    </row>
    <row r="3" spans="1:6" x14ac:dyDescent="0.35">
      <c r="A3" s="10" t="s">
        <v>1626</v>
      </c>
    </row>
    <row r="4" spans="1:6" x14ac:dyDescent="0.35">
      <c r="A4" s="9" t="s">
        <v>2</v>
      </c>
      <c r="B4" s="9" t="s">
        <v>3</v>
      </c>
      <c r="C4" s="9" t="s">
        <v>8</v>
      </c>
      <c r="D4" s="9" t="s">
        <v>9</v>
      </c>
      <c r="E4" s="9" t="s">
        <v>15</v>
      </c>
      <c r="F4" s="9" t="s">
        <v>1588</v>
      </c>
    </row>
    <row r="5" spans="1:6" x14ac:dyDescent="0.35">
      <c r="A5" t="s">
        <v>85</v>
      </c>
      <c r="B5" t="s">
        <v>28</v>
      </c>
      <c r="C5" s="6">
        <v>9338</v>
      </c>
      <c r="D5">
        <v>-1</v>
      </c>
      <c r="E5" s="6">
        <v>9338</v>
      </c>
      <c r="F5" s="6">
        <v>-9338</v>
      </c>
    </row>
    <row r="6" spans="1:6" x14ac:dyDescent="0.35">
      <c r="A6" t="s">
        <v>199</v>
      </c>
      <c r="B6" t="s">
        <v>28</v>
      </c>
      <c r="C6" s="6">
        <v>6591</v>
      </c>
      <c r="D6">
        <v>-6</v>
      </c>
      <c r="E6" s="6">
        <v>39546</v>
      </c>
      <c r="F6" s="6">
        <v>-39546</v>
      </c>
    </row>
    <row r="7" spans="1:6" x14ac:dyDescent="0.35">
      <c r="A7" t="s">
        <v>580</v>
      </c>
      <c r="B7" t="s">
        <v>20</v>
      </c>
      <c r="C7" s="6">
        <v>1932</v>
      </c>
      <c r="D7">
        <v>-7</v>
      </c>
      <c r="E7" s="6">
        <v>13524</v>
      </c>
      <c r="F7" s="6">
        <v>-13524</v>
      </c>
    </row>
    <row r="8" spans="1:6" x14ac:dyDescent="0.35">
      <c r="A8" t="s">
        <v>1454</v>
      </c>
      <c r="B8" t="s">
        <v>20</v>
      </c>
      <c r="C8" s="6">
        <v>3384</v>
      </c>
      <c r="D8">
        <v>-9</v>
      </c>
      <c r="E8" s="6">
        <v>30456</v>
      </c>
      <c r="F8" s="6">
        <v>-30456</v>
      </c>
    </row>
    <row r="9" spans="1:6" x14ac:dyDescent="0.35">
      <c r="A9" t="s">
        <v>1473</v>
      </c>
      <c r="B9" t="s">
        <v>28</v>
      </c>
      <c r="C9" s="6">
        <v>5321</v>
      </c>
      <c r="D9">
        <v>-8</v>
      </c>
      <c r="E9" s="6">
        <v>42568</v>
      </c>
      <c r="F9" s="6">
        <v>-42568</v>
      </c>
    </row>
    <row r="11" spans="1:6" x14ac:dyDescent="0.35">
      <c r="A11" s="10" t="s">
        <v>1627</v>
      </c>
    </row>
    <row r="12" spans="1:6" x14ac:dyDescent="0.35">
      <c r="A12" s="3" t="s">
        <v>1628</v>
      </c>
    </row>
    <row r="14" spans="1:6" x14ac:dyDescent="0.35">
      <c r="A14" s="10" t="s">
        <v>1629</v>
      </c>
    </row>
    <row r="15" spans="1:6" x14ac:dyDescent="0.35">
      <c r="A15" s="9" t="s">
        <v>1630</v>
      </c>
      <c r="B15" s="9" t="s">
        <v>1631</v>
      </c>
      <c r="C15" s="9" t="s">
        <v>1632</v>
      </c>
    </row>
    <row r="16" spans="1:6" x14ac:dyDescent="0.35">
      <c r="A16" t="s">
        <v>1633</v>
      </c>
      <c r="B16" s="7">
        <f>COUNTIF(RawSales[Check sales],TRUE)</f>
        <v>1025</v>
      </c>
      <c r="C16">
        <f>COUNTIF(RawSales[Check sales],FALSE)</f>
        <v>0</v>
      </c>
    </row>
    <row r="17" spans="1:3" x14ac:dyDescent="0.35">
      <c r="A17" t="s">
        <v>1634</v>
      </c>
      <c r="B17" s="7">
        <f>COUNTIF(RawSales[Check tax],TRUE)</f>
        <v>1025</v>
      </c>
      <c r="C17">
        <f>COUNTIF(RawSales[Check tax],FALSE)</f>
        <v>0</v>
      </c>
    </row>
    <row r="18" spans="1:3" x14ac:dyDescent="0.35">
      <c r="A18" t="s">
        <v>1635</v>
      </c>
      <c r="B18" s="7">
        <f>COUNTIF(RawSales[Arithmetic Check],TRUE)</f>
        <v>1020</v>
      </c>
      <c r="C18">
        <f>COUNTIF(RawSales[Arithmetic Check],FALSE)</f>
        <v>5</v>
      </c>
    </row>
    <row r="20" spans="1:3" x14ac:dyDescent="0.35">
      <c r="A20" s="10" t="s">
        <v>1636</v>
      </c>
    </row>
    <row r="21" spans="1:3" x14ac:dyDescent="0.35">
      <c r="A21" s="10" t="s">
        <v>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Export</vt:lpstr>
      <vt:lpstr>Checks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Saheed Olayinka</dc:creator>
  <cp:lastModifiedBy>Saheed Olayinka</cp:lastModifiedBy>
  <dcterms:created xsi:type="dcterms:W3CDTF">2026-09-06T14:11:24Z</dcterms:created>
  <dcterms:modified xsi:type="dcterms:W3CDTF">2026-09-06T14:11:26Z</dcterms:modified>
</cp:coreProperties>
</file>