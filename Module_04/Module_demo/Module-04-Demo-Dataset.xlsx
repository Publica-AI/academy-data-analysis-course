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set Provenance" sheetId="1" state="visible" r:id="rId3"/>
    <sheet name="Ikeja Daily Customers" sheetId="2" state="visible" r:id="rId4"/>
    <sheet name="Ikeja Marketing vs Sales" sheetId="3" state="visible" r:id="rId5"/>
    <sheet name="Ikeja Checkout Pilot" sheetId="4" state="visible" r:id="rId6"/>
    <sheet name="Month-End Report" sheetId="5" state="visible" r:id="rId7"/>
    <sheet name="Facilitator Reference"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<sst xmlns="http://schemas.openxmlformats.org/spreadsheetml/2006/main" count="228" uniqueCount="159">
  <si>
    <t xml:space="preserve">Dataset Provenance — Module 4 Demo (Statistics for Analytics)</t>
  </si>
  <si>
    <t xml:space="preserve">Dataset type</t>
  </si>
  <si>
    <t xml:space="preserve">Synthetic. Generated with a Python script (numpy / random), not collected from real transactions. Every figure in this workbook is reused, unchanged, from the already-verified Topic 4.1, 4.2, 4.3 and 4.4 workbooks, so the demo's story is continuous with what trainees already worked through.</t>
  </si>
  <si>
    <t xml:space="preserve">Business scenario</t>
  </si>
  <si>
    <t xml:space="preserve">Aduke Stores, Ikeja branch, is a fictional Lagos retail location created for this training programme. Ngozi, the analyst in this demo's narration, is a fictional persona.</t>
  </si>
  <si>
    <t xml:space="preserve">Why the same numbers are reused here</t>
  </si>
  <si>
    <t xml:space="preserve">Reusing the exact Ikeja figures from Topics 4.1-4.4, rather than generating new numbers for the demo, keeps the module demo's running scenario consistent with what was taught across the week, per the Content Creator Guide's 'one dataset family per module' principle.</t>
  </si>
  <si>
    <t xml:space="preserve">Personal data</t>
  </si>
  <si>
    <t xml:space="preserve">None. No real names, contact details, or identifiable individuals are used anywhere in this file.</t>
  </si>
  <si>
    <t xml:space="preserve">Verification</t>
  </si>
  <si>
    <t xml:space="preserve">Every statistic referenced in the Facilitator Reference sheet was verified in the original Topic 4.1-4.4 workbooks by independent Python calculation, then confirmed by live Excel recalculation with zero formula errors.</t>
  </si>
  <si>
    <t xml:space="preserve">If asked whether this data is real: it is not. It is disclosed, verified, illustrative training data, reused consistently across every Module 4 topic and this demo.</t>
  </si>
  <si>
    <t xml:space="preserve">Aduke Stores — Ikeja Branch: Daily Customers (1-30 November 2025)</t>
  </si>
  <si>
    <t xml:space="preserve">Module 4 Demo, Part 1 (Topic 4.1). Same dataset used in the Topic 4.1 slides and lab.</t>
  </si>
  <si>
    <t xml:space="preserve">Date</t>
  </si>
  <si>
    <t xml:space="preserve">Day of Week</t>
  </si>
  <si>
    <t xml:space="preserve">Customers Served</t>
  </si>
  <si>
    <t xml:space="preserve">2025-11-01</t>
  </si>
  <si>
    <t xml:space="preserve">Saturday</t>
  </si>
  <si>
    <t xml:space="preserve">2025-11-02</t>
  </si>
  <si>
    <t xml:space="preserve">Sunday</t>
  </si>
  <si>
    <t xml:space="preserve">2025-11-03</t>
  </si>
  <si>
    <t xml:space="preserve">Monday</t>
  </si>
  <si>
    <t xml:space="preserve">2025-11-04</t>
  </si>
  <si>
    <t xml:space="preserve">Tuesday</t>
  </si>
  <si>
    <t xml:space="preserve">2025-11-05</t>
  </si>
  <si>
    <t xml:space="preserve">Wednesday</t>
  </si>
  <si>
    <t xml:space="preserve">2025-11-06</t>
  </si>
  <si>
    <t xml:space="preserve">Thursday</t>
  </si>
  <si>
    <t xml:space="preserve">2025-11-07</t>
  </si>
  <si>
    <t xml:space="preserve">Friday</t>
  </si>
  <si>
    <t xml:space="preserve">2025-11-08</t>
  </si>
  <si>
    <t xml:space="preserve">2025-11-09</t>
  </si>
  <si>
    <t xml:space="preserve">2025-11-10</t>
  </si>
  <si>
    <t xml:space="preserve">2025-11-11</t>
  </si>
  <si>
    <t xml:space="preserve">2025-11-12</t>
  </si>
  <si>
    <t xml:space="preserve">2025-11-13</t>
  </si>
  <si>
    <t xml:space="preserve">2025-11-14</t>
  </si>
  <si>
    <t xml:space="preserve">2025-11-15</t>
  </si>
  <si>
    <t xml:space="preserve">2025-11-16</t>
  </si>
  <si>
    <t xml:space="preserve">2025-11-17</t>
  </si>
  <si>
    <t xml:space="preserve">2025-11-18</t>
  </si>
  <si>
    <t xml:space="preserve">2025-11-19</t>
  </si>
  <si>
    <t xml:space="preserve">2025-11-20</t>
  </si>
  <si>
    <t xml:space="preserve">2025-11-21</t>
  </si>
  <si>
    <t xml:space="preserve">2025-11-22</t>
  </si>
  <si>
    <t xml:space="preserve">2025-11-23</t>
  </si>
  <si>
    <t xml:space="preserve">2025-11-24</t>
  </si>
  <si>
    <t xml:space="preserve">2025-11-25</t>
  </si>
  <si>
    <t xml:space="preserve">2025-11-26</t>
  </si>
  <si>
    <t xml:space="preserve">2025-11-27</t>
  </si>
  <si>
    <t xml:space="preserve">2025-11-28</t>
  </si>
  <si>
    <t xml:space="preserve">2025-11-29</t>
  </si>
  <si>
    <t xml:space="preserve">2025-11-30</t>
  </si>
  <si>
    <t xml:space="preserve">Row 31 (highlighted) = 28 Nov Black Friday promo day, matching the demo-guide narration.</t>
  </si>
  <si>
    <t xml:space="preserve">Aduke Stores — Ikeja Branch: 24-Day Marketing Spend Test (1-24 Dec 2025)</t>
  </si>
  <si>
    <t xml:space="preserve">Module 4 Demo, Parts 2 and 3 (Topics 4.2 and 4.3). Same dataset used in the Topic 4.2 and 4.3 slides and labs.</t>
  </si>
  <si>
    <t xml:space="preserve">Slope</t>
  </si>
  <si>
    <t xml:space="preserve">Marketing Spend (NGN)</t>
  </si>
  <si>
    <t xml:space="preserve">Daily Sales (NGN)</t>
  </si>
  <si>
    <t xml:space="preserve">Intercept</t>
  </si>
  <si>
    <t xml:space="preserve">2025-12-01</t>
  </si>
  <si>
    <t xml:space="preserve">R-squared</t>
  </si>
  <si>
    <t xml:space="preserve">2025-12-02</t>
  </si>
  <si>
    <t xml:space="preserve">2025-12-03</t>
  </si>
  <si>
    <t xml:space="preserve">Predicted sales @ 40,000</t>
  </si>
  <si>
    <t xml:space="preserve">2025-12-04</t>
  </si>
  <si>
    <t xml:space="preserve">Predicted sales @ 150,000</t>
  </si>
  <si>
    <t xml:space="preserve">2025-12-05</t>
  </si>
  <si>
    <t xml:space="preserve">2025-12-06</t>
  </si>
  <si>
    <t xml:space="preserve">2025-12-07</t>
  </si>
  <si>
    <t xml:space="preserve">2025-12-08</t>
  </si>
  <si>
    <t xml:space="preserve">2025-12-09</t>
  </si>
  <si>
    <t xml:space="preserve">2025-12-10</t>
  </si>
  <si>
    <t xml:space="preserve">2025-12-11</t>
  </si>
  <si>
    <t xml:space="preserve">2025-12-12</t>
  </si>
  <si>
    <t xml:space="preserve">2025-12-13</t>
  </si>
  <si>
    <t xml:space="preserve">2025-12-14</t>
  </si>
  <si>
    <t xml:space="preserve">2025-12-15</t>
  </si>
  <si>
    <t xml:space="preserve">2025-12-16</t>
  </si>
  <si>
    <t xml:space="preserve">2025-12-17</t>
  </si>
  <si>
    <t xml:space="preserve">2025-12-18</t>
  </si>
  <si>
    <t xml:space="preserve">2025-12-19</t>
  </si>
  <si>
    <t xml:space="preserve">2025-12-20</t>
  </si>
  <si>
    <t xml:space="preserve">2025-12-21</t>
  </si>
  <si>
    <t xml:space="preserve">2025-12-22</t>
  </si>
  <si>
    <t xml:space="preserve">2025-12-23</t>
  </si>
  <si>
    <t xml:space="preserve">2025-12-24</t>
  </si>
  <si>
    <t xml:space="preserve">Aduke Stores — Ikeja Branch: Quick Checkout Lane Pilot</t>
  </si>
  <si>
    <t xml:space="preserve">Module 4 Demo, Part 4 (Topic 4.4). Same dataset used in the Topic 4.4 slides and lab.</t>
  </si>
  <si>
    <t xml:space="preserve">BEFORE PILOT (1-20 Oct 2025)</t>
  </si>
  <si>
    <t xml:space="preserve">AFTER PILOT (1-20 Nov 2025)</t>
  </si>
  <si>
    <t xml:space="preserve">2025-10-01</t>
  </si>
  <si>
    <t xml:space="preserve">2025-10-02</t>
  </si>
  <si>
    <t xml:space="preserve">2025-10-03</t>
  </si>
  <si>
    <t xml:space="preserve">2025-10-04</t>
  </si>
  <si>
    <t xml:space="preserve">2025-10-05</t>
  </si>
  <si>
    <t xml:space="preserve">2025-10-06</t>
  </si>
  <si>
    <t xml:space="preserve">2025-10-07</t>
  </si>
  <si>
    <t xml:space="preserve">2025-10-08</t>
  </si>
  <si>
    <t xml:space="preserve">2025-10-09</t>
  </si>
  <si>
    <t xml:space="preserve">2025-10-10</t>
  </si>
  <si>
    <t xml:space="preserve">2025-10-11</t>
  </si>
  <si>
    <t xml:space="preserve">2025-10-12</t>
  </si>
  <si>
    <t xml:space="preserve">2025-10-13</t>
  </si>
  <si>
    <t xml:space="preserve">2025-10-14</t>
  </si>
  <si>
    <t xml:space="preserve">2025-10-15</t>
  </si>
  <si>
    <t xml:space="preserve">2025-10-16</t>
  </si>
  <si>
    <t xml:space="preserve">2025-10-17</t>
  </si>
  <si>
    <t xml:space="preserve">2025-10-18</t>
  </si>
  <si>
    <t xml:space="preserve">2025-10-19</t>
  </si>
  <si>
    <t xml:space="preserve">2025-10-20</t>
  </si>
  <si>
    <t xml:space="preserve">Month-End Report — Ikeja Branch</t>
  </si>
  <si>
    <t xml:space="preserve">Blank at the start of the demo. Fill each section in live as its Part completes.</t>
  </si>
  <si>
    <t xml:space="preserve">Section 1: Typical Daily Footfall (Topic 4.1)</t>
  </si>
  <si>
    <t xml:space="preserve">Section 2: Marketing and Sales Relationship (Topic 4.2)</t>
  </si>
  <si>
    <t xml:space="preserve">Section 3: Sales Prediction (Topic 4.3)</t>
  </si>
  <si>
    <t xml:space="preserve">Section 4: Checkout Lane Pilot Result (Topic 4.4)</t>
  </si>
  <si>
    <t xml:space="preserve">Section 5: AI-Verified Summary (Topic 4.5)</t>
  </si>
  <si>
    <t xml:space="preserve">FACILITATOR REFERENCE — do not project this sheet during the live demo</t>
  </si>
  <si>
    <t xml:space="preserve">Part 1 (Topic 4.1) — Ikeja Daily Customers, C4:C33, outlier at row 31</t>
  </si>
  <si>
    <t xml:space="preserve">Mean (all 30 days)</t>
  </si>
  <si>
    <t xml:space="preserve">112.87</t>
  </si>
  <si>
    <t xml:space="preserve">Median (all 30 days)</t>
  </si>
  <si>
    <t xml:space="preserve">96</t>
  </si>
  <si>
    <t xml:space="preserve">Mode</t>
  </si>
  <si>
    <t xml:space="preserve">82</t>
  </si>
  <si>
    <t xml:space="preserve">Range</t>
  </si>
  <si>
    <t xml:space="preserve">345</t>
  </si>
  <si>
    <t xml:space="preserve">Sample Std Dev</t>
  </si>
  <si>
    <t xml:space="preserve">61.71</t>
  </si>
  <si>
    <t xml:space="preserve">Mean, excluding row 31</t>
  </si>
  <si>
    <t xml:space="preserve">102.28</t>
  </si>
  <si>
    <t xml:space="preserve">Median, excluding row 31</t>
  </si>
  <si>
    <t xml:space="preserve">94</t>
  </si>
  <si>
    <t xml:space="preserve">Parts 2-3 (Topics 4.2-4.3) — Ikeja Marketing vs Sales, C4:C27 spend, D4:D27 sales</t>
  </si>
  <si>
    <t xml:space="preserve">Correlation coefficient</t>
  </si>
  <si>
    <t xml:space="preserve">0.783</t>
  </si>
  <si>
    <t xml:space="preserve">Slope (goes in F2 on that sheet)</t>
  </si>
  <si>
    <t xml:space="preserve">3.4743</t>
  </si>
  <si>
    <t xml:space="preserve">Intercept (F3)</t>
  </si>
  <si>
    <t xml:space="preserve">171,491.13</t>
  </si>
  <si>
    <t xml:space="preserve">R-squared (F4)</t>
  </si>
  <si>
    <t xml:space="preserve">0.6133</t>
  </si>
  <si>
    <t xml:space="preserve">Predicted sales @ 40,000 (F6)</t>
  </si>
  <si>
    <t xml:space="preserve">Live formula on 'Ikeja Marketing vs Sales': =(F2*40000)+F3</t>
  </si>
  <si>
    <t xml:space="preserve">~310,463 (within tested range 8,584-69,535)</t>
  </si>
  <si>
    <t xml:space="preserve">Predicted sales @ 150,000 (F7)</t>
  </si>
  <si>
    <t xml:space="preserve">Live formula on 'Ikeja Marketing vs Sales': =(F2*150000)+F3</t>
  </si>
  <si>
    <t xml:space="preserve">~692,637 (EXTRAPOLATION TRAP)</t>
  </si>
  <si>
    <t xml:space="preserve">Part 4 (Topic 4.4) — Ikeja Checkout Pilot, B5:B24 before, E5:E24 after</t>
  </si>
  <si>
    <t xml:space="preserve">Mean, Before</t>
  </si>
  <si>
    <t xml:space="preserve">283,100</t>
  </si>
  <si>
    <t xml:space="preserve">Mean, After</t>
  </si>
  <si>
    <t xml:space="preserve">322,590</t>
  </si>
  <si>
    <t xml:space="preserve">p-value</t>
  </si>
  <si>
    <t xml:space="preserve">0.00033</t>
  </si>
  <si>
    <t xml:space="preserve">Part 5 (Topic 4.5) — AI audit</t>
  </si>
  <si>
    <t xml:space="preserve">Feed the AI assistant the four verified figures above using a role + context + data + constraints prompt. If live AI access fails, fall back to the pre-built flawed response on the 'AI Response - Guided' sheet in Topic-4.5-Aduke-Stores-AI-Verification-Kit.xlsx, which plants the same four error types: overstated causation, misread R-squared, unflagged extrapolation to 150,000, and a misread p-value.</t>
  </si>
</sst>
</file>

<file path=xl/styles.xml><?xml version="1.0" encoding="utf-8"?>
<styleSheet xmlns="http://schemas.openxmlformats.org/spreadsheetml/2006/main">
  <numFmts count="4">
    <numFmt numFmtId="164" formatCode="General"/>
    <numFmt numFmtId="165" formatCode="dd\-mmm\-yyyy"/>
    <numFmt numFmtId="166" formatCode="#,##0"/>
    <numFmt numFmtId="167" formatCode="General"/>
  </numFmts>
  <fonts count="13">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1"/>
      <color rgb="FF1F4E78"/>
      <name val="Arial"/>
      <family val="0"/>
      <charset val="1"/>
    </font>
    <font>
      <sz val="10"/>
      <name val="Arial"/>
      <family val="0"/>
      <charset val="1"/>
    </font>
    <font>
      <i val="true"/>
      <sz val="9"/>
      <color rgb="FF595959"/>
      <name val="Arial"/>
      <family val="0"/>
      <charset val="1"/>
    </font>
    <font>
      <b val="true"/>
      <sz val="14"/>
      <color rgb="FFFFFFFF"/>
      <name val="Arial"/>
      <family val="0"/>
      <charset val="1"/>
    </font>
    <font>
      <b val="true"/>
      <sz val="11"/>
      <color rgb="FFFFFFFF"/>
      <name val="Arial"/>
      <family val="0"/>
      <charset val="1"/>
    </font>
    <font>
      <sz val="11"/>
      <name val="Arial"/>
      <family val="0"/>
      <charset val="1"/>
    </font>
    <font>
      <b val="true"/>
      <sz val="10"/>
      <color rgb="FF1F4E78"/>
      <name val="Arial"/>
      <family val="0"/>
      <charset val="1"/>
    </font>
    <font>
      <b val="true"/>
      <sz val="10"/>
      <name val="Arial"/>
      <family val="0"/>
      <charset val="1"/>
    </font>
  </fonts>
  <fills count="10">
    <fill>
      <patternFill patternType="none"/>
    </fill>
    <fill>
      <patternFill patternType="gray125"/>
    </fill>
    <fill>
      <patternFill patternType="solid">
        <fgColor rgb="FF1F4E78"/>
        <bgColor rgb="FF003366"/>
      </patternFill>
    </fill>
    <fill>
      <patternFill patternType="solid">
        <fgColor rgb="FFFFF8E1"/>
        <bgColor rgb="FFFFFFFF"/>
      </patternFill>
    </fill>
    <fill>
      <patternFill patternType="solid">
        <fgColor rgb="FF2E75B6"/>
        <bgColor rgb="FF0066CC"/>
      </patternFill>
    </fill>
    <fill>
      <patternFill patternType="solid">
        <fgColor rgb="FFEAF1F8"/>
        <bgColor rgb="FFE7F1E3"/>
      </patternFill>
    </fill>
    <fill>
      <patternFill patternType="solid">
        <fgColor rgb="FFFFE699"/>
        <bgColor rgb="FFFFCC99"/>
      </patternFill>
    </fill>
    <fill>
      <patternFill patternType="solid">
        <fgColor rgb="FF548235"/>
        <bgColor rgb="FF339966"/>
      </patternFill>
    </fill>
    <fill>
      <patternFill patternType="solid">
        <fgColor rgb="FFE7F1E3"/>
        <bgColor rgb="FFEAF1F8"/>
      </patternFill>
    </fill>
    <fill>
      <patternFill patternType="solid">
        <fgColor rgb="FFC00000"/>
        <bgColor rgb="FF800000"/>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3"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5" fontId="10" fillId="5" borderId="1" xfId="0" applyFont="true" applyBorder="true" applyAlignment="true" applyProtection="false">
      <alignment horizontal="center" vertical="bottom" textRotation="0" wrapText="false" indent="0" shrinkToFit="false"/>
      <protection locked="true" hidden="false"/>
    </xf>
    <xf numFmtId="164" fontId="10" fillId="5" borderId="1" xfId="0" applyFont="true" applyBorder="true" applyAlignment="true" applyProtection="false">
      <alignment horizontal="center"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5" fontId="10" fillId="6" borderId="1" xfId="0" applyFont="true" applyBorder="true" applyAlignment="true" applyProtection="false">
      <alignment horizontal="center" vertical="bottom" textRotation="0" wrapText="false" indent="0" shrinkToFit="false"/>
      <protection locked="true" hidden="false"/>
    </xf>
    <xf numFmtId="164" fontId="10" fillId="6"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true" indent="0" shrinkToFit="false"/>
      <protection locked="true" hidden="false"/>
    </xf>
    <xf numFmtId="166" fontId="10" fillId="5" borderId="1" xfId="0" applyFont="true" applyBorder="true" applyAlignment="true" applyProtection="false">
      <alignment horizontal="center" vertical="bottom" textRotation="0" wrapText="false" indent="0" shrinkToFit="false"/>
      <protection locked="true" hidden="false"/>
    </xf>
    <xf numFmtId="166" fontId="10" fillId="0" borderId="1" xfId="0" applyFont="true" applyBorder="true" applyAlignment="true" applyProtection="false">
      <alignment horizontal="center" vertical="bottom" textRotation="0" wrapText="false" indent="0" shrinkToFit="false"/>
      <protection locked="true" hidden="false"/>
    </xf>
    <xf numFmtId="164" fontId="9" fillId="4" borderId="0" xfId="0" applyFont="true" applyBorder="true" applyAlignment="true" applyProtection="false">
      <alignment horizontal="center" vertical="bottom" textRotation="0" wrapText="false" indent="0" shrinkToFit="false"/>
      <protection locked="true" hidden="false"/>
    </xf>
    <xf numFmtId="164" fontId="9" fillId="7" borderId="0" xfId="0" applyFont="true" applyBorder="true" applyAlignment="true" applyProtection="false">
      <alignment horizontal="center" vertical="bottom" textRotation="0" wrapText="false" indent="0" shrinkToFit="false"/>
      <protection locked="true" hidden="false"/>
    </xf>
    <xf numFmtId="165" fontId="10" fillId="8" borderId="1" xfId="0" applyFont="true" applyBorder="true" applyAlignment="true" applyProtection="false">
      <alignment horizontal="center" vertical="bottom" textRotation="0" wrapText="false" indent="0" shrinkToFit="false"/>
      <protection locked="true" hidden="false"/>
    </xf>
    <xf numFmtId="166" fontId="10" fillId="8"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4" fillId="9"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7B7B7"/>
      <rgbColor rgb="FF808080"/>
      <rgbColor rgb="FF9999FF"/>
      <rgbColor rgb="FF993366"/>
      <rgbColor rgb="FFFFF8E1"/>
      <rgbColor rgb="FFEAF1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7F1E3"/>
      <rgbColor rgb="FFFFE6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72"/>
  </cols>
  <sheetData>
    <row r="1" customFormat="false" ht="24" hidden="false" customHeight="true" outlineLevel="0" collapsed="false">
      <c r="A1" s="1" t="s">
        <v>0</v>
      </c>
      <c r="B1" s="1"/>
    </row>
    <row r="3" customFormat="false" ht="60" hidden="false" customHeight="true" outlineLevel="0" collapsed="false">
      <c r="A3" s="2" t="s">
        <v>1</v>
      </c>
      <c r="B3" s="3" t="s">
        <v>2</v>
      </c>
    </row>
    <row r="4" customFormat="false" ht="45" hidden="false" customHeight="true" outlineLevel="0" collapsed="false">
      <c r="A4" s="2" t="s">
        <v>3</v>
      </c>
      <c r="B4" s="3" t="s">
        <v>4</v>
      </c>
    </row>
    <row r="5" customFormat="false" ht="54.75" hidden="false" customHeight="true" outlineLevel="0" collapsed="false">
      <c r="A5" s="2" t="s">
        <v>5</v>
      </c>
      <c r="B5" s="3" t="s">
        <v>6</v>
      </c>
    </row>
    <row r="6" customFormat="false" ht="34.5" hidden="false" customHeight="true" outlineLevel="0" collapsed="false">
      <c r="A6" s="2" t="s">
        <v>7</v>
      </c>
      <c r="B6" s="3" t="s">
        <v>8</v>
      </c>
    </row>
    <row r="7" customFormat="false" ht="54.75" hidden="false" customHeight="true" outlineLevel="0" collapsed="false">
      <c r="A7" s="2" t="s">
        <v>9</v>
      </c>
      <c r="B7" s="3" t="s">
        <v>10</v>
      </c>
    </row>
    <row r="8" customFormat="false" ht="54.75" hidden="false" customHeight="true" outlineLevel="0" collapsed="false">
      <c r="A8" s="4" t="s">
        <v>11</v>
      </c>
      <c r="B8" s="4"/>
    </row>
    <row r="9" customFormat="false" ht="15" hidden="false" customHeight="false" outlineLevel="0" collapsed="false">
      <c r="A9" s="4"/>
      <c r="B9" s="4"/>
    </row>
    <row r="10" customFormat="false" ht="15" hidden="false" customHeight="false" outlineLevel="0" collapsed="false">
      <c r="A10" s="4"/>
      <c r="B10" s="4"/>
    </row>
  </sheetData>
  <mergeCells count="2">
    <mergeCell ref="A1:B1"/>
    <mergeCell ref="A8:B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8"/>
  </cols>
  <sheetData>
    <row r="1" customFormat="false" ht="21.75" hidden="false" customHeight="true" outlineLevel="0" collapsed="false">
      <c r="A1" s="5" t="s">
        <v>12</v>
      </c>
      <c r="B1" s="5"/>
      <c r="C1" s="5"/>
    </row>
    <row r="2" customFormat="false" ht="15" hidden="false" customHeight="false" outlineLevel="0" collapsed="false">
      <c r="A2" s="6" t="s">
        <v>13</v>
      </c>
      <c r="B2" s="6"/>
      <c r="C2" s="6"/>
    </row>
    <row r="3" customFormat="false" ht="19.5" hidden="false" customHeight="true" outlineLevel="0" collapsed="false">
      <c r="A3" s="7" t="s">
        <v>14</v>
      </c>
      <c r="B3" s="7" t="s">
        <v>15</v>
      </c>
      <c r="C3" s="7" t="s">
        <v>16</v>
      </c>
    </row>
    <row r="4" customFormat="false" ht="15" hidden="false" customHeight="false" outlineLevel="0" collapsed="false">
      <c r="A4" s="8" t="s">
        <v>17</v>
      </c>
      <c r="B4" s="9" t="s">
        <v>18</v>
      </c>
      <c r="C4" s="9" t="n">
        <v>122</v>
      </c>
    </row>
    <row r="5" customFormat="false" ht="15" hidden="false" customHeight="false" outlineLevel="0" collapsed="false">
      <c r="A5" s="10" t="s">
        <v>19</v>
      </c>
      <c r="B5" s="11" t="s">
        <v>20</v>
      </c>
      <c r="C5" s="11" t="n">
        <v>116</v>
      </c>
    </row>
    <row r="6" customFormat="false" ht="15" hidden="false" customHeight="false" outlineLevel="0" collapsed="false">
      <c r="A6" s="8" t="s">
        <v>21</v>
      </c>
      <c r="B6" s="9" t="s">
        <v>22</v>
      </c>
      <c r="C6" s="9" t="n">
        <v>98</v>
      </c>
    </row>
    <row r="7" customFormat="false" ht="15" hidden="false" customHeight="false" outlineLevel="0" collapsed="false">
      <c r="A7" s="10" t="s">
        <v>23</v>
      </c>
      <c r="B7" s="11" t="s">
        <v>24</v>
      </c>
      <c r="C7" s="11" t="n">
        <v>83</v>
      </c>
    </row>
    <row r="8" customFormat="false" ht="15" hidden="false" customHeight="false" outlineLevel="0" collapsed="false">
      <c r="A8" s="8" t="s">
        <v>25</v>
      </c>
      <c r="B8" s="9" t="s">
        <v>26</v>
      </c>
      <c r="C8" s="9" t="n">
        <v>82</v>
      </c>
    </row>
    <row r="9" customFormat="false" ht="15" hidden="false" customHeight="false" outlineLevel="0" collapsed="false">
      <c r="A9" s="10" t="s">
        <v>27</v>
      </c>
      <c r="B9" s="11" t="s">
        <v>28</v>
      </c>
      <c r="C9" s="11" t="n">
        <v>82</v>
      </c>
    </row>
    <row r="10" customFormat="false" ht="15" hidden="false" customHeight="false" outlineLevel="0" collapsed="false">
      <c r="A10" s="8" t="s">
        <v>29</v>
      </c>
      <c r="B10" s="9" t="s">
        <v>30</v>
      </c>
      <c r="C10" s="9" t="n">
        <v>104</v>
      </c>
    </row>
    <row r="11" customFormat="false" ht="15" hidden="false" customHeight="false" outlineLevel="0" collapsed="false">
      <c r="A11" s="10" t="s">
        <v>31</v>
      </c>
      <c r="B11" s="11" t="s">
        <v>18</v>
      </c>
      <c r="C11" s="11" t="n">
        <v>121</v>
      </c>
    </row>
    <row r="12" customFormat="false" ht="15" hidden="false" customHeight="false" outlineLevel="0" collapsed="false">
      <c r="A12" s="8" t="s">
        <v>32</v>
      </c>
      <c r="B12" s="9" t="s">
        <v>20</v>
      </c>
      <c r="C12" s="9" t="n">
        <v>149</v>
      </c>
    </row>
    <row r="13" customFormat="false" ht="15" hidden="false" customHeight="false" outlineLevel="0" collapsed="false">
      <c r="A13" s="10" t="s">
        <v>33</v>
      </c>
      <c r="B13" s="11" t="s">
        <v>22</v>
      </c>
      <c r="C13" s="11" t="n">
        <v>77</v>
      </c>
    </row>
    <row r="14" customFormat="false" ht="15" hidden="false" customHeight="false" outlineLevel="0" collapsed="false">
      <c r="A14" s="8" t="s">
        <v>34</v>
      </c>
      <c r="B14" s="9" t="s">
        <v>24</v>
      </c>
      <c r="C14" s="9" t="n">
        <v>93</v>
      </c>
    </row>
    <row r="15" customFormat="false" ht="15" hidden="false" customHeight="false" outlineLevel="0" collapsed="false">
      <c r="A15" s="10" t="s">
        <v>35</v>
      </c>
      <c r="B15" s="11" t="s">
        <v>26</v>
      </c>
      <c r="C15" s="11" t="n">
        <v>88</v>
      </c>
    </row>
    <row r="16" customFormat="false" ht="15" hidden="false" customHeight="false" outlineLevel="0" collapsed="false">
      <c r="A16" s="8" t="s">
        <v>36</v>
      </c>
      <c r="B16" s="9" t="s">
        <v>28</v>
      </c>
      <c r="C16" s="9" t="n">
        <v>76</v>
      </c>
    </row>
    <row r="17" customFormat="false" ht="15" hidden="false" customHeight="false" outlineLevel="0" collapsed="false">
      <c r="A17" s="10" t="s">
        <v>37</v>
      </c>
      <c r="B17" s="11" t="s">
        <v>30</v>
      </c>
      <c r="C17" s="11" t="n">
        <v>100</v>
      </c>
    </row>
    <row r="18" customFormat="false" ht="15" hidden="false" customHeight="false" outlineLevel="0" collapsed="false">
      <c r="A18" s="8" t="s">
        <v>38</v>
      </c>
      <c r="B18" s="9" t="s">
        <v>18</v>
      </c>
      <c r="C18" s="9" t="n">
        <v>120</v>
      </c>
    </row>
    <row r="19" customFormat="false" ht="15" hidden="false" customHeight="false" outlineLevel="0" collapsed="false">
      <c r="A19" s="10" t="s">
        <v>39</v>
      </c>
      <c r="B19" s="11" t="s">
        <v>20</v>
      </c>
      <c r="C19" s="11" t="n">
        <v>128</v>
      </c>
    </row>
    <row r="20" customFormat="false" ht="15" hidden="false" customHeight="false" outlineLevel="0" collapsed="false">
      <c r="A20" s="8" t="s">
        <v>40</v>
      </c>
      <c r="B20" s="9" t="s">
        <v>22</v>
      </c>
      <c r="C20" s="9" t="n">
        <v>82</v>
      </c>
    </row>
    <row r="21" customFormat="false" ht="15" hidden="false" customHeight="false" outlineLevel="0" collapsed="false">
      <c r="A21" s="10" t="s">
        <v>41</v>
      </c>
      <c r="B21" s="11" t="s">
        <v>24</v>
      </c>
      <c r="C21" s="11" t="n">
        <v>91</v>
      </c>
    </row>
    <row r="22" customFormat="false" ht="15" hidden="false" customHeight="false" outlineLevel="0" collapsed="false">
      <c r="A22" s="8" t="s">
        <v>42</v>
      </c>
      <c r="B22" s="9" t="s">
        <v>26</v>
      </c>
      <c r="C22" s="9" t="n">
        <v>94</v>
      </c>
    </row>
    <row r="23" customFormat="false" ht="15" hidden="false" customHeight="false" outlineLevel="0" collapsed="false">
      <c r="A23" s="10" t="s">
        <v>43</v>
      </c>
      <c r="B23" s="11" t="s">
        <v>28</v>
      </c>
      <c r="C23" s="11" t="n">
        <v>75</v>
      </c>
    </row>
    <row r="24" customFormat="false" ht="15" hidden="false" customHeight="false" outlineLevel="0" collapsed="false">
      <c r="A24" s="8" t="s">
        <v>44</v>
      </c>
      <c r="B24" s="9" t="s">
        <v>30</v>
      </c>
      <c r="C24" s="9" t="n">
        <v>117</v>
      </c>
    </row>
    <row r="25" customFormat="false" ht="15" hidden="false" customHeight="false" outlineLevel="0" collapsed="false">
      <c r="A25" s="10" t="s">
        <v>45</v>
      </c>
      <c r="B25" s="11" t="s">
        <v>18</v>
      </c>
      <c r="C25" s="11" t="n">
        <v>127</v>
      </c>
    </row>
    <row r="26" customFormat="false" ht="15" hidden="false" customHeight="false" outlineLevel="0" collapsed="false">
      <c r="A26" s="8" t="s">
        <v>46</v>
      </c>
      <c r="B26" s="9" t="s">
        <v>20</v>
      </c>
      <c r="C26" s="9" t="n">
        <v>149</v>
      </c>
    </row>
    <row r="27" customFormat="false" ht="15" hidden="false" customHeight="false" outlineLevel="0" collapsed="false">
      <c r="A27" s="10" t="s">
        <v>47</v>
      </c>
      <c r="B27" s="11" t="s">
        <v>22</v>
      </c>
      <c r="C27" s="11" t="n">
        <v>88</v>
      </c>
    </row>
    <row r="28" customFormat="false" ht="15" hidden="false" customHeight="false" outlineLevel="0" collapsed="false">
      <c r="A28" s="8" t="s">
        <v>48</v>
      </c>
      <c r="B28" s="9" t="s">
        <v>24</v>
      </c>
      <c r="C28" s="9" t="n">
        <v>82</v>
      </c>
    </row>
    <row r="29" customFormat="false" ht="15" hidden="false" customHeight="false" outlineLevel="0" collapsed="false">
      <c r="A29" s="10" t="s">
        <v>49</v>
      </c>
      <c r="B29" s="11" t="s">
        <v>26</v>
      </c>
      <c r="C29" s="11" t="n">
        <v>89</v>
      </c>
    </row>
    <row r="30" customFormat="false" ht="15" hidden="false" customHeight="false" outlineLevel="0" collapsed="false">
      <c r="A30" s="8" t="s">
        <v>50</v>
      </c>
      <c r="B30" s="9" t="s">
        <v>28</v>
      </c>
      <c r="C30" s="9" t="n">
        <v>93</v>
      </c>
    </row>
    <row r="31" customFormat="false" ht="15" hidden="false" customHeight="false" outlineLevel="0" collapsed="false">
      <c r="A31" s="12" t="s">
        <v>51</v>
      </c>
      <c r="B31" s="13" t="s">
        <v>30</v>
      </c>
      <c r="C31" s="13" t="n">
        <v>420</v>
      </c>
    </row>
    <row r="32" customFormat="false" ht="15" hidden="false" customHeight="false" outlineLevel="0" collapsed="false">
      <c r="A32" s="8" t="s">
        <v>52</v>
      </c>
      <c r="B32" s="9" t="s">
        <v>18</v>
      </c>
      <c r="C32" s="9" t="n">
        <v>115</v>
      </c>
    </row>
    <row r="33" customFormat="false" ht="15" hidden="false" customHeight="false" outlineLevel="0" collapsed="false">
      <c r="A33" s="10" t="s">
        <v>53</v>
      </c>
      <c r="B33" s="11" t="s">
        <v>20</v>
      </c>
      <c r="C33" s="11" t="n">
        <v>125</v>
      </c>
    </row>
    <row r="35" customFormat="false" ht="15" hidden="false" customHeight="false" outlineLevel="0" collapsed="false">
      <c r="A35" s="6" t="s">
        <v>54</v>
      </c>
      <c r="B35" s="6"/>
      <c r="C35" s="6"/>
    </row>
  </sheetData>
  <mergeCells count="3">
    <mergeCell ref="A1:C1"/>
    <mergeCell ref="A2:C2"/>
    <mergeCell ref="A35:C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20"/>
    <col collapsed="false" customWidth="true" hidden="false" outlineLevel="0" max="4" min="4" style="0" width="18"/>
    <col collapsed="false" customWidth="true" hidden="false" outlineLevel="0" max="5" min="5" style="0" width="24"/>
    <col collapsed="false" customWidth="true" hidden="false" outlineLevel="0" max="6" min="6" style="0" width="16"/>
  </cols>
  <sheetData>
    <row r="1" customFormat="false" ht="21.75" hidden="false" customHeight="true" outlineLevel="0" collapsed="false">
      <c r="A1" s="5" t="s">
        <v>55</v>
      </c>
      <c r="B1" s="5"/>
      <c r="C1" s="5"/>
      <c r="D1" s="5"/>
    </row>
    <row r="2" customFormat="false" ht="15" hidden="false" customHeight="false" outlineLevel="0" collapsed="false">
      <c r="A2" s="6" t="s">
        <v>56</v>
      </c>
      <c r="B2" s="6"/>
      <c r="C2" s="6"/>
      <c r="D2" s="6"/>
      <c r="E2" s="14" t="s">
        <v>57</v>
      </c>
      <c r="F2" s="15"/>
    </row>
    <row r="3" customFormat="false" ht="24" hidden="false" customHeight="true" outlineLevel="0" collapsed="false">
      <c r="A3" s="16" t="s">
        <v>14</v>
      </c>
      <c r="B3" s="16" t="s">
        <v>15</v>
      </c>
      <c r="C3" s="16" t="s">
        <v>58</v>
      </c>
      <c r="D3" s="16" t="s">
        <v>59</v>
      </c>
      <c r="E3" s="14" t="s">
        <v>60</v>
      </c>
      <c r="F3" s="15"/>
    </row>
    <row r="4" customFormat="false" ht="15" hidden="false" customHeight="false" outlineLevel="0" collapsed="false">
      <c r="A4" s="8" t="s">
        <v>61</v>
      </c>
      <c r="B4" s="9" t="s">
        <v>22</v>
      </c>
      <c r="C4" s="17" t="n">
        <v>59442</v>
      </c>
      <c r="D4" s="17" t="n">
        <v>352129</v>
      </c>
      <c r="E4" s="14" t="s">
        <v>62</v>
      </c>
      <c r="F4" s="15"/>
    </row>
    <row r="5" customFormat="false" ht="15" hidden="false" customHeight="false" outlineLevel="0" collapsed="false">
      <c r="A5" s="10" t="s">
        <v>63</v>
      </c>
      <c r="B5" s="11" t="s">
        <v>24</v>
      </c>
      <c r="C5" s="18" t="n">
        <v>22004</v>
      </c>
      <c r="D5" s="18" t="n">
        <v>206845</v>
      </c>
    </row>
    <row r="6" customFormat="false" ht="15" hidden="false" customHeight="false" outlineLevel="0" collapsed="false">
      <c r="A6" s="8" t="s">
        <v>64</v>
      </c>
      <c r="B6" s="9" t="s">
        <v>26</v>
      </c>
      <c r="C6" s="17" t="n">
        <v>12104</v>
      </c>
      <c r="D6" s="17" t="n">
        <v>243755</v>
      </c>
      <c r="E6" s="14" t="s">
        <v>65</v>
      </c>
      <c r="F6" s="15"/>
    </row>
    <row r="7" customFormat="false" ht="15" hidden="false" customHeight="false" outlineLevel="0" collapsed="false">
      <c r="A7" s="10" t="s">
        <v>66</v>
      </c>
      <c r="B7" s="11" t="s">
        <v>28</v>
      </c>
      <c r="C7" s="18" t="n">
        <v>24401</v>
      </c>
      <c r="D7" s="18" t="n">
        <v>252627</v>
      </c>
      <c r="E7" s="14" t="s">
        <v>67</v>
      </c>
      <c r="F7" s="15"/>
    </row>
    <row r="8" customFormat="false" ht="15" hidden="false" customHeight="false" outlineLevel="0" collapsed="false">
      <c r="A8" s="8" t="s">
        <v>68</v>
      </c>
      <c r="B8" s="9" t="s">
        <v>30</v>
      </c>
      <c r="C8" s="17" t="n">
        <v>31897</v>
      </c>
      <c r="D8" s="17" t="n">
        <v>312061</v>
      </c>
    </row>
    <row r="9" customFormat="false" ht="15" hidden="false" customHeight="false" outlineLevel="0" collapsed="false">
      <c r="A9" s="10" t="s">
        <v>69</v>
      </c>
      <c r="B9" s="11" t="s">
        <v>18</v>
      </c>
      <c r="C9" s="18" t="n">
        <v>57924</v>
      </c>
      <c r="D9" s="18" t="n">
        <v>331962</v>
      </c>
    </row>
    <row r="10" customFormat="false" ht="15" hidden="false" customHeight="false" outlineLevel="0" collapsed="false">
      <c r="A10" s="8" t="s">
        <v>70</v>
      </c>
      <c r="B10" s="9" t="s">
        <v>20</v>
      </c>
      <c r="C10" s="17" t="n">
        <v>34332</v>
      </c>
      <c r="D10" s="17" t="n">
        <v>296838</v>
      </c>
    </row>
    <row r="11" customFormat="false" ht="15" hidden="false" customHeight="false" outlineLevel="0" collapsed="false">
      <c r="A11" s="10" t="s">
        <v>71</v>
      </c>
      <c r="B11" s="11" t="s">
        <v>22</v>
      </c>
      <c r="C11" s="18" t="n">
        <v>10974</v>
      </c>
      <c r="D11" s="18" t="n">
        <v>166042</v>
      </c>
    </row>
    <row r="12" customFormat="false" ht="15" hidden="false" customHeight="false" outlineLevel="0" collapsed="false">
      <c r="A12" s="8" t="s">
        <v>72</v>
      </c>
      <c r="B12" s="9" t="s">
        <v>24</v>
      </c>
      <c r="C12" s="17" t="n">
        <v>26767</v>
      </c>
      <c r="D12" s="17" t="n">
        <v>311935</v>
      </c>
    </row>
    <row r="13" customFormat="false" ht="15" hidden="false" customHeight="false" outlineLevel="0" collapsed="false">
      <c r="A13" s="10" t="s">
        <v>73</v>
      </c>
      <c r="B13" s="11" t="s">
        <v>26</v>
      </c>
      <c r="C13" s="18" t="n">
        <v>44006</v>
      </c>
      <c r="D13" s="18" t="n">
        <v>331161</v>
      </c>
    </row>
    <row r="14" customFormat="false" ht="15" hidden="false" customHeight="false" outlineLevel="0" collapsed="false">
      <c r="A14" s="8" t="s">
        <v>74</v>
      </c>
      <c r="B14" s="9" t="s">
        <v>28</v>
      </c>
      <c r="C14" s="17" t="n">
        <v>57857</v>
      </c>
      <c r="D14" s="17" t="n">
        <v>383324</v>
      </c>
    </row>
    <row r="15" customFormat="false" ht="15" hidden="false" customHeight="false" outlineLevel="0" collapsed="false">
      <c r="A15" s="10" t="s">
        <v>75</v>
      </c>
      <c r="B15" s="11" t="s">
        <v>30</v>
      </c>
      <c r="C15" s="18" t="n">
        <v>52356</v>
      </c>
      <c r="D15" s="18" t="n">
        <v>370117</v>
      </c>
    </row>
    <row r="16" customFormat="false" ht="15" hidden="false" customHeight="false" outlineLevel="0" collapsed="false">
      <c r="A16" s="8" t="s">
        <v>76</v>
      </c>
      <c r="B16" s="9" t="s">
        <v>18</v>
      </c>
      <c r="C16" s="17" t="n">
        <v>69535</v>
      </c>
      <c r="D16" s="17" t="n">
        <v>346920</v>
      </c>
    </row>
    <row r="17" customFormat="false" ht="15" hidden="false" customHeight="false" outlineLevel="0" collapsed="false">
      <c r="A17" s="10" t="s">
        <v>77</v>
      </c>
      <c r="B17" s="11" t="s">
        <v>20</v>
      </c>
      <c r="C17" s="18" t="n">
        <v>17213</v>
      </c>
      <c r="D17" s="18" t="n">
        <v>278157</v>
      </c>
    </row>
    <row r="18" customFormat="false" ht="15" hidden="false" customHeight="false" outlineLevel="0" collapsed="false">
      <c r="A18" s="8" t="s">
        <v>78</v>
      </c>
      <c r="B18" s="9" t="s">
        <v>22</v>
      </c>
      <c r="C18" s="17" t="n">
        <v>62214</v>
      </c>
      <c r="D18" s="17" t="n">
        <v>492203</v>
      </c>
    </row>
    <row r="19" customFormat="false" ht="15" hidden="false" customHeight="false" outlineLevel="0" collapsed="false">
      <c r="A19" s="10" t="s">
        <v>79</v>
      </c>
      <c r="B19" s="11" t="s">
        <v>24</v>
      </c>
      <c r="C19" s="18" t="n">
        <v>8584</v>
      </c>
      <c r="D19" s="18" t="n">
        <v>117354</v>
      </c>
    </row>
    <row r="20" customFormat="false" ht="15" hidden="false" customHeight="false" outlineLevel="0" collapsed="false">
      <c r="A20" s="8" t="s">
        <v>80</v>
      </c>
      <c r="B20" s="9" t="s">
        <v>26</v>
      </c>
      <c r="C20" s="17" t="n">
        <v>41284</v>
      </c>
      <c r="D20" s="17" t="n">
        <v>216991</v>
      </c>
    </row>
    <row r="21" customFormat="false" ht="15" hidden="false" customHeight="false" outlineLevel="0" collapsed="false">
      <c r="A21" s="10" t="s">
        <v>81</v>
      </c>
      <c r="B21" s="11" t="s">
        <v>28</v>
      </c>
      <c r="C21" s="18" t="n">
        <v>22873</v>
      </c>
      <c r="D21" s="18" t="n">
        <v>170428</v>
      </c>
    </row>
    <row r="22" customFormat="false" ht="15" hidden="false" customHeight="false" outlineLevel="0" collapsed="false">
      <c r="A22" s="8" t="s">
        <v>82</v>
      </c>
      <c r="B22" s="9" t="s">
        <v>30</v>
      </c>
      <c r="C22" s="17" t="n">
        <v>18087</v>
      </c>
      <c r="D22" s="17" t="n">
        <v>284159</v>
      </c>
    </row>
    <row r="23" customFormat="false" ht="15" hidden="false" customHeight="false" outlineLevel="0" collapsed="false">
      <c r="A23" s="10" t="s">
        <v>83</v>
      </c>
      <c r="B23" s="11" t="s">
        <v>18</v>
      </c>
      <c r="C23" s="18" t="n">
        <v>47733</v>
      </c>
      <c r="D23" s="18" t="n">
        <v>339825</v>
      </c>
    </row>
    <row r="24" customFormat="false" ht="15" hidden="false" customHeight="false" outlineLevel="0" collapsed="false">
      <c r="A24" s="8" t="s">
        <v>84</v>
      </c>
      <c r="B24" s="9" t="s">
        <v>20</v>
      </c>
      <c r="C24" s="17" t="n">
        <v>24870</v>
      </c>
      <c r="D24" s="17" t="n">
        <v>318893</v>
      </c>
    </row>
    <row r="25" customFormat="false" ht="15" hidden="false" customHeight="false" outlineLevel="0" collapsed="false">
      <c r="A25" s="10" t="s">
        <v>85</v>
      </c>
      <c r="B25" s="11" t="s">
        <v>22</v>
      </c>
      <c r="C25" s="18" t="n">
        <v>41547</v>
      </c>
      <c r="D25" s="18" t="n">
        <v>352684</v>
      </c>
    </row>
    <row r="26" customFormat="false" ht="15" hidden="false" customHeight="false" outlineLevel="0" collapsed="false">
      <c r="A26" s="8" t="s">
        <v>86</v>
      </c>
      <c r="B26" s="9" t="s">
        <v>24</v>
      </c>
      <c r="C26" s="17" t="n">
        <v>21910</v>
      </c>
      <c r="D26" s="17" t="n">
        <v>261693</v>
      </c>
    </row>
    <row r="27" customFormat="false" ht="15" hidden="false" customHeight="false" outlineLevel="0" collapsed="false">
      <c r="A27" s="10" t="s">
        <v>87</v>
      </c>
      <c r="B27" s="11" t="s">
        <v>26</v>
      </c>
      <c r="C27" s="18" t="n">
        <v>14754</v>
      </c>
      <c r="D27" s="18" t="n">
        <v>242835</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4"/>
    <col collapsed="false" customWidth="true" hidden="false" outlineLevel="0" max="4" min="4" style="0" width="16"/>
    <col collapsed="false" customWidth="true" hidden="false" outlineLevel="0" max="5" min="5" style="0" width="20"/>
  </cols>
  <sheetData>
    <row r="1" customFormat="false" ht="21.75" hidden="false" customHeight="true" outlineLevel="0" collapsed="false">
      <c r="A1" s="5" t="s">
        <v>88</v>
      </c>
      <c r="B1" s="5"/>
      <c r="C1" s="5"/>
      <c r="D1" s="5"/>
      <c r="E1" s="5"/>
    </row>
    <row r="2" customFormat="false" ht="15" hidden="false" customHeight="false" outlineLevel="0" collapsed="false">
      <c r="A2" s="6" t="s">
        <v>89</v>
      </c>
      <c r="B2" s="6"/>
      <c r="C2" s="6"/>
      <c r="D2" s="6"/>
      <c r="E2" s="6"/>
    </row>
    <row r="4" customFormat="false" ht="19.5" hidden="false" customHeight="true" outlineLevel="0" collapsed="false">
      <c r="A4" s="19" t="s">
        <v>90</v>
      </c>
      <c r="B4" s="19"/>
      <c r="D4" s="20" t="s">
        <v>91</v>
      </c>
      <c r="E4" s="20"/>
    </row>
    <row r="5" customFormat="false" ht="15" hidden="false" customHeight="false" outlineLevel="0" collapsed="false">
      <c r="A5" s="8" t="s">
        <v>92</v>
      </c>
      <c r="B5" s="17" t="n">
        <v>233200</v>
      </c>
      <c r="D5" s="21" t="s">
        <v>17</v>
      </c>
      <c r="E5" s="22" t="n">
        <v>303200</v>
      </c>
    </row>
    <row r="6" customFormat="false" ht="15" hidden="false" customHeight="false" outlineLevel="0" collapsed="false">
      <c r="A6" s="10" t="s">
        <v>93</v>
      </c>
      <c r="B6" s="18" t="n">
        <v>279100</v>
      </c>
      <c r="D6" s="10" t="s">
        <v>19</v>
      </c>
      <c r="E6" s="18" t="n">
        <v>319400</v>
      </c>
    </row>
    <row r="7" customFormat="false" ht="15" hidden="false" customHeight="false" outlineLevel="0" collapsed="false">
      <c r="A7" s="8" t="s">
        <v>94</v>
      </c>
      <c r="B7" s="17" t="n">
        <v>261400</v>
      </c>
      <c r="D7" s="21" t="s">
        <v>21</v>
      </c>
      <c r="E7" s="22" t="n">
        <v>302600</v>
      </c>
    </row>
    <row r="8" customFormat="false" ht="15" hidden="false" customHeight="false" outlineLevel="0" collapsed="false">
      <c r="A8" s="10" t="s">
        <v>95</v>
      </c>
      <c r="B8" s="18" t="n">
        <v>236100</v>
      </c>
      <c r="D8" s="10" t="s">
        <v>23</v>
      </c>
      <c r="E8" s="18" t="n">
        <v>310200</v>
      </c>
    </row>
    <row r="9" customFormat="false" ht="15" hidden="false" customHeight="false" outlineLevel="0" collapsed="false">
      <c r="A9" s="8" t="s">
        <v>96</v>
      </c>
      <c r="B9" s="17" t="n">
        <v>322400</v>
      </c>
      <c r="D9" s="21" t="s">
        <v>25</v>
      </c>
      <c r="E9" s="22" t="n">
        <v>319200</v>
      </c>
    </row>
    <row r="10" customFormat="false" ht="15" hidden="false" customHeight="false" outlineLevel="0" collapsed="false">
      <c r="A10" s="10" t="s">
        <v>97</v>
      </c>
      <c r="B10" s="18" t="n">
        <v>265700</v>
      </c>
      <c r="D10" s="10" t="s">
        <v>27</v>
      </c>
      <c r="E10" s="18" t="n">
        <v>323600</v>
      </c>
    </row>
    <row r="11" customFormat="false" ht="15" hidden="false" customHeight="false" outlineLevel="0" collapsed="false">
      <c r="A11" s="8" t="s">
        <v>98</v>
      </c>
      <c r="B11" s="17" t="n">
        <v>256600</v>
      </c>
      <c r="D11" s="21" t="s">
        <v>29</v>
      </c>
      <c r="E11" s="22" t="n">
        <v>306600</v>
      </c>
    </row>
    <row r="12" customFormat="false" ht="15" hidden="false" customHeight="false" outlineLevel="0" collapsed="false">
      <c r="A12" s="10" t="s">
        <v>99</v>
      </c>
      <c r="B12" s="18" t="n">
        <v>312100</v>
      </c>
      <c r="D12" s="10" t="s">
        <v>31</v>
      </c>
      <c r="E12" s="18" t="n">
        <v>366300</v>
      </c>
    </row>
    <row r="13" customFormat="false" ht="15" hidden="false" customHeight="false" outlineLevel="0" collapsed="false">
      <c r="A13" s="8" t="s">
        <v>100</v>
      </c>
      <c r="B13" s="17" t="n">
        <v>241500</v>
      </c>
      <c r="D13" s="21" t="s">
        <v>32</v>
      </c>
      <c r="E13" s="22" t="n">
        <v>310500</v>
      </c>
    </row>
    <row r="14" customFormat="false" ht="15" hidden="false" customHeight="false" outlineLevel="0" collapsed="false">
      <c r="A14" s="10" t="s">
        <v>101</v>
      </c>
      <c r="B14" s="18" t="n">
        <v>240200</v>
      </c>
      <c r="D14" s="10" t="s">
        <v>33</v>
      </c>
      <c r="E14" s="18" t="n">
        <v>335700</v>
      </c>
    </row>
    <row r="15" customFormat="false" ht="15" hidden="false" customHeight="false" outlineLevel="0" collapsed="false">
      <c r="A15" s="8" t="s">
        <v>102</v>
      </c>
      <c r="B15" s="17" t="n">
        <v>283800</v>
      </c>
      <c r="D15" s="21" t="s">
        <v>34</v>
      </c>
      <c r="E15" s="22" t="n">
        <v>347900</v>
      </c>
    </row>
    <row r="16" customFormat="false" ht="15" hidden="false" customHeight="false" outlineLevel="0" collapsed="false">
      <c r="A16" s="10" t="s">
        <v>103</v>
      </c>
      <c r="B16" s="18" t="n">
        <v>305900</v>
      </c>
      <c r="D16" s="10" t="s">
        <v>35</v>
      </c>
      <c r="E16" s="18" t="n">
        <v>355200</v>
      </c>
    </row>
    <row r="17" customFormat="false" ht="15" hidden="false" customHeight="false" outlineLevel="0" collapsed="false">
      <c r="A17" s="8" t="s">
        <v>104</v>
      </c>
      <c r="B17" s="17" t="n">
        <v>300900</v>
      </c>
      <c r="D17" s="21" t="s">
        <v>36</v>
      </c>
      <c r="E17" s="22" t="n">
        <v>273900</v>
      </c>
    </row>
    <row r="18" customFormat="false" ht="15" hidden="false" customHeight="false" outlineLevel="0" collapsed="false">
      <c r="A18" s="10" t="s">
        <v>105</v>
      </c>
      <c r="B18" s="18" t="n">
        <v>270000</v>
      </c>
      <c r="D18" s="10" t="s">
        <v>37</v>
      </c>
      <c r="E18" s="18" t="n">
        <v>329600</v>
      </c>
    </row>
    <row r="19" customFormat="false" ht="15" hidden="false" customHeight="false" outlineLevel="0" collapsed="false">
      <c r="A19" s="8" t="s">
        <v>106</v>
      </c>
      <c r="B19" s="17" t="n">
        <v>250100</v>
      </c>
      <c r="D19" s="21" t="s">
        <v>38</v>
      </c>
      <c r="E19" s="22" t="n">
        <v>337600</v>
      </c>
    </row>
    <row r="20" customFormat="false" ht="15" hidden="false" customHeight="false" outlineLevel="0" collapsed="false">
      <c r="A20" s="10" t="s">
        <v>107</v>
      </c>
      <c r="B20" s="18" t="n">
        <v>328000</v>
      </c>
      <c r="D20" s="10" t="s">
        <v>39</v>
      </c>
      <c r="E20" s="18" t="n">
        <v>325900</v>
      </c>
    </row>
    <row r="21" customFormat="false" ht="15" hidden="false" customHeight="false" outlineLevel="0" collapsed="false">
      <c r="A21" s="8" t="s">
        <v>108</v>
      </c>
      <c r="B21" s="17" t="n">
        <v>379400</v>
      </c>
      <c r="D21" s="21" t="s">
        <v>40</v>
      </c>
      <c r="E21" s="22" t="n">
        <v>305600</v>
      </c>
    </row>
    <row r="22" customFormat="false" ht="15" hidden="false" customHeight="false" outlineLevel="0" collapsed="false">
      <c r="A22" s="10" t="s">
        <v>109</v>
      </c>
      <c r="B22" s="18" t="n">
        <v>309600</v>
      </c>
      <c r="D22" s="10" t="s">
        <v>41</v>
      </c>
      <c r="E22" s="18" t="n">
        <v>356200</v>
      </c>
    </row>
    <row r="23" customFormat="false" ht="15" hidden="false" customHeight="false" outlineLevel="0" collapsed="false">
      <c r="A23" s="8" t="s">
        <v>110</v>
      </c>
      <c r="B23" s="17" t="n">
        <v>283700</v>
      </c>
      <c r="D23" s="21" t="s">
        <v>42</v>
      </c>
      <c r="E23" s="22" t="n">
        <v>296300</v>
      </c>
    </row>
    <row r="24" customFormat="false" ht="15" hidden="false" customHeight="false" outlineLevel="0" collapsed="false">
      <c r="A24" s="10" t="s">
        <v>111</v>
      </c>
      <c r="B24" s="18" t="n">
        <v>302300</v>
      </c>
      <c r="D24" s="10" t="s">
        <v>43</v>
      </c>
      <c r="E24" s="18" t="n">
        <v>326300</v>
      </c>
    </row>
  </sheetData>
  <mergeCells count="4">
    <mergeCell ref="A1:E1"/>
    <mergeCell ref="A2:E2"/>
    <mergeCell ref="A4:B4"/>
    <mergeCell ref="D4:E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 collapsed="false" customWidth="true" hidden="false" outlineLevel="0" max="2" min="2" style="0" width="10"/>
  </cols>
  <sheetData>
    <row r="1" customFormat="false" ht="21.75" hidden="false" customHeight="true" outlineLevel="0" collapsed="false">
      <c r="A1" s="5" t="s">
        <v>112</v>
      </c>
      <c r="B1" s="5"/>
    </row>
    <row r="2" customFormat="false" ht="15" hidden="false" customHeight="false" outlineLevel="0" collapsed="false">
      <c r="A2" s="6" t="s">
        <v>113</v>
      </c>
      <c r="B2" s="6"/>
    </row>
    <row r="4" customFormat="false" ht="18" hidden="false" customHeight="true" outlineLevel="0" collapsed="false">
      <c r="A4" s="23" t="s">
        <v>114</v>
      </c>
    </row>
    <row r="5" customFormat="false" ht="33.75" hidden="false" customHeight="true" outlineLevel="0" collapsed="false">
      <c r="A5" s="15"/>
      <c r="B5" s="15"/>
    </row>
    <row r="6" customFormat="false" ht="15" hidden="false" customHeight="false" outlineLevel="0" collapsed="false">
      <c r="A6" s="15"/>
      <c r="B6" s="15"/>
    </row>
    <row r="8" customFormat="false" ht="18" hidden="false" customHeight="true" outlineLevel="0" collapsed="false">
      <c r="A8" s="23" t="s">
        <v>115</v>
      </c>
    </row>
    <row r="9" customFormat="false" ht="33.75" hidden="false" customHeight="true" outlineLevel="0" collapsed="false">
      <c r="A9" s="15"/>
      <c r="B9" s="15"/>
    </row>
    <row r="10" customFormat="false" ht="15" hidden="false" customHeight="false" outlineLevel="0" collapsed="false">
      <c r="A10" s="15"/>
      <c r="B10" s="15"/>
    </row>
    <row r="12" customFormat="false" ht="18" hidden="false" customHeight="true" outlineLevel="0" collapsed="false">
      <c r="A12" s="23" t="s">
        <v>116</v>
      </c>
    </row>
    <row r="13" customFormat="false" ht="33.75" hidden="false" customHeight="true" outlineLevel="0" collapsed="false">
      <c r="A13" s="15"/>
      <c r="B13" s="15"/>
    </row>
    <row r="14" customFormat="false" ht="15" hidden="false" customHeight="false" outlineLevel="0" collapsed="false">
      <c r="A14" s="15"/>
      <c r="B14" s="15"/>
    </row>
    <row r="16" customFormat="false" ht="18" hidden="false" customHeight="true" outlineLevel="0" collapsed="false">
      <c r="A16" s="23" t="s">
        <v>117</v>
      </c>
    </row>
    <row r="17" customFormat="false" ht="33.75" hidden="false" customHeight="true" outlineLevel="0" collapsed="false">
      <c r="A17" s="15"/>
      <c r="B17" s="15"/>
    </row>
    <row r="18" customFormat="false" ht="15" hidden="false" customHeight="false" outlineLevel="0" collapsed="false">
      <c r="A18" s="15"/>
      <c r="B18" s="15"/>
    </row>
    <row r="20" customFormat="false" ht="18" hidden="false" customHeight="true" outlineLevel="0" collapsed="false">
      <c r="A20" s="23" t="s">
        <v>118</v>
      </c>
    </row>
    <row r="21" customFormat="false" ht="33.75" hidden="false" customHeight="true" outlineLevel="0" collapsed="false">
      <c r="A21" s="15"/>
      <c r="B21" s="15"/>
    </row>
    <row r="22" customFormat="false" ht="15" hidden="false" customHeight="false" outlineLevel="0" collapsed="false">
      <c r="A22" s="15"/>
      <c r="B22" s="15"/>
    </row>
  </sheetData>
  <mergeCells count="7">
    <mergeCell ref="A1:B1"/>
    <mergeCell ref="A2:B2"/>
    <mergeCell ref="A5:B6"/>
    <mergeCell ref="A9:B10"/>
    <mergeCell ref="A13:B14"/>
    <mergeCell ref="A17:B18"/>
    <mergeCell ref="A21:B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55"/>
    <col collapsed="false" customWidth="true" hidden="false" outlineLevel="0" max="3" min="3" style="0" width="46"/>
  </cols>
  <sheetData>
    <row r="1" customFormat="false" ht="21.75" hidden="false" customHeight="true" outlineLevel="0" collapsed="false">
      <c r="A1" s="24" t="s">
        <v>119</v>
      </c>
      <c r="B1" s="24"/>
      <c r="C1" s="24"/>
    </row>
    <row r="3" customFormat="false" ht="19.5" hidden="false" customHeight="true" outlineLevel="0" collapsed="false">
      <c r="A3" s="25" t="s">
        <v>120</v>
      </c>
      <c r="B3" s="25"/>
      <c r="C3" s="25"/>
    </row>
    <row r="4" customFormat="false" ht="15" hidden="false" customHeight="false" outlineLevel="0" collapsed="false">
      <c r="A4" s="26" t="s">
        <v>121</v>
      </c>
      <c r="B4" s="27" t="n">
        <f aca="false">AVERAGE('Ikeja Daily Customers'!C4:C33)</f>
        <v>112.866666666667</v>
      </c>
      <c r="C4" s="28" t="s">
        <v>122</v>
      </c>
    </row>
    <row r="5" customFormat="false" ht="15" hidden="false" customHeight="false" outlineLevel="0" collapsed="false">
      <c r="A5" s="26" t="s">
        <v>123</v>
      </c>
      <c r="B5" s="27" t="n">
        <f aca="false">MEDIAN('Ikeja Daily Customers'!C4:C33)</f>
        <v>96</v>
      </c>
      <c r="C5" s="28" t="s">
        <v>124</v>
      </c>
    </row>
    <row r="6" customFormat="false" ht="15" hidden="false" customHeight="false" outlineLevel="0" collapsed="false">
      <c r="A6" s="26" t="s">
        <v>125</v>
      </c>
      <c r="B6" s="27" t="n">
        <f aca="false">_xlfn.MODE.SNGL('Ikeja Daily Customers'!C4:C33)</f>
        <v>82</v>
      </c>
      <c r="C6" s="28" t="s">
        <v>126</v>
      </c>
    </row>
    <row r="7" customFormat="false" ht="15" hidden="false" customHeight="false" outlineLevel="0" collapsed="false">
      <c r="A7" s="26" t="s">
        <v>127</v>
      </c>
      <c r="B7" s="27" t="n">
        <f aca="false">MAX('Ikeja Daily Customers'!C4:C33)-MIN('Ikeja Daily Customers'!C4:C33)</f>
        <v>345</v>
      </c>
      <c r="C7" s="28" t="s">
        <v>128</v>
      </c>
    </row>
    <row r="8" customFormat="false" ht="15" hidden="false" customHeight="false" outlineLevel="0" collapsed="false">
      <c r="A8" s="26" t="s">
        <v>129</v>
      </c>
      <c r="B8" s="27" t="n">
        <f aca="false">_xlfn.STDEV.S('Ikeja Daily Customers'!C4:C33)</f>
        <v>61.7077278641899</v>
      </c>
      <c r="C8" s="28" t="s">
        <v>130</v>
      </c>
    </row>
    <row r="9" customFormat="false" ht="15" hidden="false" customHeight="false" outlineLevel="0" collapsed="false">
      <c r="A9" s="26" t="s">
        <v>131</v>
      </c>
      <c r="B9" s="27" t="n">
        <f aca="false">AVERAGE('Ikeja Daily Customers'!C4:C30,'Ikeja Daily Customers'!C32:C33)</f>
        <v>102.275862068966</v>
      </c>
      <c r="C9" s="28" t="s">
        <v>132</v>
      </c>
    </row>
    <row r="10" customFormat="false" ht="15" hidden="false" customHeight="false" outlineLevel="0" collapsed="false">
      <c r="A10" s="26" t="s">
        <v>133</v>
      </c>
      <c r="B10" s="27" t="n">
        <f aca="false">MEDIAN('Ikeja Daily Customers'!C4:C30,'Ikeja Daily Customers'!C32:C33)</f>
        <v>94</v>
      </c>
      <c r="C10" s="28" t="s">
        <v>134</v>
      </c>
    </row>
    <row r="12" customFormat="false" ht="19.5" hidden="false" customHeight="true" outlineLevel="0" collapsed="false">
      <c r="A12" s="25" t="s">
        <v>135</v>
      </c>
      <c r="B12" s="25"/>
      <c r="C12" s="25"/>
    </row>
    <row r="13" customFormat="false" ht="15" hidden="false" customHeight="false" outlineLevel="0" collapsed="false">
      <c r="A13" s="26" t="s">
        <v>136</v>
      </c>
      <c r="B13" s="27" t="n">
        <f aca="false">CORREL('Ikeja Marketing vs Sales'!C4:C27,'Ikeja Marketing vs Sales'!D4:D27)</f>
        <v>0.783152780319501</v>
      </c>
      <c r="C13" s="28" t="s">
        <v>137</v>
      </c>
    </row>
    <row r="14" customFormat="false" ht="15" hidden="false" customHeight="false" outlineLevel="0" collapsed="false">
      <c r="A14" s="26" t="s">
        <v>138</v>
      </c>
      <c r="B14" s="27" t="n">
        <f aca="false">SLOPE('Ikeja Marketing vs Sales'!D4:D27,'Ikeja Marketing vs Sales'!C4:C27)</f>
        <v>3.47430833581503</v>
      </c>
      <c r="C14" s="28" t="s">
        <v>139</v>
      </c>
    </row>
    <row r="15" customFormat="false" ht="15" hidden="false" customHeight="false" outlineLevel="0" collapsed="false">
      <c r="A15" s="26" t="s">
        <v>140</v>
      </c>
      <c r="B15" s="27" t="n">
        <f aca="false">INTERCEPT('Ikeja Marketing vs Sales'!D4:D27,'Ikeja Marketing vs Sales'!C4:C27)</f>
        <v>171491.128888337</v>
      </c>
      <c r="C15" s="28" t="s">
        <v>141</v>
      </c>
    </row>
    <row r="16" customFormat="false" ht="15" hidden="false" customHeight="false" outlineLevel="0" collapsed="false">
      <c r="A16" s="26" t="s">
        <v>142</v>
      </c>
      <c r="B16" s="27" t="n">
        <f aca="false">RSQ('Ikeja Marketing vs Sales'!D4:D27,'Ikeja Marketing vs Sales'!C4:C27)</f>
        <v>0.613328277322165</v>
      </c>
      <c r="C16" s="28" t="s">
        <v>143</v>
      </c>
    </row>
    <row r="17" customFormat="false" ht="15" hidden="false" customHeight="false" outlineLevel="0" collapsed="false">
      <c r="A17" s="26" t="s">
        <v>144</v>
      </c>
      <c r="B17" s="27" t="s">
        <v>145</v>
      </c>
      <c r="C17" s="28" t="s">
        <v>146</v>
      </c>
    </row>
    <row r="18" customFormat="false" ht="15" hidden="false" customHeight="false" outlineLevel="0" collapsed="false">
      <c r="A18" s="26" t="s">
        <v>147</v>
      </c>
      <c r="B18" s="27" t="s">
        <v>148</v>
      </c>
      <c r="C18" s="28" t="s">
        <v>149</v>
      </c>
    </row>
    <row r="20" customFormat="false" ht="19.5" hidden="false" customHeight="true" outlineLevel="0" collapsed="false">
      <c r="A20" s="25" t="s">
        <v>150</v>
      </c>
      <c r="B20" s="25"/>
      <c r="C20" s="25"/>
    </row>
    <row r="21" customFormat="false" ht="15" hidden="false" customHeight="false" outlineLevel="0" collapsed="false">
      <c r="A21" s="26" t="s">
        <v>151</v>
      </c>
      <c r="B21" s="27" t="n">
        <f aca="false">AVERAGE('Ikeja Checkout Pilot'!B5:B24)</f>
        <v>283100</v>
      </c>
      <c r="C21" s="28" t="s">
        <v>152</v>
      </c>
    </row>
    <row r="22" customFormat="false" ht="15" hidden="false" customHeight="false" outlineLevel="0" collapsed="false">
      <c r="A22" s="26" t="s">
        <v>153</v>
      </c>
      <c r="B22" s="27" t="n">
        <f aca="false">AVERAGE('Ikeja Checkout Pilot'!E5:E24)</f>
        <v>322590</v>
      </c>
      <c r="C22" s="28" t="s">
        <v>154</v>
      </c>
    </row>
    <row r="23" customFormat="false" ht="15" hidden="false" customHeight="false" outlineLevel="0" collapsed="false">
      <c r="A23" s="26" t="s">
        <v>155</v>
      </c>
      <c r="B23" s="27" t="n">
        <f aca="false">_xlfn.T.TEST('Ikeja Checkout Pilot'!B5:B24,'Ikeja Checkout Pilot'!E5:E24,2,3)</f>
        <v>0.000331610297481487</v>
      </c>
      <c r="C23" s="28" t="s">
        <v>156</v>
      </c>
    </row>
    <row r="25" customFormat="false" ht="19.5" hidden="false" customHeight="true" outlineLevel="0" collapsed="false">
      <c r="A25" s="25" t="s">
        <v>157</v>
      </c>
      <c r="B25" s="25"/>
      <c r="C25" s="25"/>
    </row>
    <row r="26" customFormat="false" ht="84.75" hidden="false" customHeight="true" outlineLevel="0" collapsed="false">
      <c r="A26" s="29" t="s">
        <v>158</v>
      </c>
      <c r="B26" s="29"/>
      <c r="C26" s="29"/>
    </row>
    <row r="27" customFormat="false" ht="15" hidden="false" customHeight="false" outlineLevel="0" collapsed="false">
      <c r="A27" s="29"/>
      <c r="B27" s="29"/>
      <c r="C27" s="29"/>
    </row>
    <row r="28" customFormat="false" ht="15" hidden="false" customHeight="false" outlineLevel="0" collapsed="false">
      <c r="A28" s="29"/>
      <c r="B28" s="29"/>
      <c r="C28" s="29"/>
    </row>
    <row r="29" customFormat="false" ht="15" hidden="false" customHeight="false" outlineLevel="0" collapsed="false">
      <c r="A29" s="29"/>
      <c r="B29" s="29"/>
      <c r="C29" s="29"/>
    </row>
  </sheetData>
  <mergeCells count="6">
    <mergeCell ref="A1:C1"/>
    <mergeCell ref="A3:C3"/>
    <mergeCell ref="A12:C12"/>
    <mergeCell ref="A20:C20"/>
    <mergeCell ref="A25:C25"/>
    <mergeCell ref="A26:C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2026-09-05T05:16:19Z</dcterms:created>
  <dc:creator>openpyxl</dc:creator>
  <dc:description/>
  <dc:language>en-US</dc:language>
  <cp:lastModifiedBy/>
  <dcterms:modified xsi:type="dcterms:W3CDTF">2026-09-05T05:16:58Z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