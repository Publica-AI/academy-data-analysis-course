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or Answer Key" sheetId="1" state="visible" r:id="rId3"/>
    <sheet name="Daily Transaction Volume" sheetId="2" state="visible" r:id="rId4"/>
    <sheet name="Marketing Spend and Signups" sheetId="3" state="visible" r:id="rId5"/>
    <sheet name="Onboarding AB Tes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<sst xmlns="http://schemas.openxmlformats.org/spreadsheetml/2006/main" count="180" uniqueCount="130">
  <si>
    <t xml:space="preserve">INSTRUCTOR ANSWER KEY — Module 4 Capstone Project (Credo Finance) — do not distribute to students</t>
  </si>
  <si>
    <t xml:space="preserve">Kept in a separate file from the student dataset. All values computed with live Excel formulas from Credo-Finance-Module-Project-Dataset.xlsx.</t>
  </si>
  <si>
    <t xml:space="preserve">Question 1 - Daily Transaction Volume, C5:C34, outlier at row 29 (25 Jan salary day)</t>
  </si>
  <si>
    <t xml:space="preserve">Mean (all 30 days)</t>
  </si>
  <si>
    <t xml:space="preserve">Expected ~= 1,063.47</t>
  </si>
  <si>
    <t xml:space="preserve">Median (all 30 days)</t>
  </si>
  <si>
    <t xml:space="preserve">Expected = 967</t>
  </si>
  <si>
    <t xml:space="preserve">Range</t>
  </si>
  <si>
    <t xml:space="preserve">Expected ~= 3,260</t>
  </si>
  <si>
    <t xml:space="preserve">Sample Std Dev</t>
  </si>
  <si>
    <t xml:space="preserve">Expected ~= 569.68</t>
  </si>
  <si>
    <t xml:space="preserve">Mean, excluding row 29</t>
  </si>
  <si>
    <t xml:space="preserve">Expected ~= 960.52</t>
  </si>
  <si>
    <t xml:space="preserve">Median, excluding row 29</t>
  </si>
  <si>
    <t xml:space="preserve">Std Dev, excluding row 29</t>
  </si>
  <si>
    <t xml:space="preserve">Expected ~= 82.56</t>
  </si>
  <si>
    <t xml:space="preserve">Model answer: mean and median already agree closely once the 25 Jan salary-day spike is excluded (960.52 vs 967), confirming 25 Jan is a genuine, explainable outlier rather than general volatility. The excluding-outlier figures should be reported as the typical daily volume; the salary day should be reported separately as a known recurring event, not deleted from the dataset.</t>
  </si>
  <si>
    <t xml:space="preserve">Question 2 - Marketing Spend and Signups, C5:C28 spend, D5:D28 signups</t>
  </si>
  <si>
    <t xml:space="preserve">Correlation coefficient</t>
  </si>
  <si>
    <t xml:space="preserve">Expected ~= 0.784</t>
  </si>
  <si>
    <t xml:space="preserve">Slope</t>
  </si>
  <si>
    <t xml:space="preserve">Expected ~= 0.001197</t>
  </si>
  <si>
    <t xml:space="preserve">Intercept</t>
  </si>
  <si>
    <t xml:space="preserve">Expected ~= 58.09</t>
  </si>
  <si>
    <t xml:space="preserve">R-squared</t>
  </si>
  <si>
    <t xml:space="preserve">Expected ~= 0.6151</t>
  </si>
  <si>
    <t xml:space="preserve">Tested spend range</t>
  </si>
  <si>
    <t xml:space="preserve">N/A</t>
  </si>
  <si>
    <t xml:space="preserve">16,605 to 111,103 naira</t>
  </si>
  <si>
    <t xml:space="preserve">Predicted signups @ 80,000 spend</t>
  </si>
  <si>
    <t xml:space="preserve">Expected ~= 154 (WITHIN tested range, reasonable)</t>
  </si>
  <si>
    <t xml:space="preserve">Predicted signups @ 300,000 spend</t>
  </si>
  <si>
    <t xml:space="preserve">Expected ~= 417 (EXTRAPOLATION, far beyond tested range, NOT reliable)</t>
  </si>
  <si>
    <t xml:space="preserve">Model answer: r = 0.78 and R-squared = 0.615 show a strong, meaningful association between spend and signups, but do not by themselves prove spend causes signups (other factors could drive both, e.g. seasonal awareness). The 300,000 naira prediction should be explicitly flagged as extrapolation, since it sits far outside the tested range (16,605 to 111,103), and should not be used to justify an immediate budget decision. The 80,000 naira prediction is a fair, evidence-based estimate.</t>
  </si>
  <si>
    <t xml:space="preserve">Question 3 - Onboarding AB Test, A5:A34 (old flow), B5:B34 (new flow)</t>
  </si>
  <si>
    <t xml:space="preserve">Mean, Group A (old flow)</t>
  </si>
  <si>
    <t xml:space="preserve">Expected ~= 38.21</t>
  </si>
  <si>
    <t xml:space="preserve">Mean, Group B (new flow)</t>
  </si>
  <si>
    <t xml:space="preserve">Expected ~= 29.48</t>
  </si>
  <si>
    <t xml:space="preserve">Difference</t>
  </si>
  <si>
    <t xml:space="preserve">Expected ~= 8.73 minutes, about 23% faster</t>
  </si>
  <si>
    <t xml:space="preserve">p-value</t>
  </si>
  <si>
    <t xml:space="preserve">Expected ~= 0.0002</t>
  </si>
  <si>
    <t xml:space="preserve">Model answer: this is a genuine, statistically significant (p ~ 0.0002), AND practically meaningful improvement (8.73 minutes, about 23% faster), unlike the 'significant but trivial' trap seen during the module. A strong answer still flags that this result alone does not rule out other explanations, for example whether anything else changed for Group B's cohort at the same time (a server upgrade, a different marketing push, seasonal timing). Recommend a staged rollout with continued monitoring rather than treating this single test as absolute proof of a sole cause.</t>
  </si>
  <si>
    <t xml:space="preserve">Question 4 - Planted errors in the AI-Generated Summary Draft</t>
  </si>
  <si>
    <t xml:space="preserve">Error 1 (Q1)</t>
  </si>
  <si>
    <t xml:space="preserve">Reports 1,063 transactions/day as the general staffing baseline without mentioning the 25 Jan salary-day outlier at all. Correct: report ~961/day excluding the salary day, with the salary day flagged as a separate known recurring spike requiring its own staffing plan.</t>
  </si>
  <si>
    <t xml:space="preserve">Error 2 (Q2)</t>
  </si>
  <si>
    <t xml:space="preserve">'Proves that increasing marketing spend directly drives new signups' overstates causation from a correlation/regression finding. Correct: spend and signups are strongly associated; this does not prove spend directly causes the increase.</t>
  </si>
  <si>
    <t xml:space="preserve">Error 3 (Q2)</t>
  </si>
  <si>
    <t xml:space="preserve">'R-squared of 0.61 means the model is correct 61% of the time' misdefines R-squared. Correct: about 61% of the variation in signups is explained by spend.</t>
  </si>
  <si>
    <t xml:space="preserve">Error 4 (Q2)</t>
  </si>
  <si>
    <t xml:space="preserve">Predicts 417 signups at 300,000 naira spend and recommends an immediate budget increase to that level with no caveat. Correct: 300,000 is far outside the tested range (16,605-111,103); this is extrapolation and should not be reported as reliable.</t>
  </si>
  <si>
    <t xml:space="preserve">Error 5 (Q3)</t>
  </si>
  <si>
    <t xml:space="preserve">'Proves conclusively that the new onboarding flow is what caused the improvement... no further testing needed' overstates causation and dismisses monitoring. Correct: the result is real and significant, but a single test does not rule out other simultaneous changes; recommend a staged rollout with continued monitoring.</t>
  </si>
  <si>
    <t xml:space="preserve">Marking guidance: award full marks only when the trainee catches all five errors, including the omission in Error 1, and rewrites the summary keeping its accurate content (the raw figures) while correcting the flawed interpretation, matching the 'AI drafts, you verify' standard taught throughout Module 4.</t>
  </si>
  <si>
    <t xml:space="preserve">Credo Finance — Daily Transaction Volume (1-30 January 2026)</t>
  </si>
  <si>
    <t xml:space="preserve">Module 4 Project, Question 1. Illustrative figures for training purposes.</t>
  </si>
  <si>
    <t xml:space="preserve">Date</t>
  </si>
  <si>
    <t xml:space="preserve">Day of Week</t>
  </si>
  <si>
    <t xml:space="preserve">Transactions Processed</t>
  </si>
  <si>
    <t xml:space="preserve">2026-01-01</t>
  </si>
  <si>
    <t xml:space="preserve">Thursday</t>
  </si>
  <si>
    <t xml:space="preserve">2026-01-02</t>
  </si>
  <si>
    <t xml:space="preserve">Friday</t>
  </si>
  <si>
    <t xml:space="preserve">2026-01-03</t>
  </si>
  <si>
    <t xml:space="preserve">Saturday</t>
  </si>
  <si>
    <t xml:space="preserve">2026-01-04</t>
  </si>
  <si>
    <t xml:space="preserve">Sunday</t>
  </si>
  <si>
    <t xml:space="preserve">2026-01-05</t>
  </si>
  <si>
    <t xml:space="preserve">Monday</t>
  </si>
  <si>
    <t xml:space="preserve">2026-01-06</t>
  </si>
  <si>
    <t xml:space="preserve">Tuesday</t>
  </si>
  <si>
    <t xml:space="preserve">2026-01-07</t>
  </si>
  <si>
    <t xml:space="preserve">Wednesday</t>
  </si>
  <si>
    <t xml:space="preserve">2026-01-08</t>
  </si>
  <si>
    <t xml:space="preserve">2026-01-09</t>
  </si>
  <si>
    <t xml:space="preserve">2026-01-10</t>
  </si>
  <si>
    <t xml:space="preserve">2026-01-11</t>
  </si>
  <si>
    <t xml:space="preserve">2026-01-12</t>
  </si>
  <si>
    <t xml:space="preserve">2026-01-13</t>
  </si>
  <si>
    <t xml:space="preserve">2026-01-14</t>
  </si>
  <si>
    <t xml:space="preserve">2026-01-15</t>
  </si>
  <si>
    <t xml:space="preserve">2026-01-16</t>
  </si>
  <si>
    <t xml:space="preserve">2026-01-17</t>
  </si>
  <si>
    <t xml:space="preserve">2026-01-18</t>
  </si>
  <si>
    <t xml:space="preserve">2026-01-19</t>
  </si>
  <si>
    <t xml:space="preserve">2026-01-20</t>
  </si>
  <si>
    <t xml:space="preserve">2026-01-21</t>
  </si>
  <si>
    <t xml:space="preserve">2026-01-22</t>
  </si>
  <si>
    <t xml:space="preserve">2026-01-23</t>
  </si>
  <si>
    <t xml:space="preserve">2026-01-24</t>
  </si>
  <si>
    <t xml:space="preserve">2026-01-25</t>
  </si>
  <si>
    <t xml:space="preserve">2026-01-26</t>
  </si>
  <si>
    <t xml:space="preserve">2026-01-27</t>
  </si>
  <si>
    <t xml:space="preserve">2026-01-28</t>
  </si>
  <si>
    <t xml:space="preserve">2026-01-29</t>
  </si>
  <si>
    <t xml:space="preserve">2026-01-30</t>
  </si>
  <si>
    <t xml:space="preserve">Credo Finance — 24-Day Marketing Spend Test (1-24 February 2026)</t>
  </si>
  <si>
    <t xml:space="preserve">Module 4 Project, Question 2. Illustrative figures for training purposes.</t>
  </si>
  <si>
    <t xml:space="preserve">Marketing Spend (NGN)</t>
  </si>
  <si>
    <t xml:space="preserve">New Signups</t>
  </si>
  <si>
    <t xml:space="preserve">2026-02-01</t>
  </si>
  <si>
    <t xml:space="preserve">2026-02-02</t>
  </si>
  <si>
    <t xml:space="preserve">2026-02-03</t>
  </si>
  <si>
    <t xml:space="preserve">2026-02-04</t>
  </si>
  <si>
    <t xml:space="preserve">2026-02-05</t>
  </si>
  <si>
    <t xml:space="preserve">2026-02-06</t>
  </si>
  <si>
    <t xml:space="preserve">2026-02-07</t>
  </si>
  <si>
    <t xml:space="preserve">2026-02-08</t>
  </si>
  <si>
    <t xml:space="preserve">2026-02-09</t>
  </si>
  <si>
    <t xml:space="preserve">2026-02-10</t>
  </si>
  <si>
    <t xml:space="preserve">2026-02-11</t>
  </si>
  <si>
    <t xml:space="preserve">2026-02-12</t>
  </si>
  <si>
    <t xml:space="preserve">2026-02-13</t>
  </si>
  <si>
    <t xml:space="preserve">2026-02-14</t>
  </si>
  <si>
    <t xml:space="preserve">2026-02-15</t>
  </si>
  <si>
    <t xml:space="preserve">2026-02-16</t>
  </si>
  <si>
    <t xml:space="preserve">2026-02-17</t>
  </si>
  <si>
    <t xml:space="preserve">2026-02-18</t>
  </si>
  <si>
    <t xml:space="preserve">2026-02-19</t>
  </si>
  <si>
    <t xml:space="preserve">2026-02-20</t>
  </si>
  <si>
    <t xml:space="preserve">2026-02-21</t>
  </si>
  <si>
    <t xml:space="preserve">2026-02-22</t>
  </si>
  <si>
    <t xml:space="preserve">2026-02-23</t>
  </si>
  <si>
    <t xml:space="preserve">2026-02-24</t>
  </si>
  <si>
    <t xml:space="preserve">Credo Finance — Onboarding Flow A/B Test: Time to First Transaction (minutes)</t>
  </si>
  <si>
    <t xml:space="preserve">Module 4 Project, Question 3. Illustrative figures for training purposes.</t>
  </si>
  <si>
    <t xml:space="preserve">GROUP A - Old Onboarding Flow</t>
  </si>
  <si>
    <t xml:space="preserve">GROUP B - New Onboarding Flow</t>
  </si>
</sst>
</file>

<file path=xl/styles.xml><?xml version="1.0" encoding="utf-8"?>
<styleSheet xmlns="http://schemas.openxmlformats.org/spreadsheetml/2006/main">
  <numFmts count="7">
    <numFmt numFmtId="164" formatCode="General"/>
    <numFmt numFmtId="165" formatCode="#,##0.00"/>
    <numFmt numFmtId="166" formatCode="#,##0"/>
    <numFmt numFmtId="167" formatCode="0.000000"/>
    <numFmt numFmtId="168" formatCode="0.0000"/>
    <numFmt numFmtId="169" formatCode="0.00000"/>
    <numFmt numFmtId="170" formatCode="dd\-mmm\-yyyy"/>
  </numFmts>
  <fonts count="11">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b val="true"/>
      <sz val="14"/>
      <color rgb="FFFFFFFF"/>
      <name val="Arial"/>
      <family val="0"/>
      <charset val="1"/>
    </font>
    <font>
      <sz val="11"/>
      <name val="Arial"/>
      <family val="0"/>
      <charset val="1"/>
    </font>
  </fonts>
  <fills count="9">
    <fill>
      <patternFill patternType="none"/>
    </fill>
    <fill>
      <patternFill patternType="gray125"/>
    </fill>
    <fill>
      <patternFill patternType="solid">
        <fgColor rgb="FFC00000"/>
        <bgColor rgb="FF800000"/>
      </patternFill>
    </fill>
    <fill>
      <patternFill patternType="solid">
        <fgColor rgb="FF6A1B9A"/>
        <bgColor rgb="FF8E24AA"/>
      </patternFill>
    </fill>
    <fill>
      <patternFill patternType="solid">
        <fgColor rgb="FF8E24AA"/>
        <bgColor rgb="FF6A1B9A"/>
      </patternFill>
    </fill>
    <fill>
      <patternFill patternType="solid">
        <fgColor rgb="FFF3E5F5"/>
        <bgColor rgb="FFFFFFFF"/>
      </patternFill>
    </fill>
    <fill>
      <patternFill patternType="solid">
        <fgColor rgb="FFFFE699"/>
        <bgColor rgb="FFFFCC99"/>
      </patternFill>
    </fill>
    <fill>
      <patternFill patternType="solid">
        <fgColor rgb="FF2E75B6"/>
        <bgColor rgb="FF0066CC"/>
      </patternFill>
    </fill>
    <fill>
      <patternFill patternType="solid">
        <fgColor rgb="FF548235"/>
        <bgColor rgb="FF339966"/>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true" indent="0" shrinkToFit="false"/>
      <protection locked="true" hidden="false"/>
    </xf>
    <xf numFmtId="170" fontId="10" fillId="5" borderId="1" xfId="0" applyFont="true" applyBorder="true" applyAlignment="true" applyProtection="false">
      <alignment horizontal="center" vertical="bottom" textRotation="0" wrapText="fals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70" fontId="10"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70" fontId="10" fillId="6" borderId="1" xfId="0" applyFont="true" applyBorder="true" applyAlignment="true" applyProtection="false">
      <alignment horizontal="center" vertical="bottom" textRotation="0" wrapText="false" indent="0" shrinkToFit="false"/>
      <protection locked="true" hidden="false"/>
    </xf>
    <xf numFmtId="164" fontId="10" fillId="6" borderId="1" xfId="0" applyFont="true" applyBorder="true" applyAlignment="true" applyProtection="false">
      <alignment horizontal="center" vertical="bottom" textRotation="0" wrapText="false" indent="0" shrinkToFit="false"/>
      <protection locked="true" hidden="false"/>
    </xf>
    <xf numFmtId="166" fontId="10" fillId="5"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4" fontId="6" fillId="7" borderId="0" xfId="0" applyFont="true" applyBorder="false" applyAlignment="true" applyProtection="false">
      <alignment horizontal="center" vertical="bottom" textRotation="0" wrapText="false" indent="0" shrinkToFit="false"/>
      <protection locked="true" hidden="false"/>
    </xf>
    <xf numFmtId="164" fontId="6" fillId="8"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6A1B9A"/>
      <rgbColor rgb="FF008080"/>
      <rgbColor rgb="FFB7B7B7"/>
      <rgbColor rgb="FF808080"/>
      <rgbColor rgb="FF9999FF"/>
      <rgbColor rgb="FF8E24AA"/>
      <rgbColor rgb="FFF3E5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50"/>
    <col collapsed="false" customWidth="true" hidden="false" outlineLevel="0" max="3" min="3" style="1" width="46"/>
    <col collapsed="false" customWidth="true" hidden="false" outlineLevel="0" max="4" min="4" style="1" width="4"/>
  </cols>
  <sheetData>
    <row r="1" customFormat="false" ht="24" hidden="false" customHeight="true" outlineLevel="0" collapsed="false">
      <c r="A1" s="2" t="s">
        <v>0</v>
      </c>
      <c r="B1" s="2"/>
      <c r="C1" s="2"/>
      <c r="D1" s="2"/>
    </row>
    <row r="2" customFormat="false" ht="15" hidden="false" customHeight="true" outlineLevel="0" collapsed="false">
      <c r="A2" s="3" t="s">
        <v>1</v>
      </c>
      <c r="B2" s="3"/>
      <c r="C2" s="3"/>
      <c r="D2" s="3"/>
    </row>
    <row r="4" customFormat="false" ht="19.5" hidden="false" customHeight="true" outlineLevel="0" collapsed="false">
      <c r="A4" s="4" t="s">
        <v>2</v>
      </c>
      <c r="B4" s="4"/>
      <c r="C4" s="4"/>
      <c r="D4" s="4"/>
    </row>
    <row r="5" customFormat="false" ht="15" hidden="false" customHeight="true" outlineLevel="0" collapsed="false">
      <c r="A5" s="5" t="s">
        <v>3</v>
      </c>
      <c r="B5" s="6" t="n">
        <f aca="false">AVERAGE('Daily Transaction Volume'!C5:C34)</f>
        <v>1063.46666666667</v>
      </c>
      <c r="C5" s="7" t="s">
        <v>4</v>
      </c>
      <c r="D5" s="8"/>
    </row>
    <row r="6" customFormat="false" ht="15" hidden="false" customHeight="true" outlineLevel="0" collapsed="false">
      <c r="A6" s="5" t="s">
        <v>5</v>
      </c>
      <c r="B6" s="9" t="n">
        <f aca="false">MEDIAN('Daily Transaction Volume'!C5:C34)</f>
        <v>967</v>
      </c>
      <c r="C6" s="7" t="s">
        <v>6</v>
      </c>
      <c r="D6" s="8"/>
    </row>
    <row r="7" customFormat="false" ht="15" hidden="false" customHeight="true" outlineLevel="0" collapsed="false">
      <c r="A7" s="5" t="s">
        <v>7</v>
      </c>
      <c r="B7" s="6" t="n">
        <f aca="false">MAX('Daily Transaction Volume'!C5:C34)-MIN('Daily Transaction Volume'!C5:C34)</f>
        <v>3260</v>
      </c>
      <c r="C7" s="7" t="s">
        <v>8</v>
      </c>
      <c r="D7" s="8"/>
    </row>
    <row r="8" customFormat="false" ht="15" hidden="false" customHeight="true" outlineLevel="0" collapsed="false">
      <c r="A8" s="5" t="s">
        <v>9</v>
      </c>
      <c r="B8" s="6" t="n">
        <f aca="false">_xlfn.STDEV.S('Daily Transaction Volume'!C5:C34)</f>
        <v>569.682835736986</v>
      </c>
      <c r="C8" s="7" t="s">
        <v>10</v>
      </c>
      <c r="D8" s="8"/>
    </row>
    <row r="9" customFormat="false" ht="15" hidden="false" customHeight="true" outlineLevel="0" collapsed="false">
      <c r="A9" s="5" t="s">
        <v>11</v>
      </c>
      <c r="B9" s="6" t="n">
        <f aca="false">AVERAGE('Daily Transaction Volume'!C5:C28,'Daily Transaction Volume'!C30:C34)</f>
        <v>960.51724137931</v>
      </c>
      <c r="C9" s="7" t="s">
        <v>12</v>
      </c>
      <c r="D9" s="8"/>
    </row>
    <row r="10" customFormat="false" ht="15" hidden="false" customHeight="true" outlineLevel="0" collapsed="false">
      <c r="A10" s="5" t="s">
        <v>13</v>
      </c>
      <c r="B10" s="6" t="n">
        <f aca="false">MEDIAN('Daily Transaction Volume'!C5:C28,'Daily Transaction Volume'!C30:C34)</f>
        <v>967</v>
      </c>
      <c r="C10" s="7" t="s">
        <v>6</v>
      </c>
      <c r="D10" s="8"/>
    </row>
    <row r="11" customFormat="false" ht="15" hidden="false" customHeight="true" outlineLevel="0" collapsed="false">
      <c r="A11" s="5" t="s">
        <v>14</v>
      </c>
      <c r="B11" s="6" t="n">
        <f aca="false">_xlfn.STDEV.S('Daily Transaction Volume'!C5:C28,'Daily Transaction Volume'!C30:C34)</f>
        <v>82.5593382663365</v>
      </c>
      <c r="C11" s="7" t="s">
        <v>15</v>
      </c>
      <c r="D11" s="8"/>
    </row>
    <row r="12" customFormat="false" ht="69.75" hidden="false" customHeight="true" outlineLevel="0" collapsed="false">
      <c r="A12" s="10" t="s">
        <v>16</v>
      </c>
      <c r="B12" s="10"/>
      <c r="C12" s="10"/>
      <c r="D12" s="10"/>
    </row>
    <row r="14" customFormat="false" ht="19.5" hidden="false" customHeight="true" outlineLevel="0" collapsed="false">
      <c r="A14" s="4" t="s">
        <v>17</v>
      </c>
      <c r="B14" s="4"/>
      <c r="C14" s="4"/>
      <c r="D14" s="4"/>
    </row>
    <row r="15" customFormat="false" ht="15" hidden="false" customHeight="true" outlineLevel="0" collapsed="false">
      <c r="A15" s="5" t="s">
        <v>18</v>
      </c>
      <c r="B15" s="6" t="n">
        <f aca="false">CORREL('Marketing Spend and Signups'!C5:C28,'Marketing Spend and Signups'!D5:D28)</f>
        <v>0.784252506454785</v>
      </c>
      <c r="C15" s="7" t="s">
        <v>19</v>
      </c>
      <c r="D15" s="8"/>
    </row>
    <row r="16" customFormat="false" ht="15" hidden="false" customHeight="true" outlineLevel="0" collapsed="false">
      <c r="A16" s="5" t="s">
        <v>20</v>
      </c>
      <c r="B16" s="11" t="n">
        <f aca="false">SLOPE('Marketing Spend and Signups'!D5:D28,'Marketing Spend and Signups'!C5:C28)</f>
        <v>0.00119716863690029</v>
      </c>
      <c r="C16" s="7" t="s">
        <v>21</v>
      </c>
      <c r="D16" s="8"/>
    </row>
    <row r="17" customFormat="false" ht="15" hidden="false" customHeight="true" outlineLevel="0" collapsed="false">
      <c r="A17" s="5" t="s">
        <v>22</v>
      </c>
      <c r="B17" s="6" t="n">
        <f aca="false">INTERCEPT('Marketing Spend and Signups'!D5:D28,'Marketing Spend and Signups'!C5:C28)</f>
        <v>58.0941781432052</v>
      </c>
      <c r="C17" s="7" t="s">
        <v>23</v>
      </c>
      <c r="D17" s="8"/>
    </row>
    <row r="18" customFormat="false" ht="15" hidden="false" customHeight="true" outlineLevel="0" collapsed="false">
      <c r="A18" s="5" t="s">
        <v>24</v>
      </c>
      <c r="B18" s="12" t="n">
        <f aca="false">RSQ('Marketing Spend and Signups'!D5:D28,'Marketing Spend and Signups'!C5:C28)</f>
        <v>0.615051993880613</v>
      </c>
      <c r="C18" s="7" t="s">
        <v>25</v>
      </c>
      <c r="D18" s="8"/>
    </row>
    <row r="19" customFormat="false" ht="15" hidden="false" customHeight="true" outlineLevel="0" collapsed="false">
      <c r="A19" s="5" t="s">
        <v>26</v>
      </c>
      <c r="B19" s="6" t="s">
        <v>27</v>
      </c>
      <c r="C19" s="7" t="s">
        <v>28</v>
      </c>
      <c r="D19" s="8"/>
    </row>
    <row r="20" customFormat="false" ht="15" hidden="false" customHeight="true" outlineLevel="0" collapsed="false">
      <c r="A20" s="5" t="s">
        <v>29</v>
      </c>
      <c r="B20" s="6" t="n">
        <f aca="false">(B16*80000)+B17</f>
        <v>153.867669095229</v>
      </c>
      <c r="C20" s="7" t="s">
        <v>30</v>
      </c>
      <c r="D20" s="8"/>
    </row>
    <row r="21" customFormat="false" ht="15" hidden="false" customHeight="true" outlineLevel="0" collapsed="false">
      <c r="A21" s="5" t="s">
        <v>31</v>
      </c>
      <c r="B21" s="6" t="n">
        <f aca="false">(B16*300000)+B17</f>
        <v>417.244769213293</v>
      </c>
      <c r="C21" s="7" t="s">
        <v>32</v>
      </c>
      <c r="D21" s="8"/>
    </row>
    <row r="22" customFormat="false" ht="99.75" hidden="false" customHeight="true" outlineLevel="0" collapsed="false">
      <c r="A22" s="10" t="s">
        <v>33</v>
      </c>
      <c r="B22" s="10"/>
      <c r="C22" s="10"/>
      <c r="D22" s="10"/>
    </row>
    <row r="24" customFormat="false" ht="19.5" hidden="false" customHeight="true" outlineLevel="0" collapsed="false">
      <c r="A24" s="4" t="s">
        <v>34</v>
      </c>
      <c r="B24" s="4"/>
      <c r="C24" s="4"/>
      <c r="D24" s="4"/>
    </row>
    <row r="25" customFormat="false" ht="15" hidden="false" customHeight="true" outlineLevel="0" collapsed="false">
      <c r="A25" s="5" t="s">
        <v>35</v>
      </c>
      <c r="B25" s="6" t="n">
        <f aca="false">AVERAGE('Onboarding AB Test'!A5:A34)</f>
        <v>38.2066666666667</v>
      </c>
      <c r="C25" s="7" t="s">
        <v>36</v>
      </c>
      <c r="D25" s="8"/>
    </row>
    <row r="26" customFormat="false" ht="15" hidden="false" customHeight="true" outlineLevel="0" collapsed="false">
      <c r="A26" s="5" t="s">
        <v>37</v>
      </c>
      <c r="B26" s="6" t="n">
        <f aca="false">AVERAGE('Onboarding AB Test'!B5:B34)</f>
        <v>29.48</v>
      </c>
      <c r="C26" s="7" t="s">
        <v>38</v>
      </c>
      <c r="D26" s="8"/>
    </row>
    <row r="27" customFormat="false" ht="15" hidden="false" customHeight="true" outlineLevel="0" collapsed="false">
      <c r="A27" s="5" t="s">
        <v>39</v>
      </c>
      <c r="B27" s="6" t="n">
        <f aca="false">B25-B26</f>
        <v>8.72666666666667</v>
      </c>
      <c r="C27" s="7" t="s">
        <v>40</v>
      </c>
      <c r="D27" s="8"/>
    </row>
    <row r="28" customFormat="false" ht="15" hidden="false" customHeight="true" outlineLevel="0" collapsed="false">
      <c r="A28" s="5" t="s">
        <v>41</v>
      </c>
      <c r="B28" s="13" t="n">
        <f aca="false">_xlfn.T.TEST('Onboarding AB Test'!A5:A34,'Onboarding AB Test'!B5:B34,2,3)</f>
        <v>0.000195285585881977</v>
      </c>
      <c r="C28" s="7" t="s">
        <v>42</v>
      </c>
      <c r="D28" s="8"/>
    </row>
    <row r="29" customFormat="false" ht="99.75" hidden="false" customHeight="true" outlineLevel="0" collapsed="false">
      <c r="A29" s="10" t="s">
        <v>43</v>
      </c>
      <c r="B29" s="10"/>
      <c r="C29" s="10"/>
      <c r="D29" s="10"/>
    </row>
    <row r="31" customFormat="false" ht="19.5" hidden="false" customHeight="true" outlineLevel="0" collapsed="false">
      <c r="A31" s="4" t="s">
        <v>44</v>
      </c>
      <c r="B31" s="4"/>
      <c r="C31" s="4"/>
      <c r="D31" s="4"/>
    </row>
    <row r="32" customFormat="false" ht="54.75" hidden="false" customHeight="true" outlineLevel="0" collapsed="false">
      <c r="A32" s="14" t="s">
        <v>45</v>
      </c>
      <c r="B32" s="15" t="s">
        <v>46</v>
      </c>
      <c r="C32" s="15"/>
      <c r="D32" s="15"/>
    </row>
    <row r="33" customFormat="false" ht="54.75" hidden="false" customHeight="true" outlineLevel="0" collapsed="false">
      <c r="A33" s="14" t="s">
        <v>47</v>
      </c>
      <c r="B33" s="15" t="s">
        <v>48</v>
      </c>
      <c r="C33" s="15"/>
      <c r="D33" s="15"/>
    </row>
    <row r="34" customFormat="false" ht="54.75" hidden="false" customHeight="true" outlineLevel="0" collapsed="false">
      <c r="A34" s="14" t="s">
        <v>49</v>
      </c>
      <c r="B34" s="15" t="s">
        <v>50</v>
      </c>
      <c r="C34" s="15"/>
      <c r="D34" s="15"/>
    </row>
    <row r="35" customFormat="false" ht="54.75" hidden="false" customHeight="true" outlineLevel="0" collapsed="false">
      <c r="A35" s="14" t="s">
        <v>51</v>
      </c>
      <c r="B35" s="15" t="s">
        <v>52</v>
      </c>
      <c r="C35" s="15"/>
      <c r="D35" s="15"/>
    </row>
    <row r="36" customFormat="false" ht="54.75" hidden="false" customHeight="true" outlineLevel="0" collapsed="false">
      <c r="A36" s="14" t="s">
        <v>53</v>
      </c>
      <c r="B36" s="15" t="s">
        <v>54</v>
      </c>
      <c r="C36" s="15"/>
      <c r="D36" s="15"/>
    </row>
    <row r="38" customFormat="false" ht="69.75" hidden="false" customHeight="true" outlineLevel="0" collapsed="false">
      <c r="A38" s="10" t="s">
        <v>55</v>
      </c>
      <c r="B38" s="10"/>
      <c r="C38" s="10"/>
      <c r="D38" s="10"/>
    </row>
  </sheetData>
  <mergeCells count="15">
    <mergeCell ref="A1:D1"/>
    <mergeCell ref="A2:D2"/>
    <mergeCell ref="A4:D4"/>
    <mergeCell ref="A12:D12"/>
    <mergeCell ref="A14:D14"/>
    <mergeCell ref="A22:D22"/>
    <mergeCell ref="A24:D24"/>
    <mergeCell ref="A29:D29"/>
    <mergeCell ref="A31:D31"/>
    <mergeCell ref="B32:D32"/>
    <mergeCell ref="B33:D33"/>
    <mergeCell ref="B34:D34"/>
    <mergeCell ref="B35:D35"/>
    <mergeCell ref="B36:D36"/>
    <mergeCell ref="A38:D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22"/>
  </cols>
  <sheetData>
    <row r="1" customFormat="false" ht="24" hidden="false" customHeight="true" outlineLevel="0" collapsed="false">
      <c r="A1" s="16" t="s">
        <v>56</v>
      </c>
    </row>
    <row r="2" customFormat="false" ht="15" hidden="false" customHeight="false" outlineLevel="0" collapsed="false">
      <c r="A2" s="17" t="s">
        <v>57</v>
      </c>
    </row>
    <row r="4" customFormat="false" ht="24" hidden="false" customHeight="true" outlineLevel="0" collapsed="false">
      <c r="A4" s="18" t="s">
        <v>58</v>
      </c>
      <c r="B4" s="18" t="s">
        <v>59</v>
      </c>
      <c r="C4" s="18" t="s">
        <v>60</v>
      </c>
    </row>
    <row r="5" customFormat="false" ht="15" hidden="false" customHeight="false" outlineLevel="0" collapsed="false">
      <c r="A5" s="19" t="s">
        <v>61</v>
      </c>
      <c r="B5" s="20" t="s">
        <v>62</v>
      </c>
      <c r="C5" s="20" t="n">
        <v>977</v>
      </c>
    </row>
    <row r="6" customFormat="false" ht="15" hidden="false" customHeight="false" outlineLevel="0" collapsed="false">
      <c r="A6" s="21" t="s">
        <v>63</v>
      </c>
      <c r="B6" s="22" t="s">
        <v>64</v>
      </c>
      <c r="C6" s="22" t="n">
        <v>1023</v>
      </c>
    </row>
    <row r="7" customFormat="false" ht="15" hidden="false" customHeight="false" outlineLevel="0" collapsed="false">
      <c r="A7" s="19" t="s">
        <v>65</v>
      </c>
      <c r="B7" s="20" t="s">
        <v>66</v>
      </c>
      <c r="C7" s="20" t="n">
        <v>1035</v>
      </c>
    </row>
    <row r="8" customFormat="false" ht="15" hidden="false" customHeight="false" outlineLevel="0" collapsed="false">
      <c r="A8" s="21" t="s">
        <v>67</v>
      </c>
      <c r="B8" s="22" t="s">
        <v>68</v>
      </c>
      <c r="C8" s="22" t="n">
        <v>945</v>
      </c>
    </row>
    <row r="9" customFormat="false" ht="15" hidden="false" customHeight="false" outlineLevel="0" collapsed="false">
      <c r="A9" s="19" t="s">
        <v>69</v>
      </c>
      <c r="B9" s="20" t="s">
        <v>70</v>
      </c>
      <c r="C9" s="20" t="n">
        <v>950</v>
      </c>
    </row>
    <row r="10" customFormat="false" ht="15" hidden="false" customHeight="false" outlineLevel="0" collapsed="false">
      <c r="A10" s="21" t="s">
        <v>71</v>
      </c>
      <c r="B10" s="22" t="s">
        <v>72</v>
      </c>
      <c r="C10" s="22" t="n">
        <v>1060</v>
      </c>
    </row>
    <row r="11" customFormat="false" ht="15" hidden="false" customHeight="false" outlineLevel="0" collapsed="false">
      <c r="A11" s="19" t="s">
        <v>73</v>
      </c>
      <c r="B11" s="20" t="s">
        <v>74</v>
      </c>
      <c r="C11" s="20" t="n">
        <v>978</v>
      </c>
    </row>
    <row r="12" customFormat="false" ht="15" hidden="false" customHeight="false" outlineLevel="0" collapsed="false">
      <c r="A12" s="21" t="s">
        <v>75</v>
      </c>
      <c r="B12" s="22" t="s">
        <v>62</v>
      </c>
      <c r="C12" s="22" t="n">
        <v>874</v>
      </c>
    </row>
    <row r="13" customFormat="false" ht="15" hidden="false" customHeight="false" outlineLevel="0" collapsed="false">
      <c r="A13" s="19" t="s">
        <v>76</v>
      </c>
      <c r="B13" s="20" t="s">
        <v>64</v>
      </c>
      <c r="C13" s="20" t="n">
        <v>832</v>
      </c>
    </row>
    <row r="14" customFormat="false" ht="15" hidden="false" customHeight="false" outlineLevel="0" collapsed="false">
      <c r="A14" s="21" t="s">
        <v>77</v>
      </c>
      <c r="B14" s="22" t="s">
        <v>66</v>
      </c>
      <c r="C14" s="22" t="n">
        <v>931</v>
      </c>
    </row>
    <row r="15" customFormat="false" ht="15" hidden="false" customHeight="false" outlineLevel="0" collapsed="false">
      <c r="A15" s="19" t="s">
        <v>78</v>
      </c>
      <c r="B15" s="20" t="s">
        <v>68</v>
      </c>
      <c r="C15" s="20" t="n">
        <v>991</v>
      </c>
    </row>
    <row r="16" customFormat="false" ht="15" hidden="false" customHeight="false" outlineLevel="0" collapsed="false">
      <c r="A16" s="21" t="s">
        <v>79</v>
      </c>
      <c r="B16" s="22" t="s">
        <v>70</v>
      </c>
      <c r="C16" s="22" t="n">
        <v>1015</v>
      </c>
    </row>
    <row r="17" customFormat="false" ht="15" hidden="false" customHeight="false" outlineLevel="0" collapsed="false">
      <c r="A17" s="19" t="s">
        <v>80</v>
      </c>
      <c r="B17" s="20" t="s">
        <v>72</v>
      </c>
      <c r="C17" s="20" t="n">
        <v>1057</v>
      </c>
    </row>
    <row r="18" customFormat="false" ht="15" hidden="false" customHeight="false" outlineLevel="0" collapsed="false">
      <c r="A18" s="21" t="s">
        <v>81</v>
      </c>
      <c r="B18" s="22" t="s">
        <v>74</v>
      </c>
      <c r="C18" s="22" t="n">
        <v>892</v>
      </c>
    </row>
    <row r="19" customFormat="false" ht="15" hidden="false" customHeight="false" outlineLevel="0" collapsed="false">
      <c r="A19" s="19" t="s">
        <v>82</v>
      </c>
      <c r="B19" s="20" t="s">
        <v>62</v>
      </c>
      <c r="C19" s="20" t="n">
        <v>859</v>
      </c>
    </row>
    <row r="20" customFormat="false" ht="15" hidden="false" customHeight="false" outlineLevel="0" collapsed="false">
      <c r="A20" s="21" t="s">
        <v>83</v>
      </c>
      <c r="B20" s="22" t="s">
        <v>64</v>
      </c>
      <c r="C20" s="22" t="n">
        <v>1037</v>
      </c>
    </row>
    <row r="21" customFormat="false" ht="15" hidden="false" customHeight="false" outlineLevel="0" collapsed="false">
      <c r="A21" s="19" t="s">
        <v>84</v>
      </c>
      <c r="B21" s="20" t="s">
        <v>66</v>
      </c>
      <c r="C21" s="20" t="n">
        <v>967</v>
      </c>
    </row>
    <row r="22" customFormat="false" ht="15" hidden="false" customHeight="false" outlineLevel="0" collapsed="false">
      <c r="A22" s="21" t="s">
        <v>85</v>
      </c>
      <c r="B22" s="22" t="s">
        <v>68</v>
      </c>
      <c r="C22" s="22" t="n">
        <v>860</v>
      </c>
    </row>
    <row r="23" customFormat="false" ht="15" hidden="false" customHeight="false" outlineLevel="0" collapsed="false">
      <c r="A23" s="19" t="s">
        <v>86</v>
      </c>
      <c r="B23" s="20" t="s">
        <v>70</v>
      </c>
      <c r="C23" s="20" t="n">
        <v>1029</v>
      </c>
    </row>
    <row r="24" customFormat="false" ht="15" hidden="false" customHeight="false" outlineLevel="0" collapsed="false">
      <c r="A24" s="21" t="s">
        <v>87</v>
      </c>
      <c r="B24" s="22" t="s">
        <v>72</v>
      </c>
      <c r="C24" s="22" t="n">
        <v>1107</v>
      </c>
    </row>
    <row r="25" customFormat="false" ht="15" hidden="false" customHeight="false" outlineLevel="0" collapsed="false">
      <c r="A25" s="19" t="s">
        <v>88</v>
      </c>
      <c r="B25" s="20" t="s">
        <v>74</v>
      </c>
      <c r="C25" s="20" t="n">
        <v>902</v>
      </c>
    </row>
    <row r="26" customFormat="false" ht="15" hidden="false" customHeight="false" outlineLevel="0" collapsed="false">
      <c r="A26" s="21" t="s">
        <v>89</v>
      </c>
      <c r="B26" s="22" t="s">
        <v>62</v>
      </c>
      <c r="C26" s="22" t="n">
        <v>910</v>
      </c>
    </row>
    <row r="27" customFormat="false" ht="15" hidden="false" customHeight="false" outlineLevel="0" collapsed="false">
      <c r="A27" s="19" t="s">
        <v>90</v>
      </c>
      <c r="B27" s="20" t="s">
        <v>64</v>
      </c>
      <c r="C27" s="20" t="n">
        <v>909</v>
      </c>
    </row>
    <row r="28" customFormat="false" ht="15" hidden="false" customHeight="false" outlineLevel="0" collapsed="false">
      <c r="A28" s="21" t="s">
        <v>91</v>
      </c>
      <c r="B28" s="22" t="s">
        <v>66</v>
      </c>
      <c r="C28" s="22" t="n">
        <v>936</v>
      </c>
    </row>
    <row r="29" customFormat="false" ht="15" hidden="false" customHeight="false" outlineLevel="0" collapsed="false">
      <c r="A29" s="23" t="s">
        <v>92</v>
      </c>
      <c r="B29" s="24" t="s">
        <v>68</v>
      </c>
      <c r="C29" s="24" t="n">
        <v>4049</v>
      </c>
    </row>
    <row r="30" customFormat="false" ht="15" hidden="false" customHeight="false" outlineLevel="0" collapsed="false">
      <c r="A30" s="21" t="s">
        <v>93</v>
      </c>
      <c r="B30" s="22" t="s">
        <v>70</v>
      </c>
      <c r="C30" s="22" t="n">
        <v>1041</v>
      </c>
    </row>
    <row r="31" customFormat="false" ht="15" hidden="false" customHeight="false" outlineLevel="0" collapsed="false">
      <c r="A31" s="19" t="s">
        <v>94</v>
      </c>
      <c r="B31" s="20" t="s">
        <v>72</v>
      </c>
      <c r="C31" s="20" t="n">
        <v>967</v>
      </c>
    </row>
    <row r="32" customFormat="false" ht="15" hidden="false" customHeight="false" outlineLevel="0" collapsed="false">
      <c r="A32" s="21" t="s">
        <v>95</v>
      </c>
      <c r="B32" s="22" t="s">
        <v>74</v>
      </c>
      <c r="C32" s="22" t="n">
        <v>1110</v>
      </c>
    </row>
    <row r="33" customFormat="false" ht="15" hidden="false" customHeight="false" outlineLevel="0" collapsed="false">
      <c r="A33" s="19" t="s">
        <v>96</v>
      </c>
      <c r="B33" s="20" t="s">
        <v>62</v>
      </c>
      <c r="C33" s="20" t="n">
        <v>872</v>
      </c>
    </row>
    <row r="34" customFormat="false" ht="15" hidden="false" customHeight="false" outlineLevel="0" collapsed="false">
      <c r="A34" s="21" t="s">
        <v>97</v>
      </c>
      <c r="B34" s="22" t="s">
        <v>64</v>
      </c>
      <c r="C34" s="22" t="n">
        <v>789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20"/>
    <col collapsed="false" customWidth="true" hidden="false" outlineLevel="0" max="4" min="4" style="0" width="14"/>
  </cols>
  <sheetData>
    <row r="1" customFormat="false" ht="24" hidden="false" customHeight="true" outlineLevel="0" collapsed="false">
      <c r="A1" s="16" t="s">
        <v>98</v>
      </c>
    </row>
    <row r="2" customFormat="false" ht="15" hidden="false" customHeight="false" outlineLevel="0" collapsed="false">
      <c r="A2" s="17" t="s">
        <v>99</v>
      </c>
    </row>
    <row r="4" customFormat="false" ht="24" hidden="false" customHeight="true" outlineLevel="0" collapsed="false">
      <c r="A4" s="18" t="s">
        <v>58</v>
      </c>
      <c r="B4" s="18" t="s">
        <v>59</v>
      </c>
      <c r="C4" s="18" t="s">
        <v>100</v>
      </c>
      <c r="D4" s="18" t="s">
        <v>101</v>
      </c>
    </row>
    <row r="5" customFormat="false" ht="15" hidden="false" customHeight="false" outlineLevel="0" collapsed="false">
      <c r="A5" s="19" t="s">
        <v>102</v>
      </c>
      <c r="B5" s="20" t="s">
        <v>68</v>
      </c>
      <c r="C5" s="25" t="n">
        <v>92801</v>
      </c>
      <c r="D5" s="20" t="n">
        <v>200</v>
      </c>
    </row>
    <row r="6" customFormat="false" ht="15" hidden="false" customHeight="false" outlineLevel="0" collapsed="false">
      <c r="A6" s="21" t="s">
        <v>103</v>
      </c>
      <c r="B6" s="22" t="s">
        <v>70</v>
      </c>
      <c r="C6" s="26" t="n">
        <v>103732</v>
      </c>
      <c r="D6" s="22" t="n">
        <v>151</v>
      </c>
    </row>
    <row r="7" customFormat="false" ht="15" hidden="false" customHeight="false" outlineLevel="0" collapsed="false">
      <c r="A7" s="19" t="s">
        <v>104</v>
      </c>
      <c r="B7" s="20" t="s">
        <v>72</v>
      </c>
      <c r="C7" s="25" t="n">
        <v>26270</v>
      </c>
      <c r="D7" s="20" t="n">
        <v>120</v>
      </c>
    </row>
    <row r="8" customFormat="false" ht="15" hidden="false" customHeight="false" outlineLevel="0" collapsed="false">
      <c r="A8" s="21" t="s">
        <v>105</v>
      </c>
      <c r="B8" s="22" t="s">
        <v>74</v>
      </c>
      <c r="C8" s="26" t="n">
        <v>31902</v>
      </c>
      <c r="D8" s="22" t="n">
        <v>101</v>
      </c>
    </row>
    <row r="9" customFormat="false" ht="15" hidden="false" customHeight="false" outlineLevel="0" collapsed="false">
      <c r="A9" s="19" t="s">
        <v>106</v>
      </c>
      <c r="B9" s="20" t="s">
        <v>62</v>
      </c>
      <c r="C9" s="25" t="n">
        <v>63086</v>
      </c>
      <c r="D9" s="20" t="n">
        <v>124</v>
      </c>
    </row>
    <row r="10" customFormat="false" ht="15" hidden="false" customHeight="false" outlineLevel="0" collapsed="false">
      <c r="A10" s="21" t="s">
        <v>107</v>
      </c>
      <c r="B10" s="22" t="s">
        <v>64</v>
      </c>
      <c r="C10" s="26" t="n">
        <v>73563</v>
      </c>
      <c r="D10" s="22" t="n">
        <v>180</v>
      </c>
    </row>
    <row r="11" customFormat="false" ht="15" hidden="false" customHeight="false" outlineLevel="0" collapsed="false">
      <c r="A11" s="19" t="s">
        <v>108</v>
      </c>
      <c r="B11" s="20" t="s">
        <v>66</v>
      </c>
      <c r="C11" s="25" t="n">
        <v>94971</v>
      </c>
      <c r="D11" s="20" t="n">
        <v>183</v>
      </c>
    </row>
    <row r="12" customFormat="false" ht="15" hidden="false" customHeight="false" outlineLevel="0" collapsed="false">
      <c r="A12" s="21" t="s">
        <v>109</v>
      </c>
      <c r="B12" s="22" t="s">
        <v>68</v>
      </c>
      <c r="C12" s="26" t="n">
        <v>53648</v>
      </c>
      <c r="D12" s="22" t="n">
        <v>136</v>
      </c>
    </row>
    <row r="13" customFormat="false" ht="15" hidden="false" customHeight="false" outlineLevel="0" collapsed="false">
      <c r="A13" s="19" t="s">
        <v>110</v>
      </c>
      <c r="B13" s="20" t="s">
        <v>70</v>
      </c>
      <c r="C13" s="25" t="n">
        <v>18761</v>
      </c>
      <c r="D13" s="20" t="n">
        <v>71</v>
      </c>
    </row>
    <row r="14" customFormat="false" ht="15" hidden="false" customHeight="false" outlineLevel="0" collapsed="false">
      <c r="A14" s="21" t="s">
        <v>111</v>
      </c>
      <c r="B14" s="22" t="s">
        <v>72</v>
      </c>
      <c r="C14" s="26" t="n">
        <v>37568</v>
      </c>
      <c r="D14" s="22" t="n">
        <v>120</v>
      </c>
    </row>
    <row r="15" customFormat="false" ht="15" hidden="false" customHeight="false" outlineLevel="0" collapsed="false">
      <c r="A15" s="19" t="s">
        <v>112</v>
      </c>
      <c r="B15" s="20" t="s">
        <v>74</v>
      </c>
      <c r="C15" s="25" t="n">
        <v>62909</v>
      </c>
      <c r="D15" s="20" t="n">
        <v>158</v>
      </c>
    </row>
    <row r="16" customFormat="false" ht="15" hidden="false" customHeight="false" outlineLevel="0" collapsed="false">
      <c r="A16" s="21" t="s">
        <v>113</v>
      </c>
      <c r="B16" s="22" t="s">
        <v>62</v>
      </c>
      <c r="C16" s="26" t="n">
        <v>55511</v>
      </c>
      <c r="D16" s="22" t="n">
        <v>103</v>
      </c>
    </row>
    <row r="17" customFormat="false" ht="15" hidden="false" customHeight="false" outlineLevel="0" collapsed="false">
      <c r="A17" s="19" t="s">
        <v>114</v>
      </c>
      <c r="B17" s="20" t="s">
        <v>64</v>
      </c>
      <c r="C17" s="25" t="n">
        <v>111103</v>
      </c>
      <c r="D17" s="20" t="n">
        <v>193</v>
      </c>
    </row>
    <row r="18" customFormat="false" ht="15" hidden="false" customHeight="false" outlineLevel="0" collapsed="false">
      <c r="A18" s="21" t="s">
        <v>115</v>
      </c>
      <c r="B18" s="22" t="s">
        <v>66</v>
      </c>
      <c r="C18" s="26" t="n">
        <v>59957</v>
      </c>
      <c r="D18" s="22" t="n">
        <v>137</v>
      </c>
    </row>
    <row r="19" customFormat="false" ht="15" hidden="false" customHeight="false" outlineLevel="0" collapsed="false">
      <c r="A19" s="19" t="s">
        <v>116</v>
      </c>
      <c r="B19" s="20" t="s">
        <v>68</v>
      </c>
      <c r="C19" s="25" t="n">
        <v>82000</v>
      </c>
      <c r="D19" s="20" t="n">
        <v>158</v>
      </c>
    </row>
    <row r="20" customFormat="false" ht="15" hidden="false" customHeight="false" outlineLevel="0" collapsed="false">
      <c r="A20" s="21" t="s">
        <v>117</v>
      </c>
      <c r="B20" s="22" t="s">
        <v>70</v>
      </c>
      <c r="C20" s="26" t="n">
        <v>79191</v>
      </c>
      <c r="D20" s="22" t="n">
        <v>109</v>
      </c>
    </row>
    <row r="21" customFormat="false" ht="15" hidden="false" customHeight="false" outlineLevel="0" collapsed="false">
      <c r="A21" s="19" t="s">
        <v>118</v>
      </c>
      <c r="B21" s="20" t="s">
        <v>72</v>
      </c>
      <c r="C21" s="25" t="n">
        <v>24560</v>
      </c>
      <c r="D21" s="20" t="n">
        <v>121</v>
      </c>
    </row>
    <row r="22" customFormat="false" ht="15" hidden="false" customHeight="false" outlineLevel="0" collapsed="false">
      <c r="A22" s="21" t="s">
        <v>119</v>
      </c>
      <c r="B22" s="22" t="s">
        <v>74</v>
      </c>
      <c r="C22" s="26" t="n">
        <v>92320</v>
      </c>
      <c r="D22" s="22" t="n">
        <v>131</v>
      </c>
    </row>
    <row r="23" customFormat="false" ht="15" hidden="false" customHeight="false" outlineLevel="0" collapsed="false">
      <c r="A23" s="19" t="s">
        <v>120</v>
      </c>
      <c r="B23" s="20" t="s">
        <v>62</v>
      </c>
      <c r="C23" s="25" t="n">
        <v>20244</v>
      </c>
      <c r="D23" s="20" t="n">
        <v>25</v>
      </c>
    </row>
    <row r="24" customFormat="false" ht="15" hidden="false" customHeight="false" outlineLevel="0" collapsed="false">
      <c r="A24" s="21" t="s">
        <v>121</v>
      </c>
      <c r="B24" s="22" t="s">
        <v>64</v>
      </c>
      <c r="C24" s="26" t="n">
        <v>16605</v>
      </c>
      <c r="D24" s="22" t="n">
        <v>37</v>
      </c>
    </row>
    <row r="25" customFormat="false" ht="15" hidden="false" customHeight="false" outlineLevel="0" collapsed="false">
      <c r="A25" s="19" t="s">
        <v>122</v>
      </c>
      <c r="B25" s="20" t="s">
        <v>66</v>
      </c>
      <c r="C25" s="25" t="n">
        <v>76460</v>
      </c>
      <c r="D25" s="20" t="n">
        <v>167</v>
      </c>
    </row>
    <row r="26" customFormat="false" ht="15" hidden="false" customHeight="false" outlineLevel="0" collapsed="false">
      <c r="A26" s="21" t="s">
        <v>123</v>
      </c>
      <c r="B26" s="22" t="s">
        <v>68</v>
      </c>
      <c r="C26" s="26" t="n">
        <v>41674</v>
      </c>
      <c r="D26" s="22" t="n">
        <v>142</v>
      </c>
    </row>
    <row r="27" customFormat="false" ht="15" hidden="false" customHeight="false" outlineLevel="0" collapsed="false">
      <c r="A27" s="19" t="s">
        <v>124</v>
      </c>
      <c r="B27" s="20" t="s">
        <v>70</v>
      </c>
      <c r="C27" s="25" t="n">
        <v>53435</v>
      </c>
      <c r="D27" s="20" t="n">
        <v>115</v>
      </c>
    </row>
    <row r="28" customFormat="false" ht="15" hidden="false" customHeight="false" outlineLevel="0" collapsed="false">
      <c r="A28" s="21" t="s">
        <v>125</v>
      </c>
      <c r="B28" s="22" t="s">
        <v>72</v>
      </c>
      <c r="C28" s="26" t="n">
        <v>78435</v>
      </c>
      <c r="D28" s="22" t="n">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6"/>
  </cols>
  <sheetData>
    <row r="1" customFormat="false" ht="24" hidden="false" customHeight="true" outlineLevel="0" collapsed="false">
      <c r="A1" s="16" t="s">
        <v>126</v>
      </c>
    </row>
    <row r="2" customFormat="false" ht="15" hidden="false" customHeight="false" outlineLevel="0" collapsed="false">
      <c r="A2" s="17" t="s">
        <v>127</v>
      </c>
    </row>
    <row r="4" customFormat="false" ht="19.5" hidden="false" customHeight="true" outlineLevel="0" collapsed="false">
      <c r="A4" s="27" t="s">
        <v>128</v>
      </c>
      <c r="B4" s="28" t="s">
        <v>129</v>
      </c>
    </row>
    <row r="5" customFormat="false" ht="15" hidden="false" customHeight="false" outlineLevel="0" collapsed="false">
      <c r="A5" s="20" t="n">
        <v>39</v>
      </c>
      <c r="B5" s="20" t="n">
        <v>32.7</v>
      </c>
    </row>
    <row r="6" customFormat="false" ht="15" hidden="false" customHeight="false" outlineLevel="0" collapsed="false">
      <c r="A6" s="22" t="n">
        <v>57.9</v>
      </c>
      <c r="B6" s="22" t="n">
        <v>37.5</v>
      </c>
    </row>
    <row r="7" customFormat="false" ht="15" hidden="false" customHeight="false" outlineLevel="0" collapsed="false">
      <c r="A7" s="20" t="n">
        <v>46.6</v>
      </c>
      <c r="B7" s="20" t="n">
        <v>23.2</v>
      </c>
    </row>
    <row r="8" customFormat="false" ht="15" hidden="false" customHeight="false" outlineLevel="0" collapsed="false">
      <c r="A8" s="22" t="n">
        <v>38.6</v>
      </c>
      <c r="B8" s="22" t="n">
        <v>31.9</v>
      </c>
    </row>
    <row r="9" customFormat="false" ht="15" hidden="false" customHeight="false" outlineLevel="0" collapsed="false">
      <c r="A9" s="20" t="n">
        <v>47.6</v>
      </c>
      <c r="B9" s="20" t="n">
        <v>36</v>
      </c>
    </row>
    <row r="10" customFormat="false" ht="15" hidden="false" customHeight="false" outlineLevel="0" collapsed="false">
      <c r="A10" s="22" t="n">
        <v>47</v>
      </c>
      <c r="B10" s="22" t="n">
        <v>39.7</v>
      </c>
    </row>
    <row r="11" customFormat="false" ht="15" hidden="false" customHeight="false" outlineLevel="0" collapsed="false">
      <c r="A11" s="20" t="n">
        <v>29.6</v>
      </c>
      <c r="B11" s="20" t="n">
        <v>43.9</v>
      </c>
    </row>
    <row r="12" customFormat="false" ht="15" hidden="false" customHeight="false" outlineLevel="0" collapsed="false">
      <c r="A12" s="22" t="n">
        <v>44.6</v>
      </c>
      <c r="B12" s="22" t="n">
        <v>24.7</v>
      </c>
    </row>
    <row r="13" customFormat="false" ht="15" hidden="false" customHeight="false" outlineLevel="0" collapsed="false">
      <c r="A13" s="20" t="n">
        <v>36.5</v>
      </c>
      <c r="B13" s="20" t="n">
        <v>23.3</v>
      </c>
    </row>
    <row r="14" customFormat="false" ht="15" hidden="false" customHeight="false" outlineLevel="0" collapsed="false">
      <c r="A14" s="22" t="n">
        <v>26.4</v>
      </c>
      <c r="B14" s="22" t="n">
        <v>23.3</v>
      </c>
    </row>
    <row r="15" customFormat="false" ht="15" hidden="false" customHeight="false" outlineLevel="0" collapsed="false">
      <c r="A15" s="20" t="n">
        <v>47.6</v>
      </c>
      <c r="B15" s="20" t="n">
        <v>27.4</v>
      </c>
    </row>
    <row r="16" customFormat="false" ht="15" hidden="false" customHeight="false" outlineLevel="0" collapsed="false">
      <c r="A16" s="22" t="n">
        <v>37.6</v>
      </c>
      <c r="B16" s="22" t="n">
        <v>28.6</v>
      </c>
    </row>
    <row r="17" customFormat="false" ht="15" hidden="false" customHeight="false" outlineLevel="0" collapsed="false">
      <c r="A17" s="20" t="n">
        <v>29.9</v>
      </c>
      <c r="B17" s="20" t="n">
        <v>22.9</v>
      </c>
    </row>
    <row r="18" customFormat="false" ht="15" hidden="false" customHeight="false" outlineLevel="0" collapsed="false">
      <c r="A18" s="22" t="n">
        <v>24</v>
      </c>
      <c r="B18" s="22" t="n">
        <v>42.2</v>
      </c>
    </row>
    <row r="19" customFormat="false" ht="15" hidden="false" customHeight="false" outlineLevel="0" collapsed="false">
      <c r="A19" s="20" t="n">
        <v>29.4</v>
      </c>
      <c r="B19" s="20" t="n">
        <v>17.4</v>
      </c>
    </row>
    <row r="20" customFormat="false" ht="15" hidden="false" customHeight="false" outlineLevel="0" collapsed="false">
      <c r="A20" s="22" t="n">
        <v>39.8</v>
      </c>
      <c r="B20" s="22" t="n">
        <v>14.9</v>
      </c>
    </row>
    <row r="21" customFormat="false" ht="15" hidden="false" customHeight="false" outlineLevel="0" collapsed="false">
      <c r="A21" s="20" t="n">
        <v>31.3</v>
      </c>
      <c r="B21" s="20" t="n">
        <v>28.1</v>
      </c>
    </row>
    <row r="22" customFormat="false" ht="15" hidden="false" customHeight="false" outlineLevel="0" collapsed="false">
      <c r="A22" s="22" t="n">
        <v>47.6</v>
      </c>
      <c r="B22" s="22" t="n">
        <v>31.9</v>
      </c>
    </row>
    <row r="23" customFormat="false" ht="15" hidden="false" customHeight="false" outlineLevel="0" collapsed="false">
      <c r="A23" s="20" t="n">
        <v>35.5</v>
      </c>
      <c r="B23" s="20" t="n">
        <v>34.1</v>
      </c>
    </row>
    <row r="24" customFormat="false" ht="15" hidden="false" customHeight="false" outlineLevel="0" collapsed="false">
      <c r="A24" s="22" t="n">
        <v>38.8</v>
      </c>
      <c r="B24" s="22" t="n">
        <v>22.6</v>
      </c>
    </row>
    <row r="25" customFormat="false" ht="15" hidden="false" customHeight="false" outlineLevel="0" collapsed="false">
      <c r="A25" s="20" t="n">
        <v>35.7</v>
      </c>
      <c r="B25" s="20" t="n">
        <v>18.2</v>
      </c>
    </row>
    <row r="26" customFormat="false" ht="15" hidden="false" customHeight="false" outlineLevel="0" collapsed="false">
      <c r="A26" s="22" t="n">
        <v>27.1</v>
      </c>
      <c r="B26" s="22" t="n">
        <v>33.8</v>
      </c>
    </row>
    <row r="27" customFormat="false" ht="15" hidden="false" customHeight="false" outlineLevel="0" collapsed="false">
      <c r="A27" s="20" t="n">
        <v>40.5</v>
      </c>
      <c r="B27" s="20" t="n">
        <v>19.5</v>
      </c>
    </row>
    <row r="28" customFormat="false" ht="15" hidden="false" customHeight="false" outlineLevel="0" collapsed="false">
      <c r="A28" s="22" t="n">
        <v>43</v>
      </c>
      <c r="B28" s="22" t="n">
        <v>32.4</v>
      </c>
    </row>
    <row r="29" customFormat="false" ht="15" hidden="false" customHeight="false" outlineLevel="0" collapsed="false">
      <c r="A29" s="20" t="n">
        <v>33.8</v>
      </c>
      <c r="B29" s="20" t="n">
        <v>35.1</v>
      </c>
    </row>
    <row r="30" customFormat="false" ht="15" hidden="false" customHeight="false" outlineLevel="0" collapsed="false">
      <c r="A30" s="22" t="n">
        <v>25.2</v>
      </c>
      <c r="B30" s="22" t="n">
        <v>24.6</v>
      </c>
    </row>
    <row r="31" customFormat="false" ht="15" hidden="false" customHeight="false" outlineLevel="0" collapsed="false">
      <c r="A31" s="20" t="n">
        <v>46</v>
      </c>
      <c r="B31" s="20" t="n">
        <v>35.4</v>
      </c>
    </row>
    <row r="32" customFormat="false" ht="15" hidden="false" customHeight="false" outlineLevel="0" collapsed="false">
      <c r="A32" s="22" t="n">
        <v>59.2</v>
      </c>
      <c r="B32" s="22" t="n">
        <v>32.2</v>
      </c>
    </row>
    <row r="33" customFormat="false" ht="15" hidden="false" customHeight="false" outlineLevel="0" collapsed="false">
      <c r="A33" s="20" t="n">
        <v>24.3</v>
      </c>
      <c r="B33" s="20" t="n">
        <v>28.5</v>
      </c>
    </row>
    <row r="34" customFormat="false" ht="15" hidden="false" customHeight="false" outlineLevel="0" collapsed="false">
      <c r="A34" s="22" t="n">
        <v>36.1</v>
      </c>
      <c r="B34" s="22" t="n">
        <v>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2026-09-19T08:51:03Z</dcterms:created>
  <dc:creator>openpyxl</dc:creator>
  <dc:description/>
  <dc:language>en-US</dc:language>
  <cp:lastModifiedBy/>
  <dcterms:modified xsi:type="dcterms:W3CDTF">2026-09-19T08:51:53Z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