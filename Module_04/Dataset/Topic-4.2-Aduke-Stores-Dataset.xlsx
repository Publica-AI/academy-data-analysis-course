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set Provenance" sheetId="1" state="visible" r:id="rId3"/>
    <sheet name="Tutor Answer Key" sheetId="2" state="visible" r:id="rId4"/>
    <sheet name="Ikeja Marketing Data" sheetId="3" state="visible" r:id="rId5"/>
    <sheet name="Yaba Marketing Data" sheetId="4" state="visible" r:id="rId6"/>
    <sheet name="Spurious Correlation Data"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<sst xmlns="http://schemas.openxmlformats.org/spreadsheetml/2006/main" count="195" uniqueCount="74">
  <si>
    <t xml:space="preserve">Dataset Provenance — Topic 4.2, Correlation and Relationships</t>
  </si>
  <si>
    <t xml:space="preserve">Dataset type</t>
  </si>
  <si>
    <t xml:space="preserve">Synthetic. Generated with a Python script (numpy / random), not collected from real transactions, surveys, or any third-party source.</t>
  </si>
  <si>
    <t xml:space="preserve">Business scenario</t>
  </si>
  <si>
    <t xml:space="preserve">Aduke Stores is a fictional Lagos-based retail chain, created for this training programme. Any resemblance to a real business is coincidental.</t>
  </si>
  <si>
    <t xml:space="preserve">Why synthetic data was used</t>
  </si>
  <si>
    <t xml:space="preserve">Synthetic data allows specific, verifiable statistical properties to be built into the dataset on purpose, so every exercise has a checkable expected output. See 'Engineered property' below for what was deliberately built into this specific dataset.</t>
  </si>
  <si>
    <t xml:space="preserve">Engineered property for this topic</t>
  </si>
  <si>
    <t xml:space="preserve">Ikeja's marketing spend and sales were built to produce a real, moderate-noise strong positive correlation (r ~= 0.78); Yaba was built to produce a weak correlation (r ~= 0.27); the sachet water vs generator fuel data was built from a shared, unrecorded temperature driver, to produce a strong but spurious correlation (r ~= 0.79).</t>
  </si>
  <si>
    <t xml:space="preserve">Realism checks applied</t>
  </si>
  <si>
    <t xml:space="preserve">Values were calibrated to stay within plausible real-world ranges for Nigerian retail (prices, staffing levels, daily footfall, sample sizes) and include realistic day-to-day noise, weekday/weekend patterns, and imperfect (not artificially perfect) relationships between variables.</t>
  </si>
  <si>
    <t xml:space="preserve">Personal data</t>
  </si>
  <si>
    <t xml:space="preserve">None. No real names, contact details, or identifiable individuals are used anywhere in this file.</t>
  </si>
  <si>
    <t xml:space="preserve">Verification</t>
  </si>
  <si>
    <t xml:space="preserve">Every statistic shown in the Tutor Answer Key sheet was computed independently in Python, then recalculated live in Excel and confirmed to match, with zero formula errors, before this file was finalised.</t>
  </si>
  <si>
    <t xml:space="preserve">If asked whether this data is real: it is not. It is disclosed, verified, illustrative training data, built to be realistic in shape and behaviour, not sourced from an external dataset.</t>
  </si>
  <si>
    <t xml:space="preserve">TUTOR ANSWER KEY — do not share this sheet with trainees before the session</t>
  </si>
  <si>
    <t xml:space="preserve">All values computed with live CORREL formulas from each data sheet.</t>
  </si>
  <si>
    <t xml:space="preserve">Ikeja Branch — Marketing Spend vs Daily Sales</t>
  </si>
  <si>
    <t xml:space="preserve">Correlation coefficient (CORREL)</t>
  </si>
  <si>
    <t xml:space="preserve">Expected r ≈ 0.783</t>
  </si>
  <si>
    <t xml:space="preserve">Interpretation: a strong positive relationship. As ad spend rises, sales tend to rise with it, though not perfectly (r is not 1.0), so other factors are still at play (day of week, footfall, stock levels).</t>
  </si>
  <si>
    <t xml:space="preserve">Yaba Branch — Marketing Spend vs Daily Sales</t>
  </si>
  <si>
    <t xml:space="preserve">Expected r ≈ 0.272</t>
  </si>
  <si>
    <t xml:space="preserve">Interpretation: a weak positive relationship. There is a slight tendency for higher spend to align with higher sales, but it is too weak to plan a budget around; other factors dominate at this branch.</t>
  </si>
  <si>
    <t xml:space="preserve">Spurious Correlation Data — Sachet Water vs Generator Fuel</t>
  </si>
  <si>
    <t xml:space="preserve">Expected r ≈ 0.786</t>
  </si>
  <si>
    <t xml:space="preserve">Interpretation for facilitators: this looks like a strong positive correlation, and a careless trainee may conclude generator use drives water purchases (or vice versa). The real driver is temperature, which was deliberately left out of the dataset. On hotter days, customers buy more sachet water AND generators run more (for fans/AC), so both variables rise together without either causing the other. This is the model answer for the Independent tier: correctly name temperature as the likely confounding variable, or at minimum state that a hidden third factor is a more credible explanation than direct causation.</t>
  </si>
  <si>
    <t xml:space="preserve">Aduke Stores — Ikeja Branch: 24-Day Marketing Spend Test (1–24 Dec 2025)</t>
  </si>
  <si>
    <t xml:space="preserve">Topic 4.2 dataset — Concept session worked example / Lab Guided tier. Illustrative figures for training purposes.</t>
  </si>
  <si>
    <t xml:space="preserve">Date</t>
  </si>
  <si>
    <t xml:space="preserve">Day of Week</t>
  </si>
  <si>
    <t xml:space="preserve">Marketing Spend (NGN)</t>
  </si>
  <si>
    <t xml:space="preserve">Daily Sales (NGN)</t>
  </si>
  <si>
    <t xml:space="preserve">2025-12-01</t>
  </si>
  <si>
    <t xml:space="preserve">Monday</t>
  </si>
  <si>
    <t xml:space="preserve">2025-12-02</t>
  </si>
  <si>
    <t xml:space="preserve">Tuesday</t>
  </si>
  <si>
    <t xml:space="preserve">2025-12-03</t>
  </si>
  <si>
    <t xml:space="preserve">Wednesday</t>
  </si>
  <si>
    <t xml:space="preserve">2025-12-04</t>
  </si>
  <si>
    <t xml:space="preserve">Thursday</t>
  </si>
  <si>
    <t xml:space="preserve">2025-12-05</t>
  </si>
  <si>
    <t xml:space="preserve">Friday</t>
  </si>
  <si>
    <t xml:space="preserve">2025-12-06</t>
  </si>
  <si>
    <t xml:space="preserve">Saturday</t>
  </si>
  <si>
    <t xml:space="preserve">2025-12-07</t>
  </si>
  <si>
    <t xml:space="preserve">Sunday</t>
  </si>
  <si>
    <t xml:space="preserve">2025-12-08</t>
  </si>
  <si>
    <t xml:space="preserve">2025-12-09</t>
  </si>
  <si>
    <t xml:space="preserve">2025-12-10</t>
  </si>
  <si>
    <t xml:space="preserve">2025-12-11</t>
  </si>
  <si>
    <t xml:space="preserve">2025-12-12</t>
  </si>
  <si>
    <t xml:space="preserve">2025-12-13</t>
  </si>
  <si>
    <t xml:space="preserve">2025-12-14</t>
  </si>
  <si>
    <t xml:space="preserve">2025-12-15</t>
  </si>
  <si>
    <t xml:space="preserve">2025-12-16</t>
  </si>
  <si>
    <t xml:space="preserve">2025-12-17</t>
  </si>
  <si>
    <t xml:space="preserve">2025-12-18</t>
  </si>
  <si>
    <t xml:space="preserve">2025-12-19</t>
  </si>
  <si>
    <t xml:space="preserve">2025-12-20</t>
  </si>
  <si>
    <t xml:space="preserve">2025-12-21</t>
  </si>
  <si>
    <t xml:space="preserve">2025-12-22</t>
  </si>
  <si>
    <t xml:space="preserve">2025-12-23</t>
  </si>
  <si>
    <t xml:space="preserve">2025-12-24</t>
  </si>
  <si>
    <t xml:space="preserve">Ikeja branch varied its daily social media ad spend for 24 days to test the impact on sales. Used for the strong positive correlation example.</t>
  </si>
  <si>
    <t xml:space="preserve">Aduke Stores — Yaba Branch: 24-Day Marketing Spend Test (1–24 Dec 2025)</t>
  </si>
  <si>
    <t xml:space="preserve">Topic 4.2 dataset — Lab Semi-Guided tier. Illustrative figures for training purposes.</t>
  </si>
  <si>
    <t xml:space="preserve">Yaba branch ran the same marketing test as Ikeja. The relationship between spend and sales is much weaker here, used to teach how to interpret a low correlation coefficient.</t>
  </si>
  <si>
    <t xml:space="preserve">Aduke Stores — Lagos Warehouse: Daily Sachet Water and Generator Fuel Purchases (1–24 Dec 2025)</t>
  </si>
  <si>
    <t xml:space="preserve">Topic 4.2 dataset — Lab Independent tier. Illustrative figures for training purposes.</t>
  </si>
  <si>
    <t xml:space="preserve">Sachet Water Bags Purchased</t>
  </si>
  <si>
    <t xml:space="preserve">Generator Fuel (Litres)</t>
  </si>
  <si>
    <t xml:space="preserve">Note for trainees: temperature was NOT recorded in this file on purpose. Part of the independent task is realising a third factor may explain the pattern.</t>
  </si>
</sst>
</file>

<file path=xl/styles.xml><?xml version="1.0" encoding="utf-8"?>
<styleSheet xmlns="http://schemas.openxmlformats.org/spreadsheetml/2006/main">
  <numFmts count="4">
    <numFmt numFmtId="164" formatCode="General"/>
    <numFmt numFmtId="165" formatCode="0.000"/>
    <numFmt numFmtId="166" formatCode="#,##0"/>
    <numFmt numFmtId="167" formatCode="#,##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1F4E78"/>
      <name val="Arial"/>
      <family val="0"/>
      <charset val="1"/>
    </font>
    <font>
      <sz val="10"/>
      <name val="Arial"/>
      <family val="0"/>
      <charset val="1"/>
    </font>
    <font>
      <i val="true"/>
      <sz val="9"/>
      <color rgb="FF595959"/>
      <name val="Arial"/>
      <family val="0"/>
      <charset val="1"/>
    </font>
    <font>
      <b val="true"/>
      <sz val="13"/>
      <color rgb="FFFFFFFF"/>
      <name val="Arial"/>
      <family val="0"/>
      <charset val="1"/>
    </font>
    <font>
      <b val="true"/>
      <sz val="10"/>
      <name val="Arial"/>
      <family val="0"/>
      <charset val="1"/>
    </font>
    <font>
      <b val="true"/>
      <sz val="11"/>
      <color rgb="FFFFFFFF"/>
      <name val="Arial"/>
      <family val="0"/>
      <charset val="1"/>
    </font>
    <font>
      <sz val="11"/>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FFF8E1"/>
        <bgColor rgb="FFFFFFFF"/>
      </patternFill>
    </fill>
    <fill>
      <patternFill patternType="solid">
        <fgColor rgb="FFC00000"/>
        <bgColor rgb="FF800000"/>
      </patternFill>
    </fill>
    <fill>
      <patternFill patternType="solid">
        <fgColor rgb="FF2E75B6"/>
        <bgColor rgb="FF0066CC"/>
      </patternFill>
    </fill>
    <fill>
      <patternFill patternType="solid">
        <fgColor rgb="FFEAF1F8"/>
        <bgColor rgb="FFFFF8E1"/>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3"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bottom" textRotation="0" wrapText="false" indent="0" shrinkToFit="false"/>
      <protection locked="true" hidden="false"/>
    </xf>
    <xf numFmtId="166" fontId="11" fillId="6"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6" fontId="11"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7" fontId="11" fillId="6" borderId="1" xfId="0" applyFont="true" applyBorder="true" applyAlignment="true" applyProtection="false">
      <alignment horizontal="center" vertical="bottom" textRotation="0" wrapText="false" indent="0" shrinkToFit="false"/>
      <protection locked="true" hidden="false"/>
    </xf>
    <xf numFmtId="167" fontId="11"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E1"/>
      <rgbColor rgb="FFEAF1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72"/>
  </cols>
  <sheetData>
    <row r="1" customFormat="false" ht="24" hidden="false" customHeight="true" outlineLevel="0" collapsed="false">
      <c r="A1" s="1" t="s">
        <v>0</v>
      </c>
      <c r="B1" s="1"/>
    </row>
    <row r="3" customFormat="false" ht="45" hidden="false" customHeight="true" outlineLevel="0" collapsed="false">
      <c r="A3" s="2" t="s">
        <v>1</v>
      </c>
      <c r="B3" s="3" t="s">
        <v>2</v>
      </c>
    </row>
    <row r="4" customFormat="false" ht="45" hidden="false" customHeight="true" outlineLevel="0" collapsed="false">
      <c r="A4" s="2" t="s">
        <v>3</v>
      </c>
      <c r="B4" s="3" t="s">
        <v>4</v>
      </c>
    </row>
    <row r="5" customFormat="false" ht="54.75" hidden="false" customHeight="true" outlineLevel="0" collapsed="false">
      <c r="A5" s="2" t="s">
        <v>5</v>
      </c>
      <c r="B5" s="3" t="s">
        <v>6</v>
      </c>
    </row>
    <row r="6" customFormat="false" ht="60" hidden="false" customHeight="true" outlineLevel="0" collapsed="false">
      <c r="A6" s="2" t="s">
        <v>7</v>
      </c>
      <c r="B6" s="3" t="s">
        <v>8</v>
      </c>
    </row>
    <row r="7" customFormat="false" ht="60" hidden="false" customHeight="true" outlineLevel="0" collapsed="false">
      <c r="A7" s="2" t="s">
        <v>9</v>
      </c>
      <c r="B7" s="3" t="s">
        <v>10</v>
      </c>
    </row>
    <row r="8" customFormat="false" ht="34.5" hidden="false" customHeight="true" outlineLevel="0" collapsed="false">
      <c r="A8" s="2" t="s">
        <v>11</v>
      </c>
      <c r="B8" s="3" t="s">
        <v>12</v>
      </c>
    </row>
    <row r="9" customFormat="false" ht="54.75" hidden="false" customHeight="true" outlineLevel="0" collapsed="false">
      <c r="A9" s="2" t="s">
        <v>13</v>
      </c>
      <c r="B9" s="3" t="s">
        <v>14</v>
      </c>
    </row>
    <row r="10" customFormat="false" ht="54.75" hidden="false" customHeight="true" outlineLevel="0" collapsed="false">
      <c r="A10" s="4" t="s">
        <v>15</v>
      </c>
      <c r="B10" s="4"/>
    </row>
    <row r="11" customFormat="false" ht="15" hidden="false" customHeight="false" outlineLevel="0" collapsed="false">
      <c r="A11" s="4"/>
      <c r="B11" s="4"/>
    </row>
    <row r="12" customFormat="false" ht="15" hidden="false" customHeight="false" outlineLevel="0" collapsed="false">
      <c r="A12" s="4"/>
      <c r="B12" s="4"/>
    </row>
  </sheetData>
  <mergeCells count="2">
    <mergeCell ref="A1:B1"/>
    <mergeCell ref="A10:B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D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5" width="34"/>
    <col collapsed="false" customWidth="true" hidden="false" outlineLevel="0" max="2" min="2" style="5" width="16"/>
    <col collapsed="false" customWidth="true" hidden="false" outlineLevel="0" max="3" min="3" style="5" width="40"/>
    <col collapsed="false" customWidth="true" hidden="false" outlineLevel="0" max="4" min="4" style="5" width="4"/>
  </cols>
  <sheetData>
    <row r="1" customFormat="false" ht="21.75" hidden="false" customHeight="true" outlineLevel="0" collapsed="false">
      <c r="A1" s="6" t="s">
        <v>16</v>
      </c>
      <c r="B1" s="6"/>
      <c r="C1" s="6"/>
      <c r="D1" s="6"/>
    </row>
    <row r="2" customFormat="false" ht="15" hidden="false" customHeight="true" outlineLevel="0" collapsed="false">
      <c r="A2" s="7" t="s">
        <v>17</v>
      </c>
      <c r="B2" s="7"/>
      <c r="C2" s="7"/>
      <c r="D2" s="7"/>
    </row>
    <row r="4" customFormat="false" ht="21.75" hidden="false" customHeight="true" outlineLevel="0" collapsed="false">
      <c r="A4" s="8" t="s">
        <v>18</v>
      </c>
      <c r="B4" s="8"/>
      <c r="C4" s="8"/>
      <c r="D4" s="8"/>
    </row>
    <row r="5" customFormat="false" ht="15" hidden="false" customHeight="true" outlineLevel="0" collapsed="false">
      <c r="A5" s="9" t="s">
        <v>19</v>
      </c>
      <c r="B5" s="10" t="n">
        <f aca="false">CORREL('Ikeja Marketing Data'!C5:C28,'Ikeja Marketing Data'!D5:D28)</f>
        <v>0.783152780319501</v>
      </c>
      <c r="C5" s="11" t="s">
        <v>20</v>
      </c>
      <c r="D5" s="12"/>
    </row>
    <row r="6" customFormat="false" ht="39.75" hidden="false" customHeight="true" outlineLevel="0" collapsed="false">
      <c r="A6" s="13" t="s">
        <v>21</v>
      </c>
      <c r="B6" s="13"/>
      <c r="C6" s="13"/>
      <c r="D6" s="13"/>
    </row>
    <row r="7" customFormat="false" ht="15" hidden="false" customHeight="true" outlineLevel="0" collapsed="false">
      <c r="A7" s="13"/>
      <c r="B7" s="13"/>
      <c r="C7" s="13"/>
      <c r="D7" s="13"/>
    </row>
    <row r="9" customFormat="false" ht="21.75" hidden="false" customHeight="true" outlineLevel="0" collapsed="false">
      <c r="A9" s="8" t="s">
        <v>22</v>
      </c>
      <c r="B9" s="8"/>
      <c r="C9" s="8"/>
      <c r="D9" s="8"/>
    </row>
    <row r="10" customFormat="false" ht="15" hidden="false" customHeight="true" outlineLevel="0" collapsed="false">
      <c r="A10" s="9" t="s">
        <v>19</v>
      </c>
      <c r="B10" s="10" t="n">
        <f aca="false">CORREL('Yaba Marketing Data'!C5:C28,'Yaba Marketing Data'!D5:D28)</f>
        <v>0.271749759656606</v>
      </c>
      <c r="C10" s="11" t="s">
        <v>23</v>
      </c>
      <c r="D10" s="12"/>
    </row>
    <row r="11" customFormat="false" ht="39.75" hidden="false" customHeight="true" outlineLevel="0" collapsed="false">
      <c r="A11" s="13" t="s">
        <v>24</v>
      </c>
      <c r="B11" s="13"/>
      <c r="C11" s="13"/>
      <c r="D11" s="13"/>
    </row>
    <row r="12" customFormat="false" ht="15" hidden="false" customHeight="true" outlineLevel="0" collapsed="false">
      <c r="A12" s="13"/>
      <c r="B12" s="13"/>
      <c r="C12" s="13"/>
      <c r="D12" s="13"/>
    </row>
    <row r="14" customFormat="false" ht="21.75" hidden="false" customHeight="true" outlineLevel="0" collapsed="false">
      <c r="A14" s="8" t="s">
        <v>25</v>
      </c>
      <c r="B14" s="8"/>
      <c r="C14" s="8"/>
      <c r="D14" s="8"/>
    </row>
    <row r="15" customFormat="false" ht="15" hidden="false" customHeight="true" outlineLevel="0" collapsed="false">
      <c r="A15" s="9" t="s">
        <v>19</v>
      </c>
      <c r="B15" s="10" t="n">
        <f aca="false">CORREL('Spurious Correlation Data'!C5:C28,'Spurious Correlation Data'!D5:D28)</f>
        <v>0.786401005839155</v>
      </c>
      <c r="C15" s="11" t="s">
        <v>26</v>
      </c>
      <c r="D15" s="12"/>
    </row>
    <row r="16" customFormat="false" ht="79.5" hidden="false" customHeight="true" outlineLevel="0" collapsed="false">
      <c r="A16" s="13" t="s">
        <v>27</v>
      </c>
      <c r="B16" s="13"/>
      <c r="C16" s="13"/>
      <c r="D16" s="13"/>
    </row>
    <row r="17" customFormat="false" ht="15" hidden="false" customHeight="true" outlineLevel="0" collapsed="false">
      <c r="A17" s="13"/>
      <c r="B17" s="13"/>
      <c r="C17" s="13"/>
      <c r="D17" s="13"/>
    </row>
    <row r="18" customFormat="false" ht="15" hidden="false" customHeight="true" outlineLevel="0" collapsed="false">
      <c r="A18" s="13"/>
      <c r="B18" s="13"/>
      <c r="C18" s="13"/>
      <c r="D18" s="13"/>
    </row>
    <row r="19" customFormat="false" ht="15" hidden="false" customHeight="true" outlineLevel="0" collapsed="false">
      <c r="A19" s="13"/>
      <c r="B19" s="13"/>
      <c r="C19" s="13"/>
      <c r="D19" s="13"/>
    </row>
  </sheetData>
  <mergeCells count="8">
    <mergeCell ref="A1:D1"/>
    <mergeCell ref="A2:D2"/>
    <mergeCell ref="A4:D4"/>
    <mergeCell ref="A6:D7"/>
    <mergeCell ref="A9:D9"/>
    <mergeCell ref="A11:D12"/>
    <mergeCell ref="A14:D14"/>
    <mergeCell ref="A16: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5" width="14"/>
    <col collapsed="false" customWidth="true" hidden="false" outlineLevel="0" max="3" min="3" style="5" width="20"/>
    <col collapsed="false" customWidth="true" hidden="false" outlineLevel="0" max="4" min="4" style="5" width="18"/>
  </cols>
  <sheetData>
    <row r="1" customFormat="false" ht="24" hidden="false" customHeight="true" outlineLevel="0" collapsed="false">
      <c r="A1" s="14" t="s">
        <v>28</v>
      </c>
      <c r="B1" s="14"/>
      <c r="C1" s="14"/>
      <c r="D1" s="14"/>
    </row>
    <row r="2" customFormat="false" ht="15" hidden="false" customHeight="true" outlineLevel="0" collapsed="false">
      <c r="A2" s="7" t="s">
        <v>29</v>
      </c>
      <c r="B2" s="7"/>
      <c r="C2" s="7"/>
      <c r="D2" s="7"/>
    </row>
    <row r="4" customFormat="false" ht="30" hidden="false" customHeight="true" outlineLevel="0" collapsed="false">
      <c r="A4" s="15" t="s">
        <v>30</v>
      </c>
      <c r="B4" s="15" t="s">
        <v>31</v>
      </c>
      <c r="C4" s="15" t="s">
        <v>32</v>
      </c>
      <c r="D4" s="15" t="s">
        <v>33</v>
      </c>
    </row>
    <row r="5" customFormat="false" ht="15" hidden="false" customHeight="true" outlineLevel="0" collapsed="false">
      <c r="A5" s="16" t="s">
        <v>34</v>
      </c>
      <c r="B5" s="16" t="s">
        <v>35</v>
      </c>
      <c r="C5" s="17" t="n">
        <v>59442</v>
      </c>
      <c r="D5" s="17" t="n">
        <v>352129</v>
      </c>
    </row>
    <row r="6" customFormat="false" ht="15" hidden="false" customHeight="true" outlineLevel="0" collapsed="false">
      <c r="A6" s="18" t="s">
        <v>36</v>
      </c>
      <c r="B6" s="18" t="s">
        <v>37</v>
      </c>
      <c r="C6" s="19" t="n">
        <v>22004</v>
      </c>
      <c r="D6" s="19" t="n">
        <v>206845</v>
      </c>
    </row>
    <row r="7" customFormat="false" ht="15" hidden="false" customHeight="true" outlineLevel="0" collapsed="false">
      <c r="A7" s="16" t="s">
        <v>38</v>
      </c>
      <c r="B7" s="16" t="s">
        <v>39</v>
      </c>
      <c r="C7" s="17" t="n">
        <v>12104</v>
      </c>
      <c r="D7" s="17" t="n">
        <v>243755</v>
      </c>
    </row>
    <row r="8" customFormat="false" ht="15" hidden="false" customHeight="true" outlineLevel="0" collapsed="false">
      <c r="A8" s="18" t="s">
        <v>40</v>
      </c>
      <c r="B8" s="18" t="s">
        <v>41</v>
      </c>
      <c r="C8" s="19" t="n">
        <v>24401</v>
      </c>
      <c r="D8" s="19" t="n">
        <v>252627</v>
      </c>
    </row>
    <row r="9" customFormat="false" ht="15" hidden="false" customHeight="true" outlineLevel="0" collapsed="false">
      <c r="A9" s="16" t="s">
        <v>42</v>
      </c>
      <c r="B9" s="16" t="s">
        <v>43</v>
      </c>
      <c r="C9" s="17" t="n">
        <v>31897</v>
      </c>
      <c r="D9" s="17" t="n">
        <v>312061</v>
      </c>
    </row>
    <row r="10" customFormat="false" ht="15" hidden="false" customHeight="true" outlineLevel="0" collapsed="false">
      <c r="A10" s="18" t="s">
        <v>44</v>
      </c>
      <c r="B10" s="18" t="s">
        <v>45</v>
      </c>
      <c r="C10" s="19" t="n">
        <v>57924</v>
      </c>
      <c r="D10" s="19" t="n">
        <v>331962</v>
      </c>
    </row>
    <row r="11" customFormat="false" ht="15" hidden="false" customHeight="true" outlineLevel="0" collapsed="false">
      <c r="A11" s="16" t="s">
        <v>46</v>
      </c>
      <c r="B11" s="16" t="s">
        <v>47</v>
      </c>
      <c r="C11" s="17" t="n">
        <v>34332</v>
      </c>
      <c r="D11" s="17" t="n">
        <v>296838</v>
      </c>
    </row>
    <row r="12" customFormat="false" ht="15" hidden="false" customHeight="true" outlineLevel="0" collapsed="false">
      <c r="A12" s="18" t="s">
        <v>48</v>
      </c>
      <c r="B12" s="18" t="s">
        <v>35</v>
      </c>
      <c r="C12" s="19" t="n">
        <v>10974</v>
      </c>
      <c r="D12" s="19" t="n">
        <v>166042</v>
      </c>
    </row>
    <row r="13" customFormat="false" ht="15" hidden="false" customHeight="true" outlineLevel="0" collapsed="false">
      <c r="A13" s="16" t="s">
        <v>49</v>
      </c>
      <c r="B13" s="16" t="s">
        <v>37</v>
      </c>
      <c r="C13" s="17" t="n">
        <v>26767</v>
      </c>
      <c r="D13" s="17" t="n">
        <v>311935</v>
      </c>
    </row>
    <row r="14" customFormat="false" ht="15" hidden="false" customHeight="true" outlineLevel="0" collapsed="false">
      <c r="A14" s="18" t="s">
        <v>50</v>
      </c>
      <c r="B14" s="18" t="s">
        <v>39</v>
      </c>
      <c r="C14" s="19" t="n">
        <v>44006</v>
      </c>
      <c r="D14" s="19" t="n">
        <v>331161</v>
      </c>
    </row>
    <row r="15" customFormat="false" ht="15" hidden="false" customHeight="true" outlineLevel="0" collapsed="false">
      <c r="A15" s="16" t="s">
        <v>51</v>
      </c>
      <c r="B15" s="16" t="s">
        <v>41</v>
      </c>
      <c r="C15" s="17" t="n">
        <v>57857</v>
      </c>
      <c r="D15" s="17" t="n">
        <v>383324</v>
      </c>
    </row>
    <row r="16" customFormat="false" ht="15" hidden="false" customHeight="true" outlineLevel="0" collapsed="false">
      <c r="A16" s="18" t="s">
        <v>52</v>
      </c>
      <c r="B16" s="18" t="s">
        <v>43</v>
      </c>
      <c r="C16" s="19" t="n">
        <v>52356</v>
      </c>
      <c r="D16" s="19" t="n">
        <v>370117</v>
      </c>
    </row>
    <row r="17" customFormat="false" ht="15" hidden="false" customHeight="true" outlineLevel="0" collapsed="false">
      <c r="A17" s="16" t="s">
        <v>53</v>
      </c>
      <c r="B17" s="16" t="s">
        <v>45</v>
      </c>
      <c r="C17" s="17" t="n">
        <v>69535</v>
      </c>
      <c r="D17" s="17" t="n">
        <v>346920</v>
      </c>
    </row>
    <row r="18" customFormat="false" ht="15" hidden="false" customHeight="true" outlineLevel="0" collapsed="false">
      <c r="A18" s="18" t="s">
        <v>54</v>
      </c>
      <c r="B18" s="18" t="s">
        <v>47</v>
      </c>
      <c r="C18" s="19" t="n">
        <v>17213</v>
      </c>
      <c r="D18" s="19" t="n">
        <v>278157</v>
      </c>
    </row>
    <row r="19" customFormat="false" ht="15" hidden="false" customHeight="true" outlineLevel="0" collapsed="false">
      <c r="A19" s="16" t="s">
        <v>55</v>
      </c>
      <c r="B19" s="16" t="s">
        <v>35</v>
      </c>
      <c r="C19" s="17" t="n">
        <v>62214</v>
      </c>
      <c r="D19" s="17" t="n">
        <v>492203</v>
      </c>
    </row>
    <row r="20" customFormat="false" ht="15" hidden="false" customHeight="true" outlineLevel="0" collapsed="false">
      <c r="A20" s="18" t="s">
        <v>56</v>
      </c>
      <c r="B20" s="18" t="s">
        <v>37</v>
      </c>
      <c r="C20" s="19" t="n">
        <v>8584</v>
      </c>
      <c r="D20" s="19" t="n">
        <v>117354</v>
      </c>
    </row>
    <row r="21" customFormat="false" ht="15" hidden="false" customHeight="true" outlineLevel="0" collapsed="false">
      <c r="A21" s="16" t="s">
        <v>57</v>
      </c>
      <c r="B21" s="16" t="s">
        <v>39</v>
      </c>
      <c r="C21" s="17" t="n">
        <v>41284</v>
      </c>
      <c r="D21" s="17" t="n">
        <v>216991</v>
      </c>
    </row>
    <row r="22" customFormat="false" ht="15" hidden="false" customHeight="true" outlineLevel="0" collapsed="false">
      <c r="A22" s="18" t="s">
        <v>58</v>
      </c>
      <c r="B22" s="18" t="s">
        <v>41</v>
      </c>
      <c r="C22" s="19" t="n">
        <v>22873</v>
      </c>
      <c r="D22" s="19" t="n">
        <v>170428</v>
      </c>
    </row>
    <row r="23" customFormat="false" ht="15" hidden="false" customHeight="true" outlineLevel="0" collapsed="false">
      <c r="A23" s="16" t="s">
        <v>59</v>
      </c>
      <c r="B23" s="16" t="s">
        <v>43</v>
      </c>
      <c r="C23" s="17" t="n">
        <v>18087</v>
      </c>
      <c r="D23" s="17" t="n">
        <v>284159</v>
      </c>
    </row>
    <row r="24" customFormat="false" ht="15" hidden="false" customHeight="true" outlineLevel="0" collapsed="false">
      <c r="A24" s="18" t="s">
        <v>60</v>
      </c>
      <c r="B24" s="18" t="s">
        <v>45</v>
      </c>
      <c r="C24" s="19" t="n">
        <v>47733</v>
      </c>
      <c r="D24" s="19" t="n">
        <v>339825</v>
      </c>
    </row>
    <row r="25" customFormat="false" ht="15" hidden="false" customHeight="true" outlineLevel="0" collapsed="false">
      <c r="A25" s="16" t="s">
        <v>61</v>
      </c>
      <c r="B25" s="16" t="s">
        <v>47</v>
      </c>
      <c r="C25" s="17" t="n">
        <v>24870</v>
      </c>
      <c r="D25" s="17" t="n">
        <v>318893</v>
      </c>
    </row>
    <row r="26" customFormat="false" ht="15" hidden="false" customHeight="true" outlineLevel="0" collapsed="false">
      <c r="A26" s="18" t="s">
        <v>62</v>
      </c>
      <c r="B26" s="18" t="s">
        <v>35</v>
      </c>
      <c r="C26" s="19" t="n">
        <v>41547</v>
      </c>
      <c r="D26" s="19" t="n">
        <v>352684</v>
      </c>
    </row>
    <row r="27" customFormat="false" ht="15" hidden="false" customHeight="true" outlineLevel="0" collapsed="false">
      <c r="A27" s="16" t="s">
        <v>63</v>
      </c>
      <c r="B27" s="16" t="s">
        <v>37</v>
      </c>
      <c r="C27" s="17" t="n">
        <v>21910</v>
      </c>
      <c r="D27" s="17" t="n">
        <v>261693</v>
      </c>
    </row>
    <row r="28" customFormat="false" ht="15" hidden="false" customHeight="true" outlineLevel="0" collapsed="false">
      <c r="A28" s="18" t="s">
        <v>64</v>
      </c>
      <c r="B28" s="18" t="s">
        <v>39</v>
      </c>
      <c r="C28" s="19" t="n">
        <v>14754</v>
      </c>
      <c r="D28" s="19" t="n">
        <v>242835</v>
      </c>
    </row>
    <row r="30" customFormat="false" ht="21.75" hidden="false" customHeight="true" outlineLevel="0" collapsed="false">
      <c r="A30" s="20" t="s">
        <v>65</v>
      </c>
      <c r="B30" s="20"/>
      <c r="C30" s="20"/>
      <c r="D30" s="20"/>
    </row>
  </sheetData>
  <mergeCells count="3">
    <mergeCell ref="A1:D1"/>
    <mergeCell ref="A2:D2"/>
    <mergeCell ref="A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5" width="14"/>
    <col collapsed="false" customWidth="true" hidden="false" outlineLevel="0" max="3" min="3" style="5" width="20"/>
    <col collapsed="false" customWidth="true" hidden="false" outlineLevel="0" max="4" min="4" style="5" width="18"/>
  </cols>
  <sheetData>
    <row r="1" customFormat="false" ht="24" hidden="false" customHeight="true" outlineLevel="0" collapsed="false">
      <c r="A1" s="14" t="s">
        <v>66</v>
      </c>
      <c r="B1" s="14"/>
      <c r="C1" s="14"/>
      <c r="D1" s="14"/>
    </row>
    <row r="2" customFormat="false" ht="15" hidden="false" customHeight="true" outlineLevel="0" collapsed="false">
      <c r="A2" s="7" t="s">
        <v>67</v>
      </c>
      <c r="B2" s="7"/>
      <c r="C2" s="7"/>
      <c r="D2" s="7"/>
    </row>
    <row r="4" customFormat="false" ht="30" hidden="false" customHeight="true" outlineLevel="0" collapsed="false">
      <c r="A4" s="15" t="s">
        <v>30</v>
      </c>
      <c r="B4" s="15" t="s">
        <v>31</v>
      </c>
      <c r="C4" s="15" t="s">
        <v>32</v>
      </c>
      <c r="D4" s="15" t="s">
        <v>33</v>
      </c>
    </row>
    <row r="5" customFormat="false" ht="15" hidden="false" customHeight="true" outlineLevel="0" collapsed="false">
      <c r="A5" s="16" t="s">
        <v>34</v>
      </c>
      <c r="B5" s="16" t="s">
        <v>35</v>
      </c>
      <c r="C5" s="17" t="n">
        <v>35757</v>
      </c>
      <c r="D5" s="17" t="n">
        <v>177267</v>
      </c>
    </row>
    <row r="6" customFormat="false" ht="15" hidden="false" customHeight="true" outlineLevel="0" collapsed="false">
      <c r="A6" s="18" t="s">
        <v>36</v>
      </c>
      <c r="B6" s="18" t="s">
        <v>37</v>
      </c>
      <c r="C6" s="19" t="n">
        <v>38268</v>
      </c>
      <c r="D6" s="19" t="n">
        <v>213186</v>
      </c>
    </row>
    <row r="7" customFormat="false" ht="15" hidden="false" customHeight="true" outlineLevel="0" collapsed="false">
      <c r="A7" s="16" t="s">
        <v>38</v>
      </c>
      <c r="B7" s="16" t="s">
        <v>39</v>
      </c>
      <c r="C7" s="17" t="n">
        <v>54085</v>
      </c>
      <c r="D7" s="17" t="n">
        <v>203524</v>
      </c>
    </row>
    <row r="8" customFormat="false" ht="15" hidden="false" customHeight="true" outlineLevel="0" collapsed="false">
      <c r="A8" s="18" t="s">
        <v>40</v>
      </c>
      <c r="B8" s="18" t="s">
        <v>41</v>
      </c>
      <c r="C8" s="19" t="n">
        <v>66780</v>
      </c>
      <c r="D8" s="19" t="n">
        <v>275999</v>
      </c>
    </row>
    <row r="9" customFormat="false" ht="15" hidden="false" customHeight="true" outlineLevel="0" collapsed="false">
      <c r="A9" s="16" t="s">
        <v>42</v>
      </c>
      <c r="B9" s="16" t="s">
        <v>43</v>
      </c>
      <c r="C9" s="17" t="n">
        <v>7265</v>
      </c>
      <c r="D9" s="17" t="n">
        <v>206742</v>
      </c>
    </row>
    <row r="10" customFormat="false" ht="15" hidden="false" customHeight="true" outlineLevel="0" collapsed="false">
      <c r="A10" s="18" t="s">
        <v>44</v>
      </c>
      <c r="B10" s="18" t="s">
        <v>45</v>
      </c>
      <c r="C10" s="19" t="n">
        <v>14370</v>
      </c>
      <c r="D10" s="19" t="n">
        <v>191075</v>
      </c>
    </row>
    <row r="11" customFormat="false" ht="15" hidden="false" customHeight="true" outlineLevel="0" collapsed="false">
      <c r="A11" s="16" t="s">
        <v>46</v>
      </c>
      <c r="B11" s="16" t="s">
        <v>47</v>
      </c>
      <c r="C11" s="17" t="n">
        <v>58491</v>
      </c>
      <c r="D11" s="17" t="n">
        <v>188180</v>
      </c>
    </row>
    <row r="12" customFormat="false" ht="15" hidden="false" customHeight="true" outlineLevel="0" collapsed="false">
      <c r="A12" s="18" t="s">
        <v>48</v>
      </c>
      <c r="B12" s="18" t="s">
        <v>35</v>
      </c>
      <c r="C12" s="19" t="n">
        <v>66662</v>
      </c>
      <c r="D12" s="19" t="n">
        <v>224566</v>
      </c>
    </row>
    <row r="13" customFormat="false" ht="15" hidden="false" customHeight="true" outlineLevel="0" collapsed="false">
      <c r="A13" s="16" t="s">
        <v>49</v>
      </c>
      <c r="B13" s="16" t="s">
        <v>37</v>
      </c>
      <c r="C13" s="17" t="n">
        <v>21199</v>
      </c>
      <c r="D13" s="17" t="n">
        <v>213208</v>
      </c>
    </row>
    <row r="14" customFormat="false" ht="15" hidden="false" customHeight="true" outlineLevel="0" collapsed="false">
      <c r="A14" s="18" t="s">
        <v>50</v>
      </c>
      <c r="B14" s="18" t="s">
        <v>39</v>
      </c>
      <c r="C14" s="19" t="n">
        <v>25269</v>
      </c>
      <c r="D14" s="19" t="n">
        <v>198625</v>
      </c>
    </row>
    <row r="15" customFormat="false" ht="15" hidden="false" customHeight="true" outlineLevel="0" collapsed="false">
      <c r="A15" s="16" t="s">
        <v>51</v>
      </c>
      <c r="B15" s="16" t="s">
        <v>41</v>
      </c>
      <c r="C15" s="17" t="n">
        <v>61486</v>
      </c>
      <c r="D15" s="17" t="n">
        <v>314535</v>
      </c>
    </row>
    <row r="16" customFormat="false" ht="15" hidden="false" customHeight="true" outlineLevel="0" collapsed="false">
      <c r="A16" s="18" t="s">
        <v>52</v>
      </c>
      <c r="B16" s="18" t="s">
        <v>43</v>
      </c>
      <c r="C16" s="19" t="n">
        <v>32516</v>
      </c>
      <c r="D16" s="19" t="n">
        <v>279913</v>
      </c>
    </row>
    <row r="17" customFormat="false" ht="15" hidden="false" customHeight="true" outlineLevel="0" collapsed="false">
      <c r="A17" s="16" t="s">
        <v>53</v>
      </c>
      <c r="B17" s="16" t="s">
        <v>45</v>
      </c>
      <c r="C17" s="17" t="n">
        <v>22756</v>
      </c>
      <c r="D17" s="17" t="n">
        <v>50984</v>
      </c>
    </row>
    <row r="18" customFormat="false" ht="15" hidden="false" customHeight="true" outlineLevel="0" collapsed="false">
      <c r="A18" s="18" t="s">
        <v>54</v>
      </c>
      <c r="B18" s="18" t="s">
        <v>47</v>
      </c>
      <c r="C18" s="19" t="n">
        <v>58800</v>
      </c>
      <c r="D18" s="19" t="n">
        <v>121939</v>
      </c>
    </row>
    <row r="19" customFormat="false" ht="15" hidden="false" customHeight="true" outlineLevel="0" collapsed="false">
      <c r="A19" s="16" t="s">
        <v>55</v>
      </c>
      <c r="B19" s="16" t="s">
        <v>35</v>
      </c>
      <c r="C19" s="17" t="n">
        <v>21704</v>
      </c>
      <c r="D19" s="17" t="n">
        <v>202536</v>
      </c>
    </row>
    <row r="20" customFormat="false" ht="15" hidden="false" customHeight="true" outlineLevel="0" collapsed="false">
      <c r="A20" s="18" t="s">
        <v>56</v>
      </c>
      <c r="B20" s="18" t="s">
        <v>37</v>
      </c>
      <c r="C20" s="19" t="n">
        <v>31597</v>
      </c>
      <c r="D20" s="19" t="n">
        <v>193627</v>
      </c>
    </row>
    <row r="21" customFormat="false" ht="15" hidden="false" customHeight="true" outlineLevel="0" collapsed="false">
      <c r="A21" s="16" t="s">
        <v>57</v>
      </c>
      <c r="B21" s="16" t="s">
        <v>39</v>
      </c>
      <c r="C21" s="17" t="n">
        <v>46848</v>
      </c>
      <c r="D21" s="17" t="n">
        <v>240927</v>
      </c>
    </row>
    <row r="22" customFormat="false" ht="15" hidden="false" customHeight="true" outlineLevel="0" collapsed="false">
      <c r="A22" s="18" t="s">
        <v>58</v>
      </c>
      <c r="B22" s="18" t="s">
        <v>41</v>
      </c>
      <c r="C22" s="19" t="n">
        <v>40723</v>
      </c>
      <c r="D22" s="19" t="n">
        <v>237473</v>
      </c>
    </row>
    <row r="23" customFormat="false" ht="15" hidden="false" customHeight="true" outlineLevel="0" collapsed="false">
      <c r="A23" s="16" t="s">
        <v>59</v>
      </c>
      <c r="B23" s="16" t="s">
        <v>43</v>
      </c>
      <c r="C23" s="17" t="n">
        <v>10573</v>
      </c>
      <c r="D23" s="17" t="n">
        <v>333414</v>
      </c>
    </row>
    <row r="24" customFormat="false" ht="15" hidden="false" customHeight="true" outlineLevel="0" collapsed="false">
      <c r="A24" s="18" t="s">
        <v>60</v>
      </c>
      <c r="B24" s="18" t="s">
        <v>45</v>
      </c>
      <c r="C24" s="19" t="n">
        <v>6791</v>
      </c>
      <c r="D24" s="19" t="n">
        <v>137353</v>
      </c>
    </row>
    <row r="25" customFormat="false" ht="15" hidden="false" customHeight="true" outlineLevel="0" collapsed="false">
      <c r="A25" s="16" t="s">
        <v>61</v>
      </c>
      <c r="B25" s="16" t="s">
        <v>47</v>
      </c>
      <c r="C25" s="17" t="n">
        <v>61263</v>
      </c>
      <c r="D25" s="17" t="n">
        <v>214101</v>
      </c>
    </row>
    <row r="26" customFormat="false" ht="15" hidden="false" customHeight="true" outlineLevel="0" collapsed="false">
      <c r="A26" s="18" t="s">
        <v>62</v>
      </c>
      <c r="B26" s="18" t="s">
        <v>35</v>
      </c>
      <c r="C26" s="19" t="n">
        <v>53978</v>
      </c>
      <c r="D26" s="19" t="n">
        <v>354953</v>
      </c>
    </row>
    <row r="27" customFormat="false" ht="15" hidden="false" customHeight="true" outlineLevel="0" collapsed="false">
      <c r="A27" s="16" t="s">
        <v>63</v>
      </c>
      <c r="B27" s="16" t="s">
        <v>37</v>
      </c>
      <c r="C27" s="17" t="n">
        <v>59462</v>
      </c>
      <c r="D27" s="17" t="n">
        <v>274479</v>
      </c>
    </row>
    <row r="28" customFormat="false" ht="15" hidden="false" customHeight="true" outlineLevel="0" collapsed="false">
      <c r="A28" s="18" t="s">
        <v>64</v>
      </c>
      <c r="B28" s="18" t="s">
        <v>39</v>
      </c>
      <c r="C28" s="19" t="n">
        <v>39979</v>
      </c>
      <c r="D28" s="19" t="n">
        <v>263771</v>
      </c>
    </row>
    <row r="30" customFormat="false" ht="21.75" hidden="false" customHeight="true" outlineLevel="0" collapsed="false">
      <c r="A30" s="20" t="s">
        <v>68</v>
      </c>
      <c r="B30" s="20"/>
      <c r="C30" s="20"/>
      <c r="D30" s="20"/>
    </row>
  </sheetData>
  <mergeCells count="3">
    <mergeCell ref="A1:D1"/>
    <mergeCell ref="A2:D2"/>
    <mergeCell ref="A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5" width="14"/>
    <col collapsed="false" customWidth="true" hidden="false" outlineLevel="0" max="3" min="3" style="5" width="24"/>
    <col collapsed="false" customWidth="true" hidden="false" outlineLevel="0" max="4" min="4" style="5" width="20"/>
  </cols>
  <sheetData>
    <row r="1" customFormat="false" ht="24" hidden="false" customHeight="true" outlineLevel="0" collapsed="false">
      <c r="A1" s="14" t="s">
        <v>69</v>
      </c>
      <c r="B1" s="14"/>
      <c r="C1" s="14"/>
      <c r="D1" s="14"/>
    </row>
    <row r="2" customFormat="false" ht="15" hidden="false" customHeight="true" outlineLevel="0" collapsed="false">
      <c r="A2" s="7" t="s">
        <v>70</v>
      </c>
      <c r="B2" s="7"/>
      <c r="C2" s="7"/>
      <c r="D2" s="7"/>
    </row>
    <row r="4" customFormat="false" ht="30" hidden="false" customHeight="true" outlineLevel="0" collapsed="false">
      <c r="A4" s="15" t="s">
        <v>30</v>
      </c>
      <c r="B4" s="15" t="s">
        <v>31</v>
      </c>
      <c r="C4" s="15" t="s">
        <v>71</v>
      </c>
      <c r="D4" s="15" t="s">
        <v>72</v>
      </c>
    </row>
    <row r="5" customFormat="false" ht="15" hidden="false" customHeight="true" outlineLevel="0" collapsed="false">
      <c r="A5" s="16" t="s">
        <v>34</v>
      </c>
      <c r="B5" s="16" t="s">
        <v>35</v>
      </c>
      <c r="C5" s="17" t="n">
        <v>2483</v>
      </c>
      <c r="D5" s="21" t="n">
        <v>114.4</v>
      </c>
    </row>
    <row r="6" customFormat="false" ht="15" hidden="false" customHeight="true" outlineLevel="0" collapsed="false">
      <c r="A6" s="18" t="s">
        <v>36</v>
      </c>
      <c r="B6" s="18" t="s">
        <v>37</v>
      </c>
      <c r="C6" s="19" t="n">
        <v>2510</v>
      </c>
      <c r="D6" s="22" t="n">
        <v>114.4</v>
      </c>
    </row>
    <row r="7" customFormat="false" ht="15" hidden="false" customHeight="true" outlineLevel="0" collapsed="false">
      <c r="A7" s="16" t="s">
        <v>38</v>
      </c>
      <c r="B7" s="16" t="s">
        <v>39</v>
      </c>
      <c r="C7" s="17" t="n">
        <v>2217</v>
      </c>
      <c r="D7" s="21" t="n">
        <v>113.3</v>
      </c>
    </row>
    <row r="8" customFormat="false" ht="15" hidden="false" customHeight="true" outlineLevel="0" collapsed="false">
      <c r="A8" s="18" t="s">
        <v>40</v>
      </c>
      <c r="B8" s="18" t="s">
        <v>41</v>
      </c>
      <c r="C8" s="19" t="n">
        <v>2186</v>
      </c>
      <c r="D8" s="22" t="n">
        <v>93.9</v>
      </c>
    </row>
    <row r="9" customFormat="false" ht="15" hidden="false" customHeight="true" outlineLevel="0" collapsed="false">
      <c r="A9" s="16" t="s">
        <v>42</v>
      </c>
      <c r="B9" s="16" t="s">
        <v>43</v>
      </c>
      <c r="C9" s="17" t="n">
        <v>2028</v>
      </c>
      <c r="D9" s="21" t="n">
        <v>98.8</v>
      </c>
    </row>
    <row r="10" customFormat="false" ht="15" hidden="false" customHeight="true" outlineLevel="0" collapsed="false">
      <c r="A10" s="18" t="s">
        <v>44</v>
      </c>
      <c r="B10" s="18" t="s">
        <v>45</v>
      </c>
      <c r="C10" s="19" t="n">
        <v>2239</v>
      </c>
      <c r="D10" s="22" t="n">
        <v>97.2</v>
      </c>
    </row>
    <row r="11" customFormat="false" ht="15" hidden="false" customHeight="true" outlineLevel="0" collapsed="false">
      <c r="A11" s="16" t="s">
        <v>46</v>
      </c>
      <c r="B11" s="16" t="s">
        <v>47</v>
      </c>
      <c r="C11" s="17" t="n">
        <v>2185</v>
      </c>
      <c r="D11" s="21" t="n">
        <v>102.5</v>
      </c>
    </row>
    <row r="12" customFormat="false" ht="15" hidden="false" customHeight="true" outlineLevel="0" collapsed="false">
      <c r="A12" s="18" t="s">
        <v>48</v>
      </c>
      <c r="B12" s="18" t="s">
        <v>35</v>
      </c>
      <c r="C12" s="19" t="n">
        <v>2084</v>
      </c>
      <c r="D12" s="22" t="n">
        <v>89.1</v>
      </c>
    </row>
    <row r="13" customFormat="false" ht="15" hidden="false" customHeight="true" outlineLevel="0" collapsed="false">
      <c r="A13" s="16" t="s">
        <v>49</v>
      </c>
      <c r="B13" s="16" t="s">
        <v>37</v>
      </c>
      <c r="C13" s="17" t="n">
        <v>2082</v>
      </c>
      <c r="D13" s="21" t="n">
        <v>102.9</v>
      </c>
    </row>
    <row r="14" customFormat="false" ht="15" hidden="false" customHeight="true" outlineLevel="0" collapsed="false">
      <c r="A14" s="18" t="s">
        <v>50</v>
      </c>
      <c r="B14" s="18" t="s">
        <v>39</v>
      </c>
      <c r="C14" s="19" t="n">
        <v>2536</v>
      </c>
      <c r="D14" s="22" t="n">
        <v>124.8</v>
      </c>
    </row>
    <row r="15" customFormat="false" ht="15" hidden="false" customHeight="true" outlineLevel="0" collapsed="false">
      <c r="A15" s="16" t="s">
        <v>51</v>
      </c>
      <c r="B15" s="16" t="s">
        <v>41</v>
      </c>
      <c r="C15" s="17" t="n">
        <v>2320</v>
      </c>
      <c r="D15" s="21" t="n">
        <v>126</v>
      </c>
    </row>
    <row r="16" customFormat="false" ht="15" hidden="false" customHeight="true" outlineLevel="0" collapsed="false">
      <c r="A16" s="18" t="s">
        <v>52</v>
      </c>
      <c r="B16" s="18" t="s">
        <v>43</v>
      </c>
      <c r="C16" s="19" t="n">
        <v>2152</v>
      </c>
      <c r="D16" s="22" t="n">
        <v>103.4</v>
      </c>
    </row>
    <row r="17" customFormat="false" ht="15" hidden="false" customHeight="true" outlineLevel="0" collapsed="false">
      <c r="A17" s="16" t="s">
        <v>53</v>
      </c>
      <c r="B17" s="16" t="s">
        <v>45</v>
      </c>
      <c r="C17" s="17" t="n">
        <v>2210</v>
      </c>
      <c r="D17" s="21" t="n">
        <v>110.3</v>
      </c>
    </row>
    <row r="18" customFormat="false" ht="15" hidden="false" customHeight="true" outlineLevel="0" collapsed="false">
      <c r="A18" s="18" t="s">
        <v>54</v>
      </c>
      <c r="B18" s="18" t="s">
        <v>47</v>
      </c>
      <c r="C18" s="19" t="n">
        <v>2461</v>
      </c>
      <c r="D18" s="22" t="n">
        <v>125.7</v>
      </c>
    </row>
    <row r="19" customFormat="false" ht="15" hidden="false" customHeight="true" outlineLevel="0" collapsed="false">
      <c r="A19" s="16" t="s">
        <v>55</v>
      </c>
      <c r="B19" s="16" t="s">
        <v>35</v>
      </c>
      <c r="C19" s="17" t="n">
        <v>2518</v>
      </c>
      <c r="D19" s="21" t="n">
        <v>114.8</v>
      </c>
    </row>
    <row r="20" customFormat="false" ht="15" hidden="false" customHeight="true" outlineLevel="0" collapsed="false">
      <c r="A20" s="18" t="s">
        <v>56</v>
      </c>
      <c r="B20" s="18" t="s">
        <v>37</v>
      </c>
      <c r="C20" s="19" t="n">
        <v>2411</v>
      </c>
      <c r="D20" s="22" t="n">
        <v>116.5</v>
      </c>
    </row>
    <row r="21" customFormat="false" ht="15" hidden="false" customHeight="true" outlineLevel="0" collapsed="false">
      <c r="A21" s="16" t="s">
        <v>57</v>
      </c>
      <c r="B21" s="16" t="s">
        <v>39</v>
      </c>
      <c r="C21" s="17" t="n">
        <v>2324</v>
      </c>
      <c r="D21" s="21" t="n">
        <v>112.1</v>
      </c>
    </row>
    <row r="22" customFormat="false" ht="15" hidden="false" customHeight="true" outlineLevel="0" collapsed="false">
      <c r="A22" s="18" t="s">
        <v>58</v>
      </c>
      <c r="B22" s="18" t="s">
        <v>41</v>
      </c>
      <c r="C22" s="19" t="n">
        <v>2347</v>
      </c>
      <c r="D22" s="22" t="n">
        <v>104.5</v>
      </c>
    </row>
    <row r="23" customFormat="false" ht="15" hidden="false" customHeight="true" outlineLevel="0" collapsed="false">
      <c r="A23" s="16" t="s">
        <v>59</v>
      </c>
      <c r="B23" s="16" t="s">
        <v>43</v>
      </c>
      <c r="C23" s="17" t="n">
        <v>2275</v>
      </c>
      <c r="D23" s="21" t="n">
        <v>113.3</v>
      </c>
    </row>
    <row r="24" customFormat="false" ht="15" hidden="false" customHeight="true" outlineLevel="0" collapsed="false">
      <c r="A24" s="18" t="s">
        <v>60</v>
      </c>
      <c r="B24" s="18" t="s">
        <v>45</v>
      </c>
      <c r="C24" s="19" t="n">
        <v>2106</v>
      </c>
      <c r="D24" s="22" t="n">
        <v>94.4</v>
      </c>
    </row>
    <row r="25" customFormat="false" ht="15" hidden="false" customHeight="true" outlineLevel="0" collapsed="false">
      <c r="A25" s="16" t="s">
        <v>61</v>
      </c>
      <c r="B25" s="16" t="s">
        <v>47</v>
      </c>
      <c r="C25" s="17" t="n">
        <v>2269</v>
      </c>
      <c r="D25" s="21" t="n">
        <v>112.3</v>
      </c>
    </row>
    <row r="26" customFormat="false" ht="15" hidden="false" customHeight="true" outlineLevel="0" collapsed="false">
      <c r="A26" s="18" t="s">
        <v>62</v>
      </c>
      <c r="B26" s="18" t="s">
        <v>35</v>
      </c>
      <c r="C26" s="19" t="n">
        <v>2196</v>
      </c>
      <c r="D26" s="22" t="n">
        <v>98.4</v>
      </c>
    </row>
    <row r="27" customFormat="false" ht="15" hidden="false" customHeight="true" outlineLevel="0" collapsed="false">
      <c r="A27" s="16" t="s">
        <v>63</v>
      </c>
      <c r="B27" s="16" t="s">
        <v>37</v>
      </c>
      <c r="C27" s="17" t="n">
        <v>2498</v>
      </c>
      <c r="D27" s="21" t="n">
        <v>117</v>
      </c>
    </row>
    <row r="28" customFormat="false" ht="15" hidden="false" customHeight="true" outlineLevel="0" collapsed="false">
      <c r="A28" s="18" t="s">
        <v>64</v>
      </c>
      <c r="B28" s="18" t="s">
        <v>39</v>
      </c>
      <c r="C28" s="19" t="n">
        <v>1972</v>
      </c>
      <c r="D28" s="22" t="n">
        <v>96.1</v>
      </c>
    </row>
    <row r="30" customFormat="false" ht="21.75" hidden="false" customHeight="true" outlineLevel="0" collapsed="false">
      <c r="A30" s="20" t="s">
        <v>73</v>
      </c>
      <c r="B30" s="20"/>
      <c r="C30" s="20"/>
      <c r="D30" s="20"/>
    </row>
  </sheetData>
  <mergeCells count="3">
    <mergeCell ref="A1:D1"/>
    <mergeCell ref="A2:D2"/>
    <mergeCell ref="A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2026-08-27T14:19:03Z</dcterms:created>
  <dc:creator>openpyxl</dc:creator>
  <dc:description/>
  <dc:language>en-US</dc:language>
  <cp:lastModifiedBy/>
  <dcterms:modified xsi:type="dcterms:W3CDTF">2026-09-04T03:37:52Z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