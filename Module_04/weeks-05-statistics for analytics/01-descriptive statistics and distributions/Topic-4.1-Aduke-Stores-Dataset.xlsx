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66C7D68-7561-4C34-89C9-6DA096FF3E7B}" xr6:coauthVersionLast="36" xr6:coauthVersionMax="36" xr10:uidLastSave="{00000000-0000-0000-0000-000000000000}"/>
  <bookViews>
    <workbookView xWindow="0" yWindow="0" windowWidth="17490" windowHeight="7890" tabRatio="500" xr2:uid="{00000000-000D-0000-FFFF-FFFF00000000}"/>
  </bookViews>
  <sheets>
    <sheet name="Dataset Provenance" sheetId="1" r:id="rId1"/>
    <sheet name="Tutor Answer Key" sheetId="2" r:id="rId2"/>
    <sheet name="Ikeja Data" sheetId="3" r:id="rId3"/>
    <sheet name="Yaba Data" sheetId="4" r:id="rId4"/>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32" i="2" l="1"/>
  <c r="B31" i="2"/>
  <c r="B30" i="2"/>
  <c r="B29" i="2"/>
  <c r="B28" i="2"/>
  <c r="B27" i="2"/>
  <c r="B26" i="2"/>
  <c r="B25" i="2"/>
  <c r="B20" i="2"/>
  <c r="B19" i="2"/>
  <c r="B18" i="2"/>
  <c r="B17" i="2"/>
  <c r="B16" i="2"/>
  <c r="B13" i="2"/>
  <c r="B12" i="2"/>
  <c r="B11" i="2"/>
  <c r="B10" i="2"/>
  <c r="B9" i="2"/>
  <c r="B8" i="2"/>
  <c r="B7" i="2"/>
</calcChain>
</file>

<file path=xl/sharedStrings.xml><?xml version="1.0" encoding="utf-8"?>
<sst xmlns="http://schemas.openxmlformats.org/spreadsheetml/2006/main" count="262" uniqueCount="99">
  <si>
    <t>Dataset Provenance — Topic 4.1, Descriptive Statistics and Distributions</t>
  </si>
  <si>
    <t>Dataset type</t>
  </si>
  <si>
    <t>Synthetic. Generated with a Python script (numpy / random), not collected from real transactions, surveys, or any third-party source.</t>
  </si>
  <si>
    <t>Business scenario</t>
  </si>
  <si>
    <t>Aduke Stores is a fictional Lagos-based retail chain, created for this training programme. Any resemblance to a real business is coincidental.</t>
  </si>
  <si>
    <t>Why synthetic data was used</t>
  </si>
  <si>
    <t>Synthetic data allows specific, verifiable statistical properties to be built into the dataset on purpose, so every exercise has a checkable expected output. See 'Engineered property' below for what was deliberately built into this specific dataset.</t>
  </si>
  <si>
    <t>Engineered property for this topic</t>
  </si>
  <si>
    <t>Realism checks applied</t>
  </si>
  <si>
    <t>Values were calibrated to stay within plausible real-world ranges for Nigerian retail (prices, staffing levels, daily footfall, sample sizes) and include realistic day-to-day noise, weekday/weekend patterns, and imperfect (not artificially perfect) relationships between variables.</t>
  </si>
  <si>
    <t>Personal data</t>
  </si>
  <si>
    <t>None. No real names, contact details, or identifiable individuals are used anywhere in this file.</t>
  </si>
  <si>
    <t>Verification</t>
  </si>
  <si>
    <t>Every statistic shown in the Tutor Answer Key sheet was computed independently in Python, then recalculated live in Excel and confirmed to match, with zero formula errors, before this file was finalised.</t>
  </si>
  <si>
    <t>If asked whether this data is real: it is not. It is disclosed, verified, illustrative training data, built to be realistic in shape and behaviour, not sourced from an external dataset.</t>
  </si>
  <si>
    <t>TUTOR ANSWER KEY — do not share this sheet with trainees before the session</t>
  </si>
  <si>
    <t>All values are computed with live formulas from each branch's Data sheet, column D = Customers Served.</t>
  </si>
  <si>
    <t>Ikeja Branch  (source: 'Ikeja Data'!D5:D34)</t>
  </si>
  <si>
    <t>All 30 days</t>
  </si>
  <si>
    <t>n (COUNT)</t>
  </si>
  <si>
    <t>Expected = 30</t>
  </si>
  <si>
    <t>Mean (AVERAGE)</t>
  </si>
  <si>
    <t>Expected ≈ 112.87</t>
  </si>
  <si>
    <t>Median (MEDIAN)</t>
  </si>
  <si>
    <t>Expected = 96</t>
  </si>
  <si>
    <t>Mode (MODE.SNGL)</t>
  </si>
  <si>
    <t>Expected = 82</t>
  </si>
  <si>
    <t>Minimum</t>
  </si>
  <si>
    <t>Maximum</t>
  </si>
  <si>
    <t>Range (Max-Min)</t>
  </si>
  <si>
    <t>Expected = 345</t>
  </si>
  <si>
    <t>Sample Std Dev (STDEV.S)</t>
  </si>
  <si>
    <t>Expected ≈ 61.71</t>
  </si>
  <si>
    <t>Excluding the outlier day (row 32)</t>
  </si>
  <si>
    <t>Expected = 29</t>
  </si>
  <si>
    <t>Expected ≈ 102.28</t>
  </si>
  <si>
    <t>Expected = 94</t>
  </si>
  <si>
    <t>Expected = 74</t>
  </si>
  <si>
    <t>Expected ≈ 21.42</t>
  </si>
  <si>
    <t>Yaba Branch  (source: 'Yaba Data'!D5:D34)</t>
  </si>
  <si>
    <t>Expected ≈ 110.5</t>
  </si>
  <si>
    <t>Expected = 111.5</t>
  </si>
  <si>
    <t>Expected = 86</t>
  </si>
  <si>
    <t>Expected = 54</t>
  </si>
  <si>
    <t>Expected ≈ 17.78</t>
  </si>
  <si>
    <t>Facilitator teaching point</t>
  </si>
  <si>
    <t>Ikeja has a high outlier (the 28 Nov promo day): the mean moves noticeably when it is included, while the median barely moves. Yaba has no dramatic outlier, so its mean and median already sit close together with all 30 days included, use it to show trainees what a 'well-behaved' distribution looks like by contrast. Rule of thumb to teach: if mean and median are close, report the mean; if they diverge, investigate for an outlier before choosing which figure to lead with in a report.</t>
  </si>
  <si>
    <t>Aduke Stores — Ikeja Branch: Daily Performance (1–30 November 2025)</t>
  </si>
  <si>
    <t>Topic 4.1 dataset — Concept session worked example. Figures are illustrative, generated for training purposes.</t>
  </si>
  <si>
    <t>Date</t>
  </si>
  <si>
    <t>Day of Week</t>
  </si>
  <si>
    <t>Branch</t>
  </si>
  <si>
    <t>Customers Served</t>
  </si>
  <si>
    <t>Daily Sales (NGN)</t>
  </si>
  <si>
    <t>Marketing Spend (NGN)</t>
  </si>
  <si>
    <t>2025-11-01</t>
  </si>
  <si>
    <t>Saturday</t>
  </si>
  <si>
    <t>Ikeja</t>
  </si>
  <si>
    <t>2025-11-02</t>
  </si>
  <si>
    <t>Sunday</t>
  </si>
  <si>
    <t>2025-11-03</t>
  </si>
  <si>
    <t>Monday</t>
  </si>
  <si>
    <t>2025-11-04</t>
  </si>
  <si>
    <t>Tuesday</t>
  </si>
  <si>
    <t>2025-11-05</t>
  </si>
  <si>
    <t>Wednesday</t>
  </si>
  <si>
    <t>2025-11-06</t>
  </si>
  <si>
    <t>Thursday</t>
  </si>
  <si>
    <t>2025-11-07</t>
  </si>
  <si>
    <t>Friday</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</si>
  <si>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</si>
  <si>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</si>
  <si>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</si>
  <si>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</si>
  <si>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</si>
  <si>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</si>
  <si>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</si>
  <si>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</si>
  <si>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</si>
  <si>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</si>
  <si>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</si>
  <si>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</si>
  <si>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</si>
  <si>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</si>
  <si>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</si>
  <si>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</si>
  <si>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</si>
  <si>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</si>
  <si>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</si>
  <si>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</si>
  <si>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</si>
  <si>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</si>
  <si>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</si>
  <si>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Highlighted row (28 Nov) = Black Friday promo day, a HIGH outlier. Used in the Topic 4.1 worked example.</t>
  </si>
  <si>
    <t>Aduke Stores — Yaba Branch: Daily Performance (1–30 November 2025)</t>
  </si>
  <si>
    <t>Topic 4.1 dataset — Guided practice (in-session). Figures are illustrative, generated for training purposes.</t>
  </si>
  <si>
    <t>Yaba</t>
  </si>
  <si>
    <t>No dramatic outlier in this branch on purpose: mean and median stay close together. Used in the Topic 4.1 in-session guided practice.</t>
  </si>
  <si>
    <t>Ikeja branch's 30-day customer count includes one deliberate high outlier (a promo day), and Yaba was built with a different shape (none) so mean-vs-median and outlier effects can be taught and compared across branches.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</si>
</sst>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1" x14ac:knownFonts="1">
    <font>
      <sz val="11"/>
      <color theme="1"/>
      <name val="Calibri"/>
      <family val="2"/>
      <charset val="1"/>
    </font>
    <font>
      <b/>
      <sz val="14"/>
      <color rgb="FFFFFFFF"/>
      <name val="Arial"/>
      <charset val="1"/>
    </font>
    <font>
      <b/>
      <sz val="11"/>
      <color rgb="FF1F4E78"/>
      <name val="Arial"/>
      <charset val="1"/>
    </font>
    <font>
      <sz val="10"/>
      <name val="Arial"/>
      <charset val="1"/>
    </font>
    <font>
      <i/>
      <sz val="9"/>
      <color rgb="FF595959"/>
      <name val="Arial"/>
      <charset val="1"/>
    </font>
    <font>
      <b/>
      <sz val="13"/>
      <color rgb="FFFFFFFF"/>
      <name val="Arial"/>
      <charset val="1"/>
    </font>
    <font>
      <b/>
      <sz val="11"/>
      <color rgb="FFFFFFFF"/>
      <name val="Arial"/>
      <charset val="1"/>
    </font>
    <font>
      <b/>
      <sz val="10"/>
      <name val="Arial"/>
      <charset val="1"/>
    </font>
    <font>
      <i/>
      <sz val="10"/>
      <name val="Arial"/>
      <charset val="1"/>
    </font>
    <font>
      <sz val="11"/>
      <name val="Arial"/>
      <charset val="1"/>
    </font>
    <font>
      <i/>
      <sz val="9"/>
      <color rgb="FF9C6500"/>
      <name val="Arial"/>
      <charset val="1"/>
    </font>
  </fonts>
  <fills count="8">
    <fill>
      <patternFill patternType="none"/>
    </fill>
    <fill>
      <patternFill patternType="gray125"/>
    </fill>
    <fill>
      <patternFill patternType="solid">
        <fgColor rgb="FF1F4E78"/>
        <bgColor rgb="FF003366"/>
      </patternFill>
    </fill>
    <fill>
      <patternFill patternType="solid">
        <fgColor rgb="FFFFF8E1"/>
        <bgColor rgb="FFFFFFFF"/>
      </patternFill>
    </fill>
    <fill>
      <patternFill patternType="solid">
        <fgColor rgb="FFC00000"/>
        <bgColor rgb="FF800000"/>
      </patternFill>
    </fill>
    <fill>
      <patternFill patternType="solid">
        <fgColor rgb="FF2E75B6"/>
        <bgColor rgb="FF0066CC"/>
      </patternFill>
    </fill>
    <fill>
      <patternFill patternType="solid">
        <fgColor rgb="FFEAF1F8"/>
        <bgColor rgb="FFFFF8E1"/>
      </patternFill>
    </fill>
    <fill>
      <patternFill patternType="solid">
        <fgColor rgb="FFFFE699"/>
        <bgColor rgb="FFFFCC9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8">
    <xf numFmtId="0" fontId="0" fillId="0" borderId="0" xfId="0"/>
    <xf numFmtId="0" fontId="10" fillId="0" borderId="0" xfId="0" applyFont="1" applyBorder="1" applyAlignment="1">
      <alignment wrapText="1"/>
    </xf>
    <xf numFmtId="0" fontId="0" fillId="0" borderId="0" xfId="0" applyBorder="1" applyAlignment="1"/>
    <xf numFmtId="0" fontId="6" fillId="5" borderId="0" xfId="0" applyFont="1" applyFill="1" applyBorder="1" applyAlignment="1"/>
    <xf numFmtId="0" fontId="5" fillId="2" borderId="0" xfId="0" applyFont="1" applyFill="1" applyBorder="1" applyAlignment="1"/>
    <xf numFmtId="0" fontId="4" fillId="0" borderId="0" xfId="0" applyFont="1" applyBorder="1" applyAlignment="1"/>
    <xf numFmtId="0" fontId="5" fillId="4" borderId="0" xfId="0" applyFont="1" applyFill="1" applyBorder="1" applyAlignment="1"/>
    <xf numFmtId="0" fontId="4" fillId="3" borderId="0" xfId="0" applyFont="1" applyFill="1" applyBorder="1" applyAlignment="1">
      <alignment vertical="top" wrapText="1"/>
    </xf>
    <xf numFmtId="0" fontId="1" fillId="2" borderId="0" xfId="0" applyFont="1" applyFill="1" applyBorder="1" applyAlignment="1"/>
    <xf numFmtId="0" fontId="0" fillId="0" borderId="0" xfId="0" applyAlignment="1"/>
    <xf numFmtId="0" fontId="2" fillId="0" borderId="1" xfId="0" applyFont="1" applyBorder="1" applyAlignment="1">
      <alignment vertical="top" wrapText="1"/>
    </xf>
    <xf numFmtId="0" fontId="3" fillId="0" borderId="1" xfId="0" applyFont="1" applyBorder="1" applyAlignment="1">
      <alignment vertical="top" wrapText="1"/>
    </xf>
    <xf numFmtId="0" fontId="7" fillId="0" borderId="1" xfId="0" applyFont="1" applyBorder="1" applyAlignment="1"/>
    <xf numFmtId="4" fontId="3" fillId="0" borderId="1" xfId="0" applyNumberFormat="1" applyFont="1" applyBorder="1" applyAlignment="1"/>
    <xf numFmtId="0" fontId="4" fillId="0" borderId="1" xfId="0" applyFont="1" applyBorder="1" applyAlignment="1"/>
    <xf numFmtId="0" fontId="0" fillId="0" borderId="1" xfId="0" applyBorder="1" applyAlignment="1"/>
    <xf numFmtId="0" fontId="6" fillId="5" borderId="0" xfId="0" applyFont="1" applyFill="1" applyAlignment="1"/>
    <xf numFmtId="0" fontId="8" fillId="0" borderId="0" xfId="0" applyFont="1" applyAlignment="1">
      <alignment vertical="top" wrapText="1"/>
    </xf>
    <xf numFmtId="0" fontId="6" fillId="5" borderId="1" xfId="0" applyFont="1" applyFill="1" applyBorder="1" applyAlignment="1">
      <alignment horizontal="center" vertical="center" wrapText="1"/>
    </xf>
    <xf numFmtId="164" fontId="9" fillId="6" borderId="1" xfId="0" applyNumberFormat="1" applyFont="1" applyFill="1" applyBorder="1" applyAlignment="1">
      <alignment horizontal="center"/>
    </xf>
    <xf numFmtId="0" fontId="9" fillId="6" borderId="1" xfId="0" applyFont="1" applyFill="1" applyBorder="1" applyAlignment="1">
      <alignment horizontal="center"/>
    </xf>
    <xf numFmtId="3" fontId="9" fillId="6" borderId="1" xfId="0" applyNumberFormat="1" applyFont="1" applyFill="1" applyBorder="1" applyAlignment="1">
      <alignment horizontal="center"/>
    </xf>
    <xf numFmtId="164" fontId="9" fillId="0" borderId="1" xfId="0" applyNumberFormat="1" applyFont="1" applyBorder="1" applyAlignment="1">
      <alignment horizontal="center"/>
    </xf>
    <xf numFmtId="0" fontId="9" fillId="0" borderId="1" xfId="0" applyFont="1" applyBorder="1" applyAlignment="1">
      <alignment horizontal="center"/>
    </xf>
    <xf numFmtId="3" fontId="9" fillId="0" borderId="1" xfId="0" applyNumberFormat="1" applyFont="1" applyBorder="1" applyAlignment="1">
      <alignment horizontal="center"/>
    </xf>
    <xf numFmtId="164" fontId="9" fillId="7" borderId="1" xfId="0" applyNumberFormat="1" applyFont="1" applyFill="1" applyBorder="1" applyAlignment="1">
      <alignment horizontal="center"/>
    </xf>
    <xf numFmtId="0" fontId="9" fillId="7" borderId="1" xfId="0" applyFont="1" applyFill="1" applyBorder="1" applyAlignment="1">
      <alignment horizontal="center"/>
    </xf>
    <xf numFmtId="3" fontId="9" fillId="7" borderId="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9C6500"/>
      <rgbColor rgb="FF800080"/>
      <rgbColor rgb="FF008080"/>
      <rgbColor rgb="FFB7B7B7"/>
      <rgbColor rgb="FF808080"/>
      <rgbColor rgb="FF9999FF"/>
      <rgbColor rgb="FF993366"/>
      <rgbColor rgb="FFFFF8E1"/>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topLeftCell="A4" zoomScaleNormal="100" workbookViewId="0">
      <selection activeCell="B6" sqref="B6"/>
    </sheetView>
  </sheetViews>
  <sheetFormatPr defaultColWidth="8.7109375" defaultRowHeight="15" x14ac:dyDescent="0.25"/>
  <cols>
    <col min="1" max="1" width="28" style="9" customWidth="1"/>
    <col min="2" max="2" width="72" style="9" customWidth="1"/>
  </cols>
  <sheetData>
    <row r="1" spans="1:2" ht="24" customHeight="1" x14ac:dyDescent="0.25">
      <c r="A1" s="8" t="s">
        <v>0</v>
      </c>
      <c r="B1" s="8"/>
    </row>
    <row r="3" spans="1:2" ht="45" customHeight="1" x14ac:dyDescent="0.25">
      <c r="A3" s="10" t="s">
        <v>1</v>
      </c>
      <c r="B3" s="11" t="s">
        <v>2</v>
      </c>
    </row>
    <row r="4" spans="1:2" ht="45" customHeight="1" x14ac:dyDescent="0.25">
      <c r="A4" s="10" t="s">
        <v>3</v>
      </c>
      <c r="B4" s="11" t="s">
        <v>4</v>
      </c>
    </row>
    <row r="5" spans="1:2" ht="54.75" customHeight="1" x14ac:dyDescent="0.25">
      <c r="A5" s="10" t="s">
        <v>5</v>
      </c>
      <c r="B5" s="11" t="s">
        <v>6</v>
      </c>
    </row>
    <row r="6" spans="1:2" ht="60" customHeight="1" x14ac:dyDescent="0.25">
      <c r="A6" s="10" t="s">
        <v>7</v>
      </c>
      <c r="B6" s="11" t="s">
        <v>98</v>
      </c>
    </row>
    <row r="7" spans="1:2" ht="60" customHeight="1" x14ac:dyDescent="0.25">
      <c r="A7" s="10" t="s">
        <v>8</v>
      </c>
      <c r="B7" s="11" t="s">
        <v>9</v>
      </c>
    </row>
    <row r="8" spans="1:2" ht="34.5" customHeight="1" x14ac:dyDescent="0.25">
      <c r="A8" s="10" t="s">
        <v>10</v>
      </c>
      <c r="B8" s="11" t="s">
        <v>11</v>
      </c>
    </row>
    <row r="9" spans="1:2" ht="54.75" customHeight="1" x14ac:dyDescent="0.25">
      <c r="A9" s="10" t="s">
        <v>12</v>
      </c>
      <c r="B9" s="11" t="s">
        <v>13</v>
      </c>
    </row>
    <row r="10" spans="1:2" ht="54.75" customHeight="1" x14ac:dyDescent="0.25">
      <c r="A10" s="7" t="s">
        <v>14</v>
      </c>
      <c r="B10" s="7"/>
    </row>
    <row r="11" spans="1:2" ht="15" customHeight="1" x14ac:dyDescent="0.25">
      <c r="A11" s="7"/>
      <c r="B11" s="7"/>
    </row>
    <row r="12" spans="1:2" ht="15" customHeight="1" x14ac:dyDescent="0.25">
      <c r="A12" s="7"/>
      <c r="B12" s="7"/>
    </row>
  </sheetData>
  <mergeCells count="2">
    <mergeCell ref="A1:B1"/>
    <mergeCell ref="A10:B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D79"/>
  <sheetViews>
    <sheetView tabSelected="1" zoomScaleNormal="100" workbookViewId="0">
      <selection activeCell="B6" sqref="B6"/>
    </sheetView>
  </sheetViews>
  <sheetFormatPr defaultColWidth="8.7109375" defaultRowHeight="15" x14ac:dyDescent="0.25"/>
  <cols>
    <col min="1" max="1" width="32" style="9" customWidth="1"/>
    <col min="2" max="2" width="16" style="9" customWidth="1"/>
    <col min="3" max="3" width="42" style="9" customWidth="1"/>
    <col min="4" max="4" width="4" style="9" customWidth="1"/>
  </cols>
  <sheetData>
    <row r="1" spans="1:4" ht="21.75" customHeight="1" x14ac:dyDescent="0.25">
      <c r="A1" s="6" t="s">
        <v>15</v>
      </c>
      <c r="B1" s="6"/>
      <c r="C1" s="6"/>
      <c r="D1" s="6"/>
    </row>
    <row r="2" spans="1:4" ht="15" customHeight="1" x14ac:dyDescent="0.25">
      <c r="A2" s="5" t="s">
        <v>16</v>
      </c>
      <c r="B2" s="5"/>
      <c r="C2" s="5"/>
      <c r="D2" s="5"/>
    </row>
    <row r="4" spans="1:4" ht="21.75" customHeight="1" x14ac:dyDescent="0.25">
      <c r="A4" s="4" t="s">
        <v>17</v>
      </c>
      <c r="B4" s="4"/>
      <c r="C4" s="4"/>
      <c r="D4" s="4"/>
    </row>
    <row r="5" spans="1:4" ht="19.5" customHeight="1" x14ac:dyDescent="0.25">
      <c r="A5" s="3" t="s">
        <v>18</v>
      </c>
      <c r="B5" s="3"/>
      <c r="C5" s="3"/>
      <c r="D5" s="3"/>
    </row>
    <row r="6" spans="1:4" ht="15" customHeight="1" x14ac:dyDescent="0.25">
      <c r="A6" s="12" t="s">
        <v>19</v>
      </c>
      <c r="B6" s="13" t="s">
        <v>98</v>
      </c>
      <c r="C6" s="14" t="s">
        <v>20</v>
      </c>
      <c r="D6" s="15"/>
    </row>
    <row r="7" spans="1:4" ht="15" customHeight="1" x14ac:dyDescent="0.25">
      <c r="A7" s="12" t="s">
        <v>21</v>
      </c>
      <c r="B7" s="13">
        <f>AVERAGE('Ikeja Data'!D5:D34)</f>
        <v>112.86666666666666</v>
      </c>
      <c r="C7" s="14" t="s">
        <v>22</v>
      </c>
      <c r="D7" s="15"/>
    </row>
    <row r="8" spans="1:4" ht="15" customHeight="1" x14ac:dyDescent="0.25">
      <c r="A8" s="12" t="s">
        <v>23</v>
      </c>
      <c r="B8" s="13">
        <f>MEDIAN('Ikeja Data'!D5:D34)</f>
        <v>96</v>
      </c>
      <c r="C8" s="14" t="s">
        <v>24</v>
      </c>
      <c r="D8" s="15"/>
    </row>
    <row r="9" spans="1:4" ht="15" customHeight="1" x14ac:dyDescent="0.25">
      <c r="A9" s="12" t="s">
        <v>25</v>
      </c>
      <c r="B9" s="13">
        <f>_xlfn.MODE.SNGL('Ikeja Data'!D5:D34)</f>
        <v>82</v>
      </c>
      <c r="C9" s="14" t="s">
        <v>26</v>
      </c>
      <c r="D9" s="15"/>
    </row>
    <row r="10" spans="1:4" ht="15" customHeight="1" x14ac:dyDescent="0.25">
      <c r="A10" s="12" t="s">
        <v>27</v>
      </c>
      <c r="B10" s="13">
        <f>MIN('Ikeja Data'!D5:D34)</f>
        <v>75</v>
      </c>
      <c r="C10" s="14"/>
      <c r="D10" s="15"/>
    </row>
    <row r="11" spans="1:4" ht="15" customHeight="1" x14ac:dyDescent="0.25">
      <c r="A11" s="12" t="s">
        <v>28</v>
      </c>
      <c r="B11" s="13">
        <f>MAX('Ikeja Data'!D5:D34)</f>
        <v>420</v>
      </c>
      <c r="C11" s="14"/>
      <c r="D11" s="15"/>
    </row>
    <row r="12" spans="1:4" ht="15" customHeight="1" x14ac:dyDescent="0.25">
      <c r="A12" s="12" t="s">
        <v>29</v>
      </c>
      <c r="B12" s="13">
        <f>MAX('Ikeja Data'!D5:D34)-MIN('Ikeja Data'!D5:D34)</f>
        <v>345</v>
      </c>
      <c r="C12" s="14" t="s">
        <v>30</v>
      </c>
      <c r="D12" s="15"/>
    </row>
    <row r="13" spans="1:4" ht="15" customHeight="1" x14ac:dyDescent="0.25">
      <c r="A13" s="12" t="s">
        <v>31</v>
      </c>
      <c r="B13" s="13">
        <f>_xlfn.STDEV.S('Ikeja Data'!D5:D34)</f>
        <v>61.707727864189913</v>
      </c>
      <c r="C13" s="14" t="s">
        <v>32</v>
      </c>
      <c r="D13" s="15"/>
    </row>
    <row r="15" spans="1:4" ht="19.5" customHeight="1" x14ac:dyDescent="0.25">
      <c r="A15" s="3" t="s">
        <v>33</v>
      </c>
      <c r="B15" s="3"/>
      <c r="C15" s="3"/>
      <c r="D15" s="3"/>
    </row>
    <row r="16" spans="1:4" ht="15" customHeight="1" x14ac:dyDescent="0.25">
      <c r="A16" s="12" t="s">
        <v>19</v>
      </c>
      <c r="B16" s="13">
        <f>COUNT('Ikeja Data'!D5:D31,'Ikeja Data'!D33:D34)</f>
        <v>29</v>
      </c>
      <c r="C16" s="14" t="s">
        <v>34</v>
      </c>
      <c r="D16" s="15"/>
    </row>
    <row r="17" spans="1:4" ht="15" customHeight="1" x14ac:dyDescent="0.25">
      <c r="A17" s="12" t="s">
        <v>21</v>
      </c>
      <c r="B17" s="13">
        <f>AVERAGE('Ikeja Data'!D5:D31,'Ikeja Data'!D33:D34)</f>
        <v>102.27586206896552</v>
      </c>
      <c r="C17" s="14" t="s">
        <v>35</v>
      </c>
      <c r="D17" s="15"/>
    </row>
    <row r="18" spans="1:4" ht="15" customHeight="1" x14ac:dyDescent="0.25">
      <c r="A18" s="12" t="s">
        <v>23</v>
      </c>
      <c r="B18" s="13">
        <f>MEDIAN('Ikeja Data'!D5:D31,'Ikeja Data'!D33:D34)</f>
        <v>94</v>
      </c>
      <c r="C18" s="14" t="s">
        <v>36</v>
      </c>
      <c r="D18" s="15"/>
    </row>
    <row r="19" spans="1:4" ht="15" customHeight="1" x14ac:dyDescent="0.25">
      <c r="A19" s="12" t="s">
        <v>29</v>
      </c>
      <c r="B19" s="13">
        <f>MAX('Ikeja Data'!D5:D31,'Ikeja Data'!D33:D34)-MIN('Ikeja Data'!D5:D31,'Ikeja Data'!D33:D34)</f>
        <v>74</v>
      </c>
      <c r="C19" s="14" t="s">
        <v>37</v>
      </c>
      <c r="D19" s="15"/>
    </row>
    <row r="20" spans="1:4" ht="15" customHeight="1" x14ac:dyDescent="0.25">
      <c r="A20" s="12" t="s">
        <v>31</v>
      </c>
      <c r="B20" s="13">
        <f>_xlfn.STDEV.S('Ikeja Data'!D5:D31,'Ikeja Data'!D33:D34)</f>
        <v>21.417443744567759</v>
      </c>
      <c r="C20" s="14" t="s">
        <v>38</v>
      </c>
      <c r="D20" s="15"/>
    </row>
    <row r="23" spans="1:4" ht="21.75" customHeight="1" x14ac:dyDescent="0.25">
      <c r="A23" s="4" t="s">
        <v>39</v>
      </c>
      <c r="B23" s="4"/>
      <c r="C23" s="4"/>
      <c r="D23" s="4"/>
    </row>
    <row r="24" spans="1:4" ht="19.5" customHeight="1" x14ac:dyDescent="0.25">
      <c r="A24" s="3" t="s">
        <v>18</v>
      </c>
      <c r="B24" s="3"/>
      <c r="C24" s="3"/>
      <c r="D24" s="3"/>
    </row>
    <row r="25" spans="1:4" ht="15" customHeight="1" x14ac:dyDescent="0.25">
      <c r="A25" s="12" t="s">
        <v>19</v>
      </c>
      <c r="B25" s="13">
        <f>COUNT('Yaba Data'!D5:D34)</f>
        <v>30</v>
      </c>
      <c r="C25" s="14" t="s">
        <v>20</v>
      </c>
      <c r="D25" s="15"/>
    </row>
    <row r="26" spans="1:4" ht="15" customHeight="1" x14ac:dyDescent="0.25">
      <c r="A26" s="12" t="s">
        <v>21</v>
      </c>
      <c r="B26" s="13">
        <f>AVERAGE('Yaba Data'!D5:D34)</f>
        <v>110.5</v>
      </c>
      <c r="C26" s="14" t="s">
        <v>40</v>
      </c>
      <c r="D26" s="15"/>
    </row>
    <row r="27" spans="1:4" ht="15" customHeight="1" x14ac:dyDescent="0.25">
      <c r="A27" s="12" t="s">
        <v>23</v>
      </c>
      <c r="B27" s="13">
        <f>MEDIAN('Yaba Data'!D5:D34)</f>
        <v>111.5</v>
      </c>
      <c r="C27" s="14" t="s">
        <v>41</v>
      </c>
      <c r="D27" s="15"/>
    </row>
    <row r="28" spans="1:4" ht="15" customHeight="1" x14ac:dyDescent="0.25">
      <c r="A28" s="12" t="s">
        <v>25</v>
      </c>
      <c r="B28" s="13">
        <f>_xlfn.MODE.SNGL('Yaba Data'!D5:D34)</f>
        <v>86</v>
      </c>
      <c r="C28" s="14" t="s">
        <v>42</v>
      </c>
      <c r="D28" s="15"/>
    </row>
    <row r="29" spans="1:4" ht="15" customHeight="1" x14ac:dyDescent="0.25">
      <c r="A29" s="12" t="s">
        <v>27</v>
      </c>
      <c r="B29" s="13">
        <f>MIN('Yaba Data'!D5:D34)</f>
        <v>86</v>
      </c>
      <c r="C29" s="14"/>
      <c r="D29" s="15"/>
    </row>
    <row r="30" spans="1:4" ht="15" customHeight="1" x14ac:dyDescent="0.25">
      <c r="A30" s="12" t="s">
        <v>28</v>
      </c>
      <c r="B30" s="13">
        <f>MAX('Yaba Data'!D5:D34)</f>
        <v>140</v>
      </c>
      <c r="C30" s="14"/>
      <c r="D30" s="15"/>
    </row>
    <row r="31" spans="1:4" ht="15" customHeight="1" x14ac:dyDescent="0.25">
      <c r="A31" s="12" t="s">
        <v>29</v>
      </c>
      <c r="B31" s="13">
        <f>MAX('Yaba Data'!D5:D34)-MIN('Yaba Data'!D5:D34)</f>
        <v>54</v>
      </c>
      <c r="C31" s="14" t="s">
        <v>43</v>
      </c>
      <c r="D31" s="15"/>
    </row>
    <row r="32" spans="1:4" ht="15" customHeight="1" x14ac:dyDescent="0.25">
      <c r="A32" s="12" t="s">
        <v>31</v>
      </c>
      <c r="B32" s="13">
        <f>_xlfn.STDEV.S('Yaba Data'!D5:D34)</f>
        <v>17.783661622108511</v>
      </c>
      <c r="C32" s="14" t="s">
        <v>44</v>
      </c>
      <c r="D32" s="15"/>
    </row>
    <row r="35" spans="1:4" ht="21.75" customHeight="1" x14ac:dyDescent="0.25">
      <c r="A35" s="2"/>
      <c r="B35" s="2"/>
      <c r="C35" s="2"/>
      <c r="D35" s="2"/>
    </row>
    <row r="36" spans="1:4" ht="19.5" customHeight="1" x14ac:dyDescent="0.25">
      <c r="A36" s="2"/>
      <c r="B36" s="2"/>
      <c r="C36" s="2"/>
      <c r="D36" s="2"/>
    </row>
    <row r="37" spans="1:4" ht="15" customHeight="1" x14ac:dyDescent="0.25">
      <c r="A37" s="16" t="s">
        <v>45</v>
      </c>
    </row>
    <row r="38" spans="1:4" ht="15" customHeight="1" x14ac:dyDescent="0.25">
      <c r="A38" s="17" t="s">
        <v>46</v>
      </c>
    </row>
    <row r="39" spans="1:4" ht="15" customHeight="1" x14ac:dyDescent="0.25"/>
    <row r="40" spans="1:4" ht="15" customHeight="1" x14ac:dyDescent="0.25"/>
    <row r="41" spans="1:4" ht="15" customHeight="1" x14ac:dyDescent="0.25"/>
    <row r="42" spans="1:4" ht="15" customHeight="1" x14ac:dyDescent="0.25"/>
    <row r="43" spans="1:4" ht="15" customHeight="1" x14ac:dyDescent="0.25"/>
    <row r="44" spans="1:4" ht="15" customHeight="1" x14ac:dyDescent="0.25"/>
    <row r="46" spans="1:4" ht="19.5" customHeight="1" x14ac:dyDescent="0.25">
      <c r="A46" s="2"/>
      <c r="B46" s="2"/>
      <c r="C46" s="2"/>
      <c r="D46" s="2"/>
    </row>
    <row r="47" spans="1:4" ht="15" customHeight="1" x14ac:dyDescent="0.25"/>
    <row r="48" spans="1:4" ht="15" customHeight="1" x14ac:dyDescent="0.25"/>
    <row r="49" spans="1:4" ht="15" customHeight="1" x14ac:dyDescent="0.25"/>
    <row r="50" spans="1:4" ht="15" customHeight="1" x14ac:dyDescent="0.25"/>
    <row r="51" spans="1:4" ht="15" customHeight="1" x14ac:dyDescent="0.25"/>
    <row r="54" spans="1:4" ht="21.75" customHeight="1" x14ac:dyDescent="0.25">
      <c r="A54" s="2"/>
      <c r="B54" s="2"/>
      <c r="C54" s="2"/>
      <c r="D54" s="2"/>
    </row>
    <row r="55" spans="1:4" ht="19.5" customHeight="1" x14ac:dyDescent="0.25">
      <c r="A55" s="2"/>
      <c r="B55" s="2"/>
      <c r="C55" s="2"/>
      <c r="D55" s="2"/>
    </row>
    <row r="56" spans="1:4" ht="15" customHeight="1" x14ac:dyDescent="0.25"/>
    <row r="57" spans="1:4" ht="15" customHeight="1" x14ac:dyDescent="0.25"/>
    <row r="58" spans="1:4" ht="15" customHeight="1" x14ac:dyDescent="0.25"/>
    <row r="59" spans="1:4" ht="15" customHeight="1" x14ac:dyDescent="0.25"/>
    <row r="60" spans="1:4" ht="15" customHeight="1" x14ac:dyDescent="0.25"/>
    <row r="61" spans="1:4" ht="15" customHeight="1" x14ac:dyDescent="0.25"/>
    <row r="62" spans="1:4" ht="15" customHeight="1" x14ac:dyDescent="0.25"/>
    <row r="63" spans="1:4" ht="15" customHeight="1" x14ac:dyDescent="0.25"/>
    <row r="65" spans="1:4" ht="19.5" customHeight="1" x14ac:dyDescent="0.25">
      <c r="A65" s="2"/>
      <c r="B65" s="2"/>
      <c r="C65" s="2"/>
      <c r="D65" s="2"/>
    </row>
    <row r="66" spans="1:4" ht="15" customHeight="1" x14ac:dyDescent="0.25"/>
    <row r="67" spans="1:4" ht="15" customHeight="1" x14ac:dyDescent="0.25"/>
    <row r="68" spans="1:4" ht="15" customHeight="1" x14ac:dyDescent="0.25"/>
    <row r="69" spans="1:4" ht="15" customHeight="1" x14ac:dyDescent="0.25"/>
    <row r="70" spans="1:4" ht="15" customHeight="1" x14ac:dyDescent="0.25"/>
    <row r="73" spans="1:4" ht="19.5" customHeight="1" x14ac:dyDescent="0.25">
      <c r="A73" s="2"/>
      <c r="B73" s="2"/>
      <c r="C73" s="2"/>
      <c r="D73" s="2"/>
    </row>
    <row r="74" spans="1:4" ht="99.75" customHeight="1" x14ac:dyDescent="0.25">
      <c r="A74" s="2"/>
      <c r="B74" s="2"/>
      <c r="C74" s="2"/>
      <c r="D74" s="2"/>
    </row>
    <row r="75" spans="1:4" ht="15" customHeight="1" x14ac:dyDescent="0.25">
      <c r="A75" s="2"/>
      <c r="B75" s="2"/>
      <c r="C75" s="2"/>
      <c r="D75" s="2"/>
    </row>
    <row r="76" spans="1:4" ht="15" customHeight="1" x14ac:dyDescent="0.25">
      <c r="A76" s="2"/>
      <c r="B76" s="2"/>
      <c r="C76" s="2"/>
      <c r="D76" s="2"/>
    </row>
    <row r="77" spans="1:4" ht="15" customHeight="1" x14ac:dyDescent="0.25">
      <c r="A77" s="2"/>
      <c r="B77" s="2"/>
      <c r="C77" s="2"/>
      <c r="D77" s="2"/>
    </row>
    <row r="78" spans="1:4" ht="15" customHeight="1" x14ac:dyDescent="0.25">
      <c r="A78" s="2"/>
      <c r="B78" s="2"/>
      <c r="C78" s="2"/>
      <c r="D78" s="2"/>
    </row>
    <row r="79" spans="1:4" ht="15" customHeight="1" x14ac:dyDescent="0.25">
      <c r="A79" s="2"/>
      <c r="B79" s="2"/>
      <c r="C79" s="2"/>
      <c r="D79" s="2"/>
    </row>
  </sheetData>
  <mergeCells count="15">
    <mergeCell ref="A54:D54"/>
    <mergeCell ref="A55:D55"/>
    <mergeCell ref="A65:D65"/>
    <mergeCell ref="A73:D73"/>
    <mergeCell ref="A74:D79"/>
    <mergeCell ref="A23:D23"/>
    <mergeCell ref="A24:D24"/>
    <mergeCell ref="A35:D35"/>
    <mergeCell ref="A36:D36"/>
    <mergeCell ref="A46:D46"/>
    <mergeCell ref="A1:D1"/>
    <mergeCell ref="A2:D2"/>
    <mergeCell ref="A4:D4"/>
    <mergeCell ref="A5:D5"/>
    <mergeCell ref="A15:D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Normal="100" workbookViewId="0">
      <pane ySplit="4" topLeftCell="A5" activePane="bottomLeft" state="frozen"/>
      <selection pane="bottomLeft"/>
    </sheetView>
  </sheetViews>
  <sheetFormatPr defaultColWidth="8.7109375" defaultRowHeight="15" x14ac:dyDescent="0.25"/>
  <cols>
    <col min="1" max="2" width="14" style="9" customWidth="1"/>
    <col min="3" max="3" width="10" style="9" customWidth="1"/>
    <col min="4" max="5" width="18" style="9" customWidth="1"/>
    <col min="6" max="6" width="20" style="9" customWidth="1"/>
  </cols>
  <sheetData>
    <row r="1" spans="1:6" ht="24" customHeight="1" x14ac:dyDescent="0.25">
      <c r="A1" s="8" t="s">
        <v>47</v>
      </c>
      <c r="B1" s="8"/>
      <c r="C1" s="8"/>
      <c r="D1" s="8"/>
      <c r="E1" s="8"/>
      <c r="F1" s="8"/>
    </row>
    <row r="2" spans="1:6" ht="15" customHeight="1" x14ac:dyDescent="0.25">
      <c r="A2" s="5" t="s">
        <v>48</v>
      </c>
      <c r="B2" s="5"/>
      <c r="C2" s="5"/>
      <c r="D2" s="5"/>
      <c r="E2" s="5"/>
      <c r="F2" s="5"/>
    </row>
    <row r="4" spans="1:6" ht="30" customHeight="1" x14ac:dyDescent="0.25">
      <c r="A4" s="18" t="s">
        <v>49</v>
      </c>
      <c r="B4" s="18" t="s">
        <v>50</v>
      </c>
      <c r="C4" s="18" t="s">
        <v>51</v>
      </c>
      <c r="D4" s="18" t="s">
        <v>52</v>
      </c>
      <c r="E4" s="18" t="s">
        <v>53</v>
      </c>
      <c r="F4" s="18" t="s">
        <v>54</v>
      </c>
    </row>
    <row r="5" spans="1:6" ht="15" customHeight="1" x14ac:dyDescent="0.25">
      <c r="A5" s="19" t="s">
        <v>55</v>
      </c>
      <c r="B5" s="20" t="s">
        <v>56</v>
      </c>
      <c r="C5" s="20" t="s">
        <v>57</v>
      </c>
      <c r="D5" s="20">
        <v>122</v>
      </c>
      <c r="E5" s="21">
        <v>321104</v>
      </c>
      <c r="F5" s="21">
        <v>15000</v>
      </c>
    </row>
    <row r="6" spans="1:6" ht="15" customHeight="1" x14ac:dyDescent="0.25">
      <c r="A6" s="22" t="s">
        <v>58</v>
      </c>
      <c r="B6" s="23" t="s">
        <v>59</v>
      </c>
      <c r="C6" s="23" t="s">
        <v>57</v>
      </c>
      <c r="D6" s="23">
        <v>116</v>
      </c>
      <c r="E6" s="24">
        <v>295568</v>
      </c>
      <c r="F6" s="24">
        <v>15000</v>
      </c>
    </row>
    <row r="7" spans="1:6" ht="15" customHeight="1" x14ac:dyDescent="0.25">
      <c r="A7" s="19" t="s">
        <v>60</v>
      </c>
      <c r="B7" s="20" t="s">
        <v>61</v>
      </c>
      <c r="C7" s="20" t="s">
        <v>57</v>
      </c>
      <c r="D7" s="20">
        <v>98</v>
      </c>
      <c r="E7" s="21">
        <v>243432</v>
      </c>
      <c r="F7" s="21">
        <v>15000</v>
      </c>
    </row>
    <row r="8" spans="1:6" ht="15" customHeight="1" x14ac:dyDescent="0.25">
      <c r="A8" s="22" t="s">
        <v>62</v>
      </c>
      <c r="B8" s="23" t="s">
        <v>63</v>
      </c>
      <c r="C8" s="23" t="s">
        <v>57</v>
      </c>
      <c r="D8" s="23">
        <v>83</v>
      </c>
      <c r="E8" s="24">
        <v>195797</v>
      </c>
      <c r="F8" s="24">
        <v>15000</v>
      </c>
    </row>
    <row r="9" spans="1:6" ht="15" customHeight="1" x14ac:dyDescent="0.25">
      <c r="A9" s="19" t="s">
        <v>64</v>
      </c>
      <c r="B9" s="20" t="s">
        <v>65</v>
      </c>
      <c r="C9" s="20" t="s">
        <v>57</v>
      </c>
      <c r="D9" s="20">
        <v>82</v>
      </c>
      <c r="E9" s="21">
        <v>198440</v>
      </c>
      <c r="F9" s="21">
        <v>15000</v>
      </c>
    </row>
    <row r="10" spans="1:6" ht="15" customHeight="1" x14ac:dyDescent="0.25">
      <c r="A10" s="22" t="s">
        <v>66</v>
      </c>
      <c r="B10" s="23" t="s">
        <v>67</v>
      </c>
      <c r="C10" s="23" t="s">
        <v>57</v>
      </c>
      <c r="D10" s="23">
        <v>82</v>
      </c>
      <c r="E10" s="24">
        <v>208608</v>
      </c>
      <c r="F10" s="24">
        <v>15000</v>
      </c>
    </row>
    <row r="11" spans="1:6" ht="15" customHeight="1" x14ac:dyDescent="0.25">
      <c r="A11" s="19" t="s">
        <v>68</v>
      </c>
      <c r="B11" s="20" t="s">
        <v>69</v>
      </c>
      <c r="C11" s="20" t="s">
        <v>57</v>
      </c>
      <c r="D11" s="20">
        <v>104</v>
      </c>
      <c r="E11" s="21">
        <v>239616</v>
      </c>
      <c r="F11" s="21">
        <v>15000</v>
      </c>
    </row>
    <row r="12" spans="1:6" ht="15" customHeight="1" x14ac:dyDescent="0.25">
      <c r="A12" s="22" t="s">
        <v>70</v>
      </c>
      <c r="B12" s="23" t="s">
        <v>56</v>
      </c>
      <c r="C12" s="23" t="s">
        <v>57</v>
      </c>
      <c r="D12" s="23">
        <v>121</v>
      </c>
      <c r="E12" s="24">
        <v>277574</v>
      </c>
      <c r="F12" s="24">
        <v>15000</v>
      </c>
    </row>
    <row r="13" spans="1:6" ht="15" customHeight="1" x14ac:dyDescent="0.25">
      <c r="A13" s="19" t="s">
        <v>71</v>
      </c>
      <c r="B13" s="20" t="s">
        <v>59</v>
      </c>
      <c r="C13" s="20" t="s">
        <v>57</v>
      </c>
      <c r="D13" s="20">
        <v>149</v>
      </c>
      <c r="E13" s="21">
        <v>385761</v>
      </c>
      <c r="F13" s="21">
        <v>15000</v>
      </c>
    </row>
    <row r="14" spans="1:6" ht="15" customHeight="1" x14ac:dyDescent="0.25">
      <c r="A14" s="22" t="s">
        <v>72</v>
      </c>
      <c r="B14" s="23" t="s">
        <v>61</v>
      </c>
      <c r="C14" s="23" t="s">
        <v>57</v>
      </c>
      <c r="D14" s="23">
        <v>77</v>
      </c>
      <c r="E14" s="24">
        <v>177023</v>
      </c>
      <c r="F14" s="24">
        <v>15000</v>
      </c>
    </row>
    <row r="15" spans="1:6" ht="15" customHeight="1" x14ac:dyDescent="0.25">
      <c r="A15" s="19" t="s">
        <v>73</v>
      </c>
      <c r="B15" s="20" t="s">
        <v>63</v>
      </c>
      <c r="C15" s="20" t="s">
        <v>57</v>
      </c>
      <c r="D15" s="20">
        <v>93</v>
      </c>
      <c r="E15" s="21">
        <v>238731</v>
      </c>
      <c r="F15" s="21">
        <v>15000</v>
      </c>
    </row>
    <row r="16" spans="1:6" ht="15" customHeight="1" x14ac:dyDescent="0.25">
      <c r="A16" s="22" t="s">
        <v>74</v>
      </c>
      <c r="B16" s="23" t="s">
        <v>65</v>
      </c>
      <c r="C16" s="23" t="s">
        <v>57</v>
      </c>
      <c r="D16" s="23">
        <v>88</v>
      </c>
      <c r="E16" s="24">
        <v>224576</v>
      </c>
      <c r="F16" s="24">
        <v>15000</v>
      </c>
    </row>
    <row r="17" spans="1:6" ht="15" customHeight="1" x14ac:dyDescent="0.25">
      <c r="A17" s="19" t="s">
        <v>75</v>
      </c>
      <c r="B17" s="20" t="s">
        <v>67</v>
      </c>
      <c r="C17" s="20" t="s">
        <v>57</v>
      </c>
      <c r="D17" s="20">
        <v>76</v>
      </c>
      <c r="E17" s="21">
        <v>214168</v>
      </c>
      <c r="F17" s="21">
        <v>15000</v>
      </c>
    </row>
    <row r="18" spans="1:6" ht="15" customHeight="1" x14ac:dyDescent="0.25">
      <c r="A18" s="22" t="s">
        <v>76</v>
      </c>
      <c r="B18" s="23" t="s">
        <v>69</v>
      </c>
      <c r="C18" s="23" t="s">
        <v>57</v>
      </c>
      <c r="D18" s="23">
        <v>100</v>
      </c>
      <c r="E18" s="24">
        <v>247000</v>
      </c>
      <c r="F18" s="24">
        <v>15000</v>
      </c>
    </row>
    <row r="19" spans="1:6" ht="15" customHeight="1" x14ac:dyDescent="0.25">
      <c r="A19" s="19" t="s">
        <v>77</v>
      </c>
      <c r="B19" s="20" t="s">
        <v>56</v>
      </c>
      <c r="C19" s="20" t="s">
        <v>57</v>
      </c>
      <c r="D19" s="20">
        <v>120</v>
      </c>
      <c r="E19" s="21">
        <v>269280</v>
      </c>
      <c r="F19" s="21">
        <v>15000</v>
      </c>
    </row>
    <row r="20" spans="1:6" ht="15" customHeight="1" x14ac:dyDescent="0.25">
      <c r="A20" s="22" t="s">
        <v>78</v>
      </c>
      <c r="B20" s="23" t="s">
        <v>59</v>
      </c>
      <c r="C20" s="23" t="s">
        <v>57</v>
      </c>
      <c r="D20" s="23">
        <v>128</v>
      </c>
      <c r="E20" s="24">
        <v>341760</v>
      </c>
      <c r="F20" s="24">
        <v>15000</v>
      </c>
    </row>
    <row r="21" spans="1:6" ht="15" customHeight="1" x14ac:dyDescent="0.25">
      <c r="A21" s="19" t="s">
        <v>79</v>
      </c>
      <c r="B21" s="20" t="s">
        <v>61</v>
      </c>
      <c r="C21" s="20" t="s">
        <v>57</v>
      </c>
      <c r="D21" s="20">
        <v>82</v>
      </c>
      <c r="E21" s="21">
        <v>225418</v>
      </c>
      <c r="F21" s="21">
        <v>15000</v>
      </c>
    </row>
    <row r="22" spans="1:6" ht="15" customHeight="1" x14ac:dyDescent="0.25">
      <c r="A22" s="22" t="s">
        <v>80</v>
      </c>
      <c r="B22" s="23" t="s">
        <v>63</v>
      </c>
      <c r="C22" s="23" t="s">
        <v>57</v>
      </c>
      <c r="D22" s="23">
        <v>91</v>
      </c>
      <c r="E22" s="24">
        <v>211757</v>
      </c>
      <c r="F22" s="24">
        <v>15000</v>
      </c>
    </row>
    <row r="23" spans="1:6" ht="15" customHeight="1" x14ac:dyDescent="0.25">
      <c r="A23" s="19" t="s">
        <v>81</v>
      </c>
      <c r="B23" s="20" t="s">
        <v>65</v>
      </c>
      <c r="C23" s="20" t="s">
        <v>57</v>
      </c>
      <c r="D23" s="20">
        <v>94</v>
      </c>
      <c r="E23" s="21">
        <v>243178</v>
      </c>
      <c r="F23" s="21">
        <v>15000</v>
      </c>
    </row>
    <row r="24" spans="1:6" ht="15" customHeight="1" x14ac:dyDescent="0.25">
      <c r="A24" s="22" t="s">
        <v>82</v>
      </c>
      <c r="B24" s="23" t="s">
        <v>67</v>
      </c>
      <c r="C24" s="23" t="s">
        <v>57</v>
      </c>
      <c r="D24" s="23">
        <v>75</v>
      </c>
      <c r="E24" s="24">
        <v>171000</v>
      </c>
      <c r="F24" s="24">
        <v>15000</v>
      </c>
    </row>
    <row r="25" spans="1:6" ht="15" customHeight="1" x14ac:dyDescent="0.25">
      <c r="A25" s="19" t="s">
        <v>83</v>
      </c>
      <c r="B25" s="20" t="s">
        <v>69</v>
      </c>
      <c r="C25" s="20" t="s">
        <v>57</v>
      </c>
      <c r="D25" s="20">
        <v>117</v>
      </c>
      <c r="E25" s="21">
        <v>323505</v>
      </c>
      <c r="F25" s="21">
        <v>15000</v>
      </c>
    </row>
    <row r="26" spans="1:6" ht="15" customHeight="1" x14ac:dyDescent="0.25">
      <c r="A26" s="22" t="s">
        <v>84</v>
      </c>
      <c r="B26" s="23" t="s">
        <v>56</v>
      </c>
      <c r="C26" s="23" t="s">
        <v>57</v>
      </c>
      <c r="D26" s="23">
        <v>127</v>
      </c>
      <c r="E26" s="24">
        <v>317500</v>
      </c>
      <c r="F26" s="24">
        <v>15000</v>
      </c>
    </row>
    <row r="27" spans="1:6" ht="15" customHeight="1" x14ac:dyDescent="0.25">
      <c r="A27" s="19" t="s">
        <v>85</v>
      </c>
      <c r="B27" s="20" t="s">
        <v>59</v>
      </c>
      <c r="C27" s="20" t="s">
        <v>57</v>
      </c>
      <c r="D27" s="20">
        <v>149</v>
      </c>
      <c r="E27" s="21">
        <v>423607</v>
      </c>
      <c r="F27" s="21">
        <v>15000</v>
      </c>
    </row>
    <row r="28" spans="1:6" ht="15" customHeight="1" x14ac:dyDescent="0.25">
      <c r="A28" s="22" t="s">
        <v>86</v>
      </c>
      <c r="B28" s="23" t="s">
        <v>61</v>
      </c>
      <c r="C28" s="23" t="s">
        <v>57</v>
      </c>
      <c r="D28" s="23">
        <v>88</v>
      </c>
      <c r="E28" s="24">
        <v>249304</v>
      </c>
      <c r="F28" s="24">
        <v>15000</v>
      </c>
    </row>
    <row r="29" spans="1:6" ht="15" customHeight="1" x14ac:dyDescent="0.25">
      <c r="A29" s="19" t="s">
        <v>87</v>
      </c>
      <c r="B29" s="20" t="s">
        <v>63</v>
      </c>
      <c r="C29" s="20" t="s">
        <v>57</v>
      </c>
      <c r="D29" s="20">
        <v>82</v>
      </c>
      <c r="E29" s="21">
        <v>210740</v>
      </c>
      <c r="F29" s="21">
        <v>15000</v>
      </c>
    </row>
    <row r="30" spans="1:6" ht="15" customHeight="1" x14ac:dyDescent="0.25">
      <c r="A30" s="22" t="s">
        <v>88</v>
      </c>
      <c r="B30" s="23" t="s">
        <v>65</v>
      </c>
      <c r="C30" s="23" t="s">
        <v>57</v>
      </c>
      <c r="D30" s="23">
        <v>89</v>
      </c>
      <c r="E30" s="24">
        <v>248399</v>
      </c>
      <c r="F30" s="24">
        <v>15000</v>
      </c>
    </row>
    <row r="31" spans="1:6" ht="15" customHeight="1" x14ac:dyDescent="0.25">
      <c r="A31" s="19" t="s">
        <v>89</v>
      </c>
      <c r="B31" s="20" t="s">
        <v>67</v>
      </c>
      <c r="C31" s="20" t="s">
        <v>57</v>
      </c>
      <c r="D31" s="20">
        <v>93</v>
      </c>
      <c r="E31" s="21">
        <v>222828</v>
      </c>
      <c r="F31" s="21">
        <v>15000</v>
      </c>
    </row>
    <row r="32" spans="1:6" ht="15" customHeight="1" x14ac:dyDescent="0.25">
      <c r="A32" s="25" t="s">
        <v>90</v>
      </c>
      <c r="B32" s="26" t="s">
        <v>69</v>
      </c>
      <c r="C32" s="26" t="s">
        <v>57</v>
      </c>
      <c r="D32" s="26">
        <v>420</v>
      </c>
      <c r="E32" s="27">
        <v>953820</v>
      </c>
      <c r="F32" s="27">
        <v>60000</v>
      </c>
    </row>
    <row r="33" spans="1:6" ht="15" customHeight="1" x14ac:dyDescent="0.25">
      <c r="A33" s="19" t="s">
        <v>91</v>
      </c>
      <c r="B33" s="20" t="s">
        <v>56</v>
      </c>
      <c r="C33" s="20" t="s">
        <v>57</v>
      </c>
      <c r="D33" s="20">
        <v>115</v>
      </c>
      <c r="E33" s="21">
        <v>258290</v>
      </c>
      <c r="F33" s="21">
        <v>15000</v>
      </c>
    </row>
    <row r="34" spans="1:6" ht="15" customHeight="1" x14ac:dyDescent="0.25">
      <c r="A34" s="22" t="s">
        <v>92</v>
      </c>
      <c r="B34" s="23" t="s">
        <v>59</v>
      </c>
      <c r="C34" s="23" t="s">
        <v>57</v>
      </c>
      <c r="D34" s="23">
        <v>125</v>
      </c>
      <c r="E34" s="24">
        <v>359625</v>
      </c>
      <c r="F34" s="24">
        <v>15000</v>
      </c>
    </row>
    <row r="36" spans="1:6" ht="15" customHeight="1" x14ac:dyDescent="0.25">
      <c r="A36" s="1" t="s">
        <v>93</v>
      </c>
      <c r="B36" s="1"/>
      <c r="C36" s="1"/>
      <c r="D36" s="1"/>
      <c r="E36" s="1"/>
      <c r="F36" s="1"/>
    </row>
  </sheetData>
  <mergeCells count="3">
    <mergeCell ref="A1:F1"/>
    <mergeCell ref="A2:F2"/>
    <mergeCell ref="A36:F3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zoomScaleNormal="100" workbookViewId="0">
      <pane ySplit="4" topLeftCell="A5" activePane="bottomLeft" state="frozen"/>
      <selection pane="bottomLeft"/>
    </sheetView>
  </sheetViews>
  <sheetFormatPr defaultColWidth="8.7109375" defaultRowHeight="15" x14ac:dyDescent="0.25"/>
  <cols>
    <col min="1" max="2" width="14" style="9" customWidth="1"/>
    <col min="3" max="3" width="10" style="9" customWidth="1"/>
    <col min="4" max="5" width="18" style="9" customWidth="1"/>
    <col min="6" max="6" width="20" style="9" customWidth="1"/>
  </cols>
  <sheetData>
    <row r="1" spans="1:6" ht="24" customHeight="1" x14ac:dyDescent="0.25">
      <c r="A1" s="8" t="s">
        <v>94</v>
      </c>
      <c r="B1" s="8"/>
      <c r="C1" s="8"/>
      <c r="D1" s="8"/>
      <c r="E1" s="8"/>
      <c r="F1" s="8"/>
    </row>
    <row r="2" spans="1:6" ht="15" customHeight="1" x14ac:dyDescent="0.25">
      <c r="A2" s="5" t="s">
        <v>95</v>
      </c>
      <c r="B2" s="5"/>
      <c r="C2" s="5"/>
      <c r="D2" s="5"/>
      <c r="E2" s="5"/>
      <c r="F2" s="5"/>
    </row>
    <row r="4" spans="1:6" ht="30" customHeight="1" x14ac:dyDescent="0.25">
      <c r="A4" s="18" t="s">
        <v>49</v>
      </c>
      <c r="B4" s="18" t="s">
        <v>50</v>
      </c>
      <c r="C4" s="18" t="s">
        <v>51</v>
      </c>
      <c r="D4" s="18" t="s">
        <v>52</v>
      </c>
      <c r="E4" s="18" t="s">
        <v>53</v>
      </c>
      <c r="F4" s="18" t="s">
        <v>54</v>
      </c>
    </row>
    <row r="5" spans="1:6" ht="15" customHeight="1" x14ac:dyDescent="0.25">
      <c r="A5" s="19" t="s">
        <v>55</v>
      </c>
      <c r="B5" s="20" t="s">
        <v>56</v>
      </c>
      <c r="C5" s="20" t="s">
        <v>96</v>
      </c>
      <c r="D5" s="20">
        <v>130</v>
      </c>
      <c r="E5" s="21">
        <v>363480</v>
      </c>
      <c r="F5" s="21">
        <v>15000</v>
      </c>
    </row>
    <row r="6" spans="1:6" ht="15" customHeight="1" x14ac:dyDescent="0.25">
      <c r="A6" s="22" t="s">
        <v>58</v>
      </c>
      <c r="B6" s="23" t="s">
        <v>59</v>
      </c>
      <c r="C6" s="23" t="s">
        <v>96</v>
      </c>
      <c r="D6" s="23">
        <v>124</v>
      </c>
      <c r="E6" s="24">
        <v>280612</v>
      </c>
      <c r="F6" s="24">
        <v>15000</v>
      </c>
    </row>
    <row r="7" spans="1:6" ht="15" customHeight="1" x14ac:dyDescent="0.25">
      <c r="A7" s="19" t="s">
        <v>60</v>
      </c>
      <c r="B7" s="20" t="s">
        <v>61</v>
      </c>
      <c r="C7" s="20" t="s">
        <v>96</v>
      </c>
      <c r="D7" s="20">
        <v>97</v>
      </c>
      <c r="E7" s="21">
        <v>270630</v>
      </c>
      <c r="F7" s="21">
        <v>15000</v>
      </c>
    </row>
    <row r="8" spans="1:6" ht="15" customHeight="1" x14ac:dyDescent="0.25">
      <c r="A8" s="22" t="s">
        <v>62</v>
      </c>
      <c r="B8" s="23" t="s">
        <v>63</v>
      </c>
      <c r="C8" s="23" t="s">
        <v>96</v>
      </c>
      <c r="D8" s="23">
        <v>105</v>
      </c>
      <c r="E8" s="24">
        <v>293895</v>
      </c>
      <c r="F8" s="24">
        <v>15000</v>
      </c>
    </row>
    <row r="9" spans="1:6" ht="15" customHeight="1" x14ac:dyDescent="0.25">
      <c r="A9" s="19" t="s">
        <v>64</v>
      </c>
      <c r="B9" s="20" t="s">
        <v>65</v>
      </c>
      <c r="C9" s="20" t="s">
        <v>96</v>
      </c>
      <c r="D9" s="20">
        <v>86</v>
      </c>
      <c r="E9" s="21">
        <v>224116</v>
      </c>
      <c r="F9" s="21">
        <v>15000</v>
      </c>
    </row>
    <row r="10" spans="1:6" ht="15" customHeight="1" x14ac:dyDescent="0.25">
      <c r="A10" s="22" t="s">
        <v>66</v>
      </c>
      <c r="B10" s="23" t="s">
        <v>67</v>
      </c>
      <c r="C10" s="23" t="s">
        <v>96</v>
      </c>
      <c r="D10" s="23">
        <v>87</v>
      </c>
      <c r="E10" s="24">
        <v>195750</v>
      </c>
      <c r="F10" s="24">
        <v>15000</v>
      </c>
    </row>
    <row r="11" spans="1:6" ht="15" customHeight="1" x14ac:dyDescent="0.25">
      <c r="A11" s="19" t="s">
        <v>68</v>
      </c>
      <c r="B11" s="20" t="s">
        <v>69</v>
      </c>
      <c r="C11" s="20" t="s">
        <v>96</v>
      </c>
      <c r="D11" s="20">
        <v>127</v>
      </c>
      <c r="E11" s="21">
        <v>308102</v>
      </c>
      <c r="F11" s="21">
        <v>15000</v>
      </c>
    </row>
    <row r="12" spans="1:6" ht="15" customHeight="1" x14ac:dyDescent="0.25">
      <c r="A12" s="22" t="s">
        <v>70</v>
      </c>
      <c r="B12" s="23" t="s">
        <v>56</v>
      </c>
      <c r="C12" s="23" t="s">
        <v>96</v>
      </c>
      <c r="D12" s="23">
        <v>123</v>
      </c>
      <c r="E12" s="24">
        <v>276381</v>
      </c>
      <c r="F12" s="24">
        <v>15000</v>
      </c>
    </row>
    <row r="13" spans="1:6" ht="15" customHeight="1" x14ac:dyDescent="0.25">
      <c r="A13" s="19" t="s">
        <v>71</v>
      </c>
      <c r="B13" s="20" t="s">
        <v>59</v>
      </c>
      <c r="C13" s="20" t="s">
        <v>96</v>
      </c>
      <c r="D13" s="20">
        <v>131</v>
      </c>
      <c r="E13" s="21">
        <v>362870</v>
      </c>
      <c r="F13" s="21">
        <v>15000</v>
      </c>
    </row>
    <row r="14" spans="1:6" ht="15" customHeight="1" x14ac:dyDescent="0.25">
      <c r="A14" s="22" t="s">
        <v>72</v>
      </c>
      <c r="B14" s="23" t="s">
        <v>61</v>
      </c>
      <c r="C14" s="23" t="s">
        <v>96</v>
      </c>
      <c r="D14" s="23">
        <v>103</v>
      </c>
      <c r="E14" s="24">
        <v>240608</v>
      </c>
      <c r="F14" s="24">
        <v>15000</v>
      </c>
    </row>
    <row r="15" spans="1:6" ht="15" customHeight="1" x14ac:dyDescent="0.25">
      <c r="A15" s="19" t="s">
        <v>73</v>
      </c>
      <c r="B15" s="20" t="s">
        <v>63</v>
      </c>
      <c r="C15" s="20" t="s">
        <v>96</v>
      </c>
      <c r="D15" s="20">
        <v>86</v>
      </c>
      <c r="E15" s="21">
        <v>214656</v>
      </c>
      <c r="F15" s="21">
        <v>15000</v>
      </c>
    </row>
    <row r="16" spans="1:6" ht="15" customHeight="1" x14ac:dyDescent="0.25">
      <c r="A16" s="22" t="s">
        <v>74</v>
      </c>
      <c r="B16" s="23" t="s">
        <v>65</v>
      </c>
      <c r="C16" s="23" t="s">
        <v>96</v>
      </c>
      <c r="D16" s="23">
        <v>114</v>
      </c>
      <c r="E16" s="24">
        <v>299706</v>
      </c>
      <c r="F16" s="24">
        <v>15000</v>
      </c>
    </row>
    <row r="17" spans="1:6" ht="15" customHeight="1" x14ac:dyDescent="0.25">
      <c r="A17" s="19" t="s">
        <v>75</v>
      </c>
      <c r="B17" s="20" t="s">
        <v>67</v>
      </c>
      <c r="C17" s="20" t="s">
        <v>96</v>
      </c>
      <c r="D17" s="20">
        <v>101</v>
      </c>
      <c r="E17" s="21">
        <v>237047</v>
      </c>
      <c r="F17" s="21">
        <v>15000</v>
      </c>
    </row>
    <row r="18" spans="1:6" ht="15" customHeight="1" x14ac:dyDescent="0.25">
      <c r="A18" s="22" t="s">
        <v>76</v>
      </c>
      <c r="B18" s="23" t="s">
        <v>69</v>
      </c>
      <c r="C18" s="23" t="s">
        <v>96</v>
      </c>
      <c r="D18" s="23">
        <v>116</v>
      </c>
      <c r="E18" s="24">
        <v>319348</v>
      </c>
      <c r="F18" s="24">
        <v>15000</v>
      </c>
    </row>
    <row r="19" spans="1:6" ht="15" customHeight="1" x14ac:dyDescent="0.25">
      <c r="A19" s="19" t="s">
        <v>77</v>
      </c>
      <c r="B19" s="20" t="s">
        <v>56</v>
      </c>
      <c r="C19" s="20" t="s">
        <v>96</v>
      </c>
      <c r="D19" s="20">
        <v>121</v>
      </c>
      <c r="E19" s="21">
        <v>280720</v>
      </c>
      <c r="F19" s="21">
        <v>15000</v>
      </c>
    </row>
    <row r="20" spans="1:6" ht="15" customHeight="1" x14ac:dyDescent="0.25">
      <c r="A20" s="22" t="s">
        <v>78</v>
      </c>
      <c r="B20" s="23" t="s">
        <v>59</v>
      </c>
      <c r="C20" s="23" t="s">
        <v>96</v>
      </c>
      <c r="D20" s="23">
        <v>122</v>
      </c>
      <c r="E20" s="24">
        <v>339648</v>
      </c>
      <c r="F20" s="24">
        <v>15000</v>
      </c>
    </row>
    <row r="21" spans="1:6" ht="15" customHeight="1" x14ac:dyDescent="0.25">
      <c r="A21" s="19" t="s">
        <v>79</v>
      </c>
      <c r="B21" s="20" t="s">
        <v>61</v>
      </c>
      <c r="C21" s="20" t="s">
        <v>96</v>
      </c>
      <c r="D21" s="20">
        <v>98</v>
      </c>
      <c r="E21" s="21">
        <v>246470</v>
      </c>
      <c r="F21" s="21">
        <v>15000</v>
      </c>
    </row>
    <row r="22" spans="1:6" ht="15" customHeight="1" x14ac:dyDescent="0.25">
      <c r="A22" s="22" t="s">
        <v>80</v>
      </c>
      <c r="B22" s="23" t="s">
        <v>63</v>
      </c>
      <c r="C22" s="23" t="s">
        <v>96</v>
      </c>
      <c r="D22" s="23">
        <v>98</v>
      </c>
      <c r="E22" s="24">
        <v>271754</v>
      </c>
      <c r="F22" s="24">
        <v>15000</v>
      </c>
    </row>
    <row r="23" spans="1:6" ht="15" customHeight="1" x14ac:dyDescent="0.25">
      <c r="A23" s="19" t="s">
        <v>81</v>
      </c>
      <c r="B23" s="20" t="s">
        <v>65</v>
      </c>
      <c r="C23" s="20" t="s">
        <v>96</v>
      </c>
      <c r="D23" s="20">
        <v>87</v>
      </c>
      <c r="E23" s="21">
        <v>252126</v>
      </c>
      <c r="F23" s="21">
        <v>15000</v>
      </c>
    </row>
    <row r="24" spans="1:6" ht="15" customHeight="1" x14ac:dyDescent="0.25">
      <c r="A24" s="22" t="s">
        <v>82</v>
      </c>
      <c r="B24" s="23" t="s">
        <v>67</v>
      </c>
      <c r="C24" s="23" t="s">
        <v>96</v>
      </c>
      <c r="D24" s="23">
        <v>92</v>
      </c>
      <c r="E24" s="24">
        <v>219420</v>
      </c>
      <c r="F24" s="24">
        <v>15000</v>
      </c>
    </row>
    <row r="25" spans="1:6" ht="15" customHeight="1" x14ac:dyDescent="0.25">
      <c r="A25" s="19" t="s">
        <v>83</v>
      </c>
      <c r="B25" s="20" t="s">
        <v>69</v>
      </c>
      <c r="C25" s="20" t="s">
        <v>96</v>
      </c>
      <c r="D25" s="20">
        <v>112</v>
      </c>
      <c r="E25" s="21">
        <v>258160</v>
      </c>
      <c r="F25" s="21">
        <v>15000</v>
      </c>
    </row>
    <row r="26" spans="1:6" ht="15" customHeight="1" x14ac:dyDescent="0.25">
      <c r="A26" s="22" t="s">
        <v>84</v>
      </c>
      <c r="B26" s="23" t="s">
        <v>56</v>
      </c>
      <c r="C26" s="23" t="s">
        <v>96</v>
      </c>
      <c r="D26" s="23">
        <v>137</v>
      </c>
      <c r="E26" s="24">
        <v>382915</v>
      </c>
      <c r="F26" s="24">
        <v>15000</v>
      </c>
    </row>
    <row r="27" spans="1:6" ht="15" customHeight="1" x14ac:dyDescent="0.25">
      <c r="A27" s="19" t="s">
        <v>85</v>
      </c>
      <c r="B27" s="20" t="s">
        <v>59</v>
      </c>
      <c r="C27" s="20" t="s">
        <v>96</v>
      </c>
      <c r="D27" s="20">
        <v>133</v>
      </c>
      <c r="E27" s="21">
        <v>370272</v>
      </c>
      <c r="F27" s="21">
        <v>15000</v>
      </c>
    </row>
    <row r="28" spans="1:6" ht="15" customHeight="1" x14ac:dyDescent="0.25">
      <c r="A28" s="22" t="s">
        <v>86</v>
      </c>
      <c r="B28" s="23" t="s">
        <v>61</v>
      </c>
      <c r="C28" s="23" t="s">
        <v>96</v>
      </c>
      <c r="D28" s="23">
        <v>86</v>
      </c>
      <c r="E28" s="24">
        <v>245444</v>
      </c>
      <c r="F28" s="24">
        <v>15000</v>
      </c>
    </row>
    <row r="29" spans="1:6" ht="15" customHeight="1" x14ac:dyDescent="0.25">
      <c r="A29" s="19" t="s">
        <v>87</v>
      </c>
      <c r="B29" s="20" t="s">
        <v>63</v>
      </c>
      <c r="C29" s="20" t="s">
        <v>96</v>
      </c>
      <c r="D29" s="20">
        <v>111</v>
      </c>
      <c r="E29" s="21">
        <v>265512</v>
      </c>
      <c r="F29" s="21">
        <v>15000</v>
      </c>
    </row>
    <row r="30" spans="1:6" ht="15" customHeight="1" x14ac:dyDescent="0.25">
      <c r="A30" s="22" t="s">
        <v>88</v>
      </c>
      <c r="B30" s="23" t="s">
        <v>65</v>
      </c>
      <c r="C30" s="23" t="s">
        <v>96</v>
      </c>
      <c r="D30" s="23">
        <v>103</v>
      </c>
      <c r="E30" s="24">
        <v>265843</v>
      </c>
      <c r="F30" s="24">
        <v>15000</v>
      </c>
    </row>
    <row r="31" spans="1:6" ht="15" customHeight="1" x14ac:dyDescent="0.25">
      <c r="A31" s="19" t="s">
        <v>89</v>
      </c>
      <c r="B31" s="20" t="s">
        <v>67</v>
      </c>
      <c r="C31" s="20" t="s">
        <v>96</v>
      </c>
      <c r="D31" s="20">
        <v>88</v>
      </c>
      <c r="E31" s="21">
        <v>202312</v>
      </c>
      <c r="F31" s="21">
        <v>15000</v>
      </c>
    </row>
    <row r="32" spans="1:6" ht="15" customHeight="1" x14ac:dyDescent="0.25">
      <c r="A32" s="22" t="s">
        <v>90</v>
      </c>
      <c r="B32" s="23" t="s">
        <v>69</v>
      </c>
      <c r="C32" s="23" t="s">
        <v>96</v>
      </c>
      <c r="D32" s="23">
        <v>117</v>
      </c>
      <c r="E32" s="24">
        <v>322920</v>
      </c>
      <c r="F32" s="24">
        <v>15000</v>
      </c>
    </row>
    <row r="33" spans="1:6" ht="15" customHeight="1" x14ac:dyDescent="0.25">
      <c r="A33" s="19" t="s">
        <v>91</v>
      </c>
      <c r="B33" s="20" t="s">
        <v>56</v>
      </c>
      <c r="C33" s="20" t="s">
        <v>96</v>
      </c>
      <c r="D33" s="20">
        <v>140</v>
      </c>
      <c r="E33" s="21">
        <v>316960</v>
      </c>
      <c r="F33" s="21">
        <v>15000</v>
      </c>
    </row>
    <row r="34" spans="1:6" ht="15" customHeight="1" x14ac:dyDescent="0.25">
      <c r="A34" s="22" t="s">
        <v>92</v>
      </c>
      <c r="B34" s="23" t="s">
        <v>59</v>
      </c>
      <c r="C34" s="23" t="s">
        <v>96</v>
      </c>
      <c r="D34" s="23">
        <v>140</v>
      </c>
      <c r="E34" s="24">
        <v>388780</v>
      </c>
      <c r="F34" s="24">
        <v>15000</v>
      </c>
    </row>
    <row r="36" spans="1:6" ht="21.75" customHeight="1" x14ac:dyDescent="0.25">
      <c r="A36" s="1" t="s">
        <v>97</v>
      </c>
      <c r="B36" s="1"/>
      <c r="C36" s="1"/>
      <c r="D36" s="1"/>
      <c r="E36" s="1"/>
      <c r="F36" s="1"/>
    </row>
  </sheetData>
  <mergeCells count="3">
    <mergeCell ref="A1:F1"/>
    <mergeCell ref="A2:F2"/>
    <mergeCell ref="A36:F3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Provenance</vt:lpstr>
      <vt:lpstr>Tutor Answer Key</vt:lpstr>
      <vt:lpstr>Ikeja Data</vt:lpstr>
      <vt:lpstr>Yaba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2026-08-26T10:26:14Z</dcterms:created>
  <dcterms:modified xsi:type="dcterms:W3CDTF">2026-09-10T09:21:44Z</dcterms:modified>
  <dc:language>en-US</dc:language>
</cp:coreProperties>
</file>