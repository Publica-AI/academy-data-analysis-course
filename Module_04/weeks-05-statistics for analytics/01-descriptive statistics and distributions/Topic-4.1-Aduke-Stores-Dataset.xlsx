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taset Provenance" sheetId="1" state="visible" r:id="rId3"/>
    <sheet name="Tutor Answer Key" sheetId="2" state="visible" r:id="rId4"/>
    <sheet name="Ikeja Data" sheetId="3" state="visible" r:id="rId5"/>
    <sheet name="Yaba Data" sheetId="4" state="visible" r:id="rId6"/>
    <sheet name="Lekki Data" sheetId="5" state="visible" r:id="rId7"/>
    <sheet name="Surulere Data"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<sst xmlns="http://schemas.openxmlformats.org/spreadsheetml/2006/main" count="513" uniqueCount="129">
  <si>
    <t xml:space="preserve">Dataset Provenance — Topic 4.1, Descriptive Statistics and Distributions</t>
  </si>
  <si>
    <t xml:space="preserve">Dataset type</t>
  </si>
  <si>
    <t xml:space="preserve">Synthetic. Generated with a Python script (numpy / random), not collected from real transactions, surveys, or any third-party source.</t>
  </si>
  <si>
    <t xml:space="preserve">Business scenario</t>
  </si>
  <si>
    <t xml:space="preserve">Aduke Stores is a fictional Lagos-based retail chain, created for this training programme. Any resemblance to a real business is coincidental.</t>
  </si>
  <si>
    <t xml:space="preserve">Why synthetic data was used</t>
  </si>
  <si>
    <t xml:space="preserve">Synthetic data allows specific, verifiable statistical properties to be built into the dataset on purpose, so every exercise has a checkable expected output. See 'Engineered property' below for what was deliberately built into this specific dataset.</t>
  </si>
  <si>
    <t xml:space="preserve">Engineered property for this topic</t>
  </si>
  <si>
    <t xml:space="preserve">Ikeja branch's 30-day customer count includes one deliberate high outlier (a promo day), and Yaba/Lekki/Surulere were each built with a different outlier shape (none, low, low) so mean-vs-median and outlier effects can be taught and compared across branches.</t>
  </si>
  <si>
    <t xml:space="preserve">Realism checks applied</t>
  </si>
  <si>
    <t xml:space="preserve">Values were calibrated to stay within plausible real-world ranges for Nigerian retail (prices, staffing levels, daily footfall, sample sizes) and include realistic day-to-day noise, weekday/weekend patterns, and imperfect (not artificially perfect) relationships between variables.</t>
  </si>
  <si>
    <t xml:space="preserve">Personal data</t>
  </si>
  <si>
    <t xml:space="preserve">None. No real names, contact details, or identifiable individuals are used anywhere in this file.</t>
  </si>
  <si>
    <t xml:space="preserve">Verification</t>
  </si>
  <si>
    <t xml:space="preserve">Every statistic shown in the Tutor Answer Key sheet was computed independently in Python, then recalculated live in Excel and confirmed to match, with zero formula errors, before this file was finalised.</t>
  </si>
  <si>
    <t xml:space="preserve">If asked whether this data is real: it is not. It is disclosed, verified, illustrative training data, built to be realistic in shape and behaviour, not sourced from an external dataset.</t>
  </si>
  <si>
    <t xml:space="preserve">TUTOR ANSWER KEY — do not share this sheet with trainees before the session</t>
  </si>
  <si>
    <t xml:space="preserve">All values are computed with live formulas from each branch's Data sheet, column D = Customers Served.</t>
  </si>
  <si>
    <t xml:space="preserve">Ikeja Branch  (source: 'Ikeja Data'!D5:D34)</t>
  </si>
  <si>
    <t xml:space="preserve">All 30 days</t>
  </si>
  <si>
    <t xml:space="preserve">n (COUNT)</t>
  </si>
  <si>
    <t xml:space="preserve">Expected = 30</t>
  </si>
  <si>
    <t xml:space="preserve">Mean (AVERAGE)</t>
  </si>
  <si>
    <t xml:space="preserve">Expected ≈ 112.87</t>
  </si>
  <si>
    <t xml:space="preserve">Median (MEDIAN)</t>
  </si>
  <si>
    <t xml:space="preserve">Expected = 96</t>
  </si>
  <si>
    <t xml:space="preserve">Mode (MODE.SNGL)</t>
  </si>
  <si>
    <t xml:space="preserve">Expected = 82</t>
  </si>
  <si>
    <t xml:space="preserve">Minimum</t>
  </si>
  <si>
    <t xml:space="preserve">Maximum</t>
  </si>
  <si>
    <t xml:space="preserve">Range (Max-Min)</t>
  </si>
  <si>
    <t xml:space="preserve">Expected = 345</t>
  </si>
  <si>
    <t xml:space="preserve">Sample Std Dev (STDEV.S)</t>
  </si>
  <si>
    <t xml:space="preserve">Expected ≈ 61.71</t>
  </si>
  <si>
    <t xml:space="preserve">Excluding the outlier day (row 32)</t>
  </si>
  <si>
    <t xml:space="preserve">Expected = 29</t>
  </si>
  <si>
    <t xml:space="preserve">Expected ≈ 102.28</t>
  </si>
  <si>
    <t xml:space="preserve">Expected = 94</t>
  </si>
  <si>
    <t xml:space="preserve">Expected = 74</t>
  </si>
  <si>
    <t xml:space="preserve">Expected ≈ 21.42</t>
  </si>
  <si>
    <t xml:space="preserve">Yaba Branch  (source: 'Yaba Data'!D5:D34)</t>
  </si>
  <si>
    <t xml:space="preserve">Expected ≈ 110.5</t>
  </si>
  <si>
    <t xml:space="preserve">Expected = 111.5</t>
  </si>
  <si>
    <t xml:space="preserve">Expected = 86</t>
  </si>
  <si>
    <t xml:space="preserve">Expected = 54</t>
  </si>
  <si>
    <t xml:space="preserve">Expected ≈ 17.78</t>
  </si>
  <si>
    <t xml:space="preserve">Lekki Branch  (source: 'Lekki Data'!D5:D34)</t>
  </si>
  <si>
    <t xml:space="preserve">Expected ≈ 116.9</t>
  </si>
  <si>
    <t xml:space="preserve">Expected = 112.5</t>
  </si>
  <si>
    <t xml:space="preserve">Expected = 102</t>
  </si>
  <si>
    <t xml:space="preserve">Expected = 123</t>
  </si>
  <si>
    <t xml:space="preserve">Expected ≈ 25.76</t>
  </si>
  <si>
    <t xml:space="preserve">Excluding the outlier day (row 18)</t>
  </si>
  <si>
    <t xml:space="preserve">Expected ≈ 119.97</t>
  </si>
  <si>
    <t xml:space="preserve">Expected = 115</t>
  </si>
  <si>
    <t xml:space="preserve">Expected = 57</t>
  </si>
  <si>
    <t xml:space="preserve">Expected ≈ 19.89</t>
  </si>
  <si>
    <t xml:space="preserve">Surulere Branch  (source: 'Surulere Data'!D5:D34)</t>
  </si>
  <si>
    <t xml:space="preserve">Expected ≈ 97.3</t>
  </si>
  <si>
    <t xml:space="preserve">Expected = 99.5</t>
  </si>
  <si>
    <t xml:space="preserve">Expected = 76</t>
  </si>
  <si>
    <t xml:space="preserve">Expected = 119</t>
  </si>
  <si>
    <t xml:space="preserve">Expected ≈ 23.99</t>
  </si>
  <si>
    <t xml:space="preserve">Excluding the outlier day (row 24)</t>
  </si>
  <si>
    <t xml:space="preserve">Expected ≈ 100.14</t>
  </si>
  <si>
    <t xml:space="preserve">Expected = 100</t>
  </si>
  <si>
    <t xml:space="preserve">Expected = 62</t>
  </si>
  <si>
    <t xml:space="preserve">Expected ≈ 18.6</t>
  </si>
  <si>
    <t xml:space="preserve">Facilitator teaching point</t>
  </si>
  <si>
    <t xml:space="preserve">Ikeja (high outlier) and Lekki/Surulere (low outliers) all show the same pattern: the mean moves noticeably when the outlier is included, while the median barely moves. Yaba has no dramatic outlier, so its mean and median already sit close together with all 30 days included, use it to show trainees what a 'well-behaved' distribution looks like by contrast. Rule of thumb to teach: if mean and median are close, report the mean; if they diverge, investigate for an outlier before choosing which figure to lead with in a report.</t>
  </si>
  <si>
    <t xml:space="preserve">Aduke Stores — Ikeja Branch: Daily Performance (1–30 November 2025)</t>
  </si>
  <si>
    <t xml:space="preserve">Topic 4.1 dataset — Concept session worked example. Figures are illustrative, generated for training purposes.</t>
  </si>
  <si>
    <t xml:space="preserve">Date</t>
  </si>
  <si>
    <t xml:space="preserve">Day of Week</t>
  </si>
  <si>
    <t xml:space="preserve">Branch</t>
  </si>
  <si>
    <t xml:space="preserve">Customers Served</t>
  </si>
  <si>
    <t xml:space="preserve">Daily Sales (NGN)</t>
  </si>
  <si>
    <t xml:space="preserve">Marketing Spend (NGN)</t>
  </si>
  <si>
    <t xml:space="preserve">2025-11-01</t>
  </si>
  <si>
    <t xml:space="preserve">Saturday</t>
  </si>
  <si>
    <t xml:space="preserve">Ikeja</t>
  </si>
  <si>
    <t xml:space="preserve">2025-11-02</t>
  </si>
  <si>
    <t xml:space="preserve">Sunday</t>
  </si>
  <si>
    <t xml:space="preserve">2025-11-03</t>
  </si>
  <si>
    <t xml:space="preserve">Monday</t>
  </si>
  <si>
    <t xml:space="preserve">2025-11-04</t>
  </si>
  <si>
    <t xml:space="preserve">Tuesday</t>
  </si>
  <si>
    <t xml:space="preserve">2025-11-05</t>
  </si>
  <si>
    <t xml:space="preserve">Wednesday</t>
  </si>
  <si>
    <t xml:space="preserve">2025-11-06</t>
  </si>
  <si>
    <t xml:space="preserve">Thursday</t>
  </si>
  <si>
    <t xml:space="preserve">2025-11-07</t>
  </si>
  <si>
    <t xml:space="preserve">Friday</t>
  </si>
  <si>
    <t xml:space="preserve">2025-11-08</t>
  </si>
  <si>
    <t xml:space="preserve">2025-11-09</t>
  </si>
  <si>
    <t xml:space="preserve">2025-11-10</t>
  </si>
  <si>
    <t xml:space="preserve">2025-11-11</t>
  </si>
  <si>
    <t xml:space="preserve">2025-11-12</t>
  </si>
  <si>
    <t xml:space="preserve">2025-11-13</t>
  </si>
  <si>
    <t xml:space="preserve">2025-11-14</t>
  </si>
  <si>
    <t xml:space="preserve">2025-11-15</t>
  </si>
  <si>
    <t xml:space="preserve">2025-11-16</t>
  </si>
  <si>
    <t xml:space="preserve">2025-11-17</t>
  </si>
  <si>
    <t xml:space="preserve">2025-11-18</t>
  </si>
  <si>
    <t xml:space="preserve">2025-11-19</t>
  </si>
  <si>
    <t xml:space="preserve">2025-11-20</t>
  </si>
  <si>
    <t xml:space="preserve">2025-11-21</t>
  </si>
  <si>
    <t xml:space="preserve">2025-11-22</t>
  </si>
  <si>
    <t xml:space="preserve">2025-11-23</t>
  </si>
  <si>
    <t xml:space="preserve">2025-11-24</t>
  </si>
  <si>
    <t xml:space="preserve">2025-11-25</t>
  </si>
  <si>
    <t xml:space="preserve">2025-11-26</t>
  </si>
  <si>
    <t xml:space="preserve">2025-11-27</t>
  </si>
  <si>
    <t xml:space="preserve">2025-11-28</t>
  </si>
  <si>
    <t xml:space="preserve">2025-11-29</t>
  </si>
  <si>
    <t xml:space="preserve">2025-11-30</t>
  </si>
  <si>
    <t xml:space="preserve">Highlighted row (28 Nov) = Black Friday promo day, a HIGH outlier. Used in the Topic 4.1 worked example.</t>
  </si>
  <si>
    <t xml:space="preserve">Aduke Stores — Yaba Branch: Daily Performance (1–30 November 2025)</t>
  </si>
  <si>
    <t xml:space="preserve">Topic 4.1 dataset — Guided practice (in-session). Figures are illustrative, generated for training purposes.</t>
  </si>
  <si>
    <t xml:space="preserve">Yaba</t>
  </si>
  <si>
    <t xml:space="preserve">No dramatic outlier in this branch on purpose: mean and median stay close together. Used in the Topic 4.1 in-session guided practice.</t>
  </si>
  <si>
    <t xml:space="preserve">Aduke Stores — Lekki Branch: Daily Performance (1–30 November 2025)</t>
  </si>
  <si>
    <t xml:space="preserve">Topic 4.1 dataset — Lab: Semi-Guided tier. Figures are illustrative, generated for training purposes.</t>
  </si>
  <si>
    <t xml:space="preserve">Lekki</t>
  </si>
  <si>
    <t xml:space="preserve">Highlighted row (14 Nov) = severe rainstorm day, a LOW outlier. Used in the Topic 4.1 lab, Semi-Guided tier.</t>
  </si>
  <si>
    <t xml:space="preserve">Aduke Stores — Surulere Branch: Daily Performance (1–30 November 2025)</t>
  </si>
  <si>
    <t xml:space="preserve">Topic 4.1 dataset — Lab: Independent tier. Figures are illustrative, generated for training purposes.</t>
  </si>
  <si>
    <t xml:space="preserve">Surulere</t>
  </si>
  <si>
    <t xml:space="preserve">Highlighted row (20 Nov) = branch closed for emergency electrical repairs, a LOW outlier. Used in the Topic 4.1 lab, Independent tier.</t>
  </si>
</sst>
</file>

<file path=xl/styles.xml><?xml version="1.0" encoding="utf-8"?>
<styleSheet xmlns="http://schemas.openxmlformats.org/spreadsheetml/2006/main">
  <numFmts count="4">
    <numFmt numFmtId="164" formatCode="General"/>
    <numFmt numFmtId="165" formatCode="#,##0.00"/>
    <numFmt numFmtId="166" formatCode="dd\-mmm\-yyyy"/>
    <numFmt numFmtId="167" formatCode="#,##0"/>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1"/>
      <color rgb="FF1F4E78"/>
      <name val="Arial"/>
      <family val="0"/>
      <charset val="1"/>
    </font>
    <font>
      <sz val="10"/>
      <name val="Arial"/>
      <family val="0"/>
      <charset val="1"/>
    </font>
    <font>
      <i val="true"/>
      <sz val="9"/>
      <color rgb="FF595959"/>
      <name val="Arial"/>
      <family val="0"/>
      <charset val="1"/>
    </font>
    <font>
      <b val="true"/>
      <sz val="13"/>
      <color rgb="FFFFFFFF"/>
      <name val="Arial"/>
      <family val="0"/>
      <charset val="1"/>
    </font>
    <font>
      <b val="true"/>
      <sz val="11"/>
      <color rgb="FFFFFFFF"/>
      <name val="Arial"/>
      <family val="0"/>
      <charset val="1"/>
    </font>
    <font>
      <b val="true"/>
      <sz val="10"/>
      <name val="Arial"/>
      <family val="0"/>
      <charset val="1"/>
    </font>
    <font>
      <i val="true"/>
      <sz val="10"/>
      <name val="Arial"/>
      <family val="0"/>
      <charset val="1"/>
    </font>
    <font>
      <sz val="11"/>
      <name val="Arial"/>
      <family val="0"/>
      <charset val="1"/>
    </font>
    <font>
      <i val="true"/>
      <sz val="9"/>
      <color rgb="FF9C6500"/>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FF8E1"/>
        <bgColor rgb="FFFFFFFF"/>
      </patternFill>
    </fill>
    <fill>
      <patternFill patternType="solid">
        <fgColor rgb="FFC00000"/>
        <bgColor rgb="FF800000"/>
      </patternFill>
    </fill>
    <fill>
      <patternFill patternType="solid">
        <fgColor rgb="FF2E75B6"/>
        <bgColor rgb="FF0066CC"/>
      </patternFill>
    </fill>
    <fill>
      <patternFill patternType="solid">
        <fgColor rgb="FFEAF1F8"/>
        <bgColor rgb="FFFFF8E1"/>
      </patternFill>
    </fill>
    <fill>
      <patternFill patternType="solid">
        <fgColor rgb="FFFFE699"/>
        <bgColor rgb="FFFFCC99"/>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4" fontId="9" fillId="5" borderId="0"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6" fontId="12" fillId="6" borderId="1" xfId="0" applyFont="true" applyBorder="true" applyAlignment="true" applyProtection="false">
      <alignment horizontal="center" vertical="bottom" textRotation="0" wrapText="false" indent="0" shrinkToFit="false"/>
      <protection locked="true" hidden="false"/>
    </xf>
    <xf numFmtId="164" fontId="12" fillId="6" borderId="1" xfId="0" applyFont="true" applyBorder="true" applyAlignment="true" applyProtection="false">
      <alignment horizontal="center" vertical="bottom" textRotation="0" wrapText="false" indent="0" shrinkToFit="false"/>
      <protection locked="true" hidden="false"/>
    </xf>
    <xf numFmtId="167" fontId="12" fillId="6" borderId="1" xfId="0" applyFont="true" applyBorder="true" applyAlignment="true" applyProtection="false">
      <alignment horizontal="center" vertical="bottom" textRotation="0" wrapText="fals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7" fontId="12" fillId="0" borderId="1" xfId="0" applyFont="true" applyBorder="true" applyAlignment="true" applyProtection="false">
      <alignment horizontal="center" vertical="bottom" textRotation="0" wrapText="false" indent="0" shrinkToFit="false"/>
      <protection locked="true" hidden="false"/>
    </xf>
    <xf numFmtId="166" fontId="12" fillId="7" borderId="1" xfId="0" applyFont="true" applyBorder="true" applyAlignment="true" applyProtection="false">
      <alignment horizontal="center" vertical="bottom" textRotation="0" wrapText="false" indent="0" shrinkToFit="false"/>
      <protection locked="true" hidden="false"/>
    </xf>
    <xf numFmtId="164" fontId="12" fillId="7" borderId="1" xfId="0" applyFont="true" applyBorder="true" applyAlignment="true" applyProtection="false">
      <alignment horizontal="center" vertical="bottom" textRotation="0" wrapText="false" indent="0" shrinkToFit="false"/>
      <protection locked="true" hidden="false"/>
    </xf>
    <xf numFmtId="167" fontId="12" fillId="7"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9C6500"/>
      <rgbColor rgb="FF800080"/>
      <rgbColor rgb="FF008080"/>
      <rgbColor rgb="FFB7B7B7"/>
      <rgbColor rgb="FF808080"/>
      <rgbColor rgb="FF9999FF"/>
      <rgbColor rgb="FF993366"/>
      <rgbColor rgb="FFFFF8E1"/>
      <rgbColor rgb="FFEAF1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72"/>
  </cols>
  <sheetData>
    <row r="1" customFormat="false" ht="24" hidden="false" customHeight="true" outlineLevel="0" collapsed="false">
      <c r="A1" s="1" t="s">
        <v>0</v>
      </c>
      <c r="B1" s="1"/>
    </row>
    <row r="3" customFormat="false" ht="45" hidden="false" customHeight="true" outlineLevel="0" collapsed="false">
      <c r="A3" s="2" t="s">
        <v>1</v>
      </c>
      <c r="B3" s="3" t="s">
        <v>2</v>
      </c>
    </row>
    <row r="4" customFormat="false" ht="45" hidden="false" customHeight="true" outlineLevel="0" collapsed="false">
      <c r="A4" s="2" t="s">
        <v>3</v>
      </c>
      <c r="B4" s="3" t="s">
        <v>4</v>
      </c>
    </row>
    <row r="5" customFormat="false" ht="54.75" hidden="false" customHeight="true" outlineLevel="0" collapsed="false">
      <c r="A5" s="2" t="s">
        <v>5</v>
      </c>
      <c r="B5" s="3" t="s">
        <v>6</v>
      </c>
    </row>
    <row r="6" customFormat="false" ht="60" hidden="false" customHeight="true" outlineLevel="0" collapsed="false">
      <c r="A6" s="2" t="s">
        <v>7</v>
      </c>
      <c r="B6" s="3" t="s">
        <v>8</v>
      </c>
    </row>
    <row r="7" customFormat="false" ht="60" hidden="false" customHeight="true" outlineLevel="0" collapsed="false">
      <c r="A7" s="2" t="s">
        <v>9</v>
      </c>
      <c r="B7" s="3" t="s">
        <v>10</v>
      </c>
    </row>
    <row r="8" customFormat="false" ht="34.5" hidden="false" customHeight="true" outlineLevel="0" collapsed="false">
      <c r="A8" s="2" t="s">
        <v>11</v>
      </c>
      <c r="B8" s="3" t="s">
        <v>12</v>
      </c>
    </row>
    <row r="9" customFormat="false" ht="54.75" hidden="false" customHeight="true" outlineLevel="0" collapsed="false">
      <c r="A9" s="2" t="s">
        <v>13</v>
      </c>
      <c r="B9" s="3" t="s">
        <v>14</v>
      </c>
    </row>
    <row r="10" customFormat="false" ht="54.75" hidden="false" customHeight="true" outlineLevel="0" collapsed="false">
      <c r="A10" s="4" t="s">
        <v>15</v>
      </c>
      <c r="B10" s="4"/>
    </row>
    <row r="11" customFormat="false" ht="15" hidden="false" customHeight="false" outlineLevel="0" collapsed="false">
      <c r="A11" s="4"/>
      <c r="B11" s="4"/>
    </row>
    <row r="12" customFormat="false" ht="15" hidden="false" customHeight="false" outlineLevel="0" collapsed="false">
      <c r="A12" s="4"/>
      <c r="B12" s="4"/>
    </row>
  </sheetData>
  <mergeCells count="2">
    <mergeCell ref="A1:B1"/>
    <mergeCell ref="A10:B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D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5" width="32"/>
    <col collapsed="false" customWidth="true" hidden="false" outlineLevel="0" max="2" min="2" style="5" width="16"/>
    <col collapsed="false" customWidth="true" hidden="false" outlineLevel="0" max="3" min="3" style="5" width="42"/>
    <col collapsed="false" customWidth="true" hidden="false" outlineLevel="0" max="4" min="4" style="5" width="4"/>
  </cols>
  <sheetData>
    <row r="1" customFormat="false" ht="21.75" hidden="false" customHeight="true" outlineLevel="0" collapsed="false">
      <c r="A1" s="6" t="s">
        <v>16</v>
      </c>
      <c r="B1" s="6"/>
      <c r="C1" s="6"/>
      <c r="D1" s="6"/>
    </row>
    <row r="2" customFormat="false" ht="15" hidden="false" customHeight="true" outlineLevel="0" collapsed="false">
      <c r="A2" s="7" t="s">
        <v>17</v>
      </c>
      <c r="B2" s="7"/>
      <c r="C2" s="7"/>
      <c r="D2" s="7"/>
    </row>
    <row r="4" customFormat="false" ht="21.75" hidden="false" customHeight="true" outlineLevel="0" collapsed="false">
      <c r="A4" s="8" t="s">
        <v>18</v>
      </c>
      <c r="B4" s="8"/>
      <c r="C4" s="8"/>
      <c r="D4" s="8"/>
    </row>
    <row r="5" customFormat="false" ht="19.5" hidden="false" customHeight="true" outlineLevel="0" collapsed="false">
      <c r="A5" s="9" t="s">
        <v>19</v>
      </c>
      <c r="B5" s="9"/>
      <c r="C5" s="9"/>
      <c r="D5" s="9"/>
    </row>
    <row r="6" customFormat="false" ht="15" hidden="false" customHeight="true" outlineLevel="0" collapsed="false">
      <c r="A6" s="10" t="s">
        <v>20</v>
      </c>
      <c r="B6" s="11" t="n">
        <f aca="false">COUNT('Ikeja Data'!D5:D34)</f>
        <v>30</v>
      </c>
      <c r="C6" s="12" t="s">
        <v>21</v>
      </c>
      <c r="D6" s="13"/>
    </row>
    <row r="7" customFormat="false" ht="15" hidden="false" customHeight="true" outlineLevel="0" collapsed="false">
      <c r="A7" s="10" t="s">
        <v>22</v>
      </c>
      <c r="B7" s="11" t="n">
        <f aca="false">AVERAGE('Ikeja Data'!D5:D34)</f>
        <v>112.866666666667</v>
      </c>
      <c r="C7" s="12" t="s">
        <v>23</v>
      </c>
      <c r="D7" s="13"/>
    </row>
    <row r="8" customFormat="false" ht="15" hidden="false" customHeight="true" outlineLevel="0" collapsed="false">
      <c r="A8" s="10" t="s">
        <v>24</v>
      </c>
      <c r="B8" s="11" t="n">
        <f aca="false">MEDIAN('Ikeja Data'!D5:D34)</f>
        <v>96</v>
      </c>
      <c r="C8" s="12" t="s">
        <v>25</v>
      </c>
      <c r="D8" s="13"/>
    </row>
    <row r="9" customFormat="false" ht="15" hidden="false" customHeight="true" outlineLevel="0" collapsed="false">
      <c r="A9" s="10" t="s">
        <v>26</v>
      </c>
      <c r="B9" s="11" t="n">
        <f aca="false">_xlfn.MODE.SNGL('Ikeja Data'!D5:D34)</f>
        <v>82</v>
      </c>
      <c r="C9" s="12" t="s">
        <v>27</v>
      </c>
      <c r="D9" s="13"/>
    </row>
    <row r="10" customFormat="false" ht="15" hidden="false" customHeight="true" outlineLevel="0" collapsed="false">
      <c r="A10" s="10" t="s">
        <v>28</v>
      </c>
      <c r="B10" s="11" t="n">
        <f aca="false">MIN('Ikeja Data'!D5:D34)</f>
        <v>75</v>
      </c>
      <c r="C10" s="12"/>
      <c r="D10" s="13"/>
    </row>
    <row r="11" customFormat="false" ht="15" hidden="false" customHeight="true" outlineLevel="0" collapsed="false">
      <c r="A11" s="10" t="s">
        <v>29</v>
      </c>
      <c r="B11" s="11" t="n">
        <f aca="false">MAX('Ikeja Data'!D5:D34)</f>
        <v>420</v>
      </c>
      <c r="C11" s="12"/>
      <c r="D11" s="13"/>
    </row>
    <row r="12" customFormat="false" ht="15" hidden="false" customHeight="true" outlineLevel="0" collapsed="false">
      <c r="A12" s="10" t="s">
        <v>30</v>
      </c>
      <c r="B12" s="11" t="n">
        <f aca="false">MAX('Ikeja Data'!D5:D34)-MIN('Ikeja Data'!D5:D34)</f>
        <v>345</v>
      </c>
      <c r="C12" s="12" t="s">
        <v>31</v>
      </c>
      <c r="D12" s="13"/>
    </row>
    <row r="13" customFormat="false" ht="15" hidden="false" customHeight="true" outlineLevel="0" collapsed="false">
      <c r="A13" s="10" t="s">
        <v>32</v>
      </c>
      <c r="B13" s="11" t="n">
        <f aca="false">_xlfn.STDEV.S('Ikeja Data'!D5:D34)</f>
        <v>61.7077278641899</v>
      </c>
      <c r="C13" s="12" t="s">
        <v>33</v>
      </c>
      <c r="D13" s="13"/>
    </row>
    <row r="15" customFormat="false" ht="19.5" hidden="false" customHeight="true" outlineLevel="0" collapsed="false">
      <c r="A15" s="9" t="s">
        <v>34</v>
      </c>
      <c r="B15" s="9"/>
      <c r="C15" s="9"/>
      <c r="D15" s="9"/>
    </row>
    <row r="16" customFormat="false" ht="15" hidden="false" customHeight="true" outlineLevel="0" collapsed="false">
      <c r="A16" s="10" t="s">
        <v>20</v>
      </c>
      <c r="B16" s="11" t="n">
        <f aca="false">COUNT('Ikeja Data'!D5:D31,'Ikeja Data'!D33:D34)</f>
        <v>29</v>
      </c>
      <c r="C16" s="12" t="s">
        <v>35</v>
      </c>
      <c r="D16" s="13"/>
    </row>
    <row r="17" customFormat="false" ht="15" hidden="false" customHeight="true" outlineLevel="0" collapsed="false">
      <c r="A17" s="10" t="s">
        <v>22</v>
      </c>
      <c r="B17" s="11" t="n">
        <f aca="false">AVERAGE('Ikeja Data'!D5:D31,'Ikeja Data'!D33:D34)</f>
        <v>102.275862068966</v>
      </c>
      <c r="C17" s="12" t="s">
        <v>36</v>
      </c>
      <c r="D17" s="13"/>
    </row>
    <row r="18" customFormat="false" ht="15" hidden="false" customHeight="true" outlineLevel="0" collapsed="false">
      <c r="A18" s="10" t="s">
        <v>24</v>
      </c>
      <c r="B18" s="11" t="n">
        <f aca="false">MEDIAN('Ikeja Data'!D5:D31,'Ikeja Data'!D33:D34)</f>
        <v>94</v>
      </c>
      <c r="C18" s="12" t="s">
        <v>37</v>
      </c>
      <c r="D18" s="13"/>
    </row>
    <row r="19" customFormat="false" ht="15" hidden="false" customHeight="true" outlineLevel="0" collapsed="false">
      <c r="A19" s="10" t="s">
        <v>30</v>
      </c>
      <c r="B19" s="11" t="n">
        <f aca="false">MAX('Ikeja Data'!D5:D31,'Ikeja Data'!D33:D34)-MIN('Ikeja Data'!D5:D31,'Ikeja Data'!D33:D34)</f>
        <v>74</v>
      </c>
      <c r="C19" s="12" t="s">
        <v>38</v>
      </c>
      <c r="D19" s="13"/>
    </row>
    <row r="20" customFormat="false" ht="15" hidden="false" customHeight="true" outlineLevel="0" collapsed="false">
      <c r="A20" s="10" t="s">
        <v>32</v>
      </c>
      <c r="B20" s="11" t="n">
        <f aca="false">_xlfn.STDEV.S('Ikeja Data'!D5:D31,'Ikeja Data'!D33:D34)</f>
        <v>21.4174437445678</v>
      </c>
      <c r="C20" s="12" t="s">
        <v>39</v>
      </c>
      <c r="D20" s="13"/>
    </row>
    <row r="23" customFormat="false" ht="21.75" hidden="false" customHeight="true" outlineLevel="0" collapsed="false">
      <c r="A23" s="8" t="s">
        <v>40</v>
      </c>
      <c r="B23" s="8"/>
      <c r="C23" s="8"/>
      <c r="D23" s="8"/>
    </row>
    <row r="24" customFormat="false" ht="19.5" hidden="false" customHeight="true" outlineLevel="0" collapsed="false">
      <c r="A24" s="9" t="s">
        <v>19</v>
      </c>
      <c r="B24" s="9"/>
      <c r="C24" s="9"/>
      <c r="D24" s="9"/>
    </row>
    <row r="25" customFormat="false" ht="15" hidden="false" customHeight="true" outlineLevel="0" collapsed="false">
      <c r="A25" s="10" t="s">
        <v>20</v>
      </c>
      <c r="B25" s="11" t="n">
        <f aca="false">COUNT('Yaba Data'!D5:D34)</f>
        <v>30</v>
      </c>
      <c r="C25" s="12" t="s">
        <v>21</v>
      </c>
      <c r="D25" s="13"/>
    </row>
    <row r="26" customFormat="false" ht="15" hidden="false" customHeight="true" outlineLevel="0" collapsed="false">
      <c r="A26" s="10" t="s">
        <v>22</v>
      </c>
      <c r="B26" s="11" t="n">
        <f aca="false">AVERAGE('Yaba Data'!D5:D34)</f>
        <v>110.5</v>
      </c>
      <c r="C26" s="12" t="s">
        <v>41</v>
      </c>
      <c r="D26" s="13"/>
    </row>
    <row r="27" customFormat="false" ht="15" hidden="false" customHeight="true" outlineLevel="0" collapsed="false">
      <c r="A27" s="10" t="s">
        <v>24</v>
      </c>
      <c r="B27" s="11" t="n">
        <f aca="false">MEDIAN('Yaba Data'!D5:D34)</f>
        <v>111.5</v>
      </c>
      <c r="C27" s="12" t="s">
        <v>42</v>
      </c>
      <c r="D27" s="13"/>
    </row>
    <row r="28" customFormat="false" ht="15" hidden="false" customHeight="true" outlineLevel="0" collapsed="false">
      <c r="A28" s="10" t="s">
        <v>26</v>
      </c>
      <c r="B28" s="11" t="n">
        <f aca="false">_xlfn.MODE.SNGL('Yaba Data'!D5:D34)</f>
        <v>86</v>
      </c>
      <c r="C28" s="12" t="s">
        <v>43</v>
      </c>
      <c r="D28" s="13"/>
    </row>
    <row r="29" customFormat="false" ht="15" hidden="false" customHeight="true" outlineLevel="0" collapsed="false">
      <c r="A29" s="10" t="s">
        <v>28</v>
      </c>
      <c r="B29" s="11" t="n">
        <f aca="false">MIN('Yaba Data'!D5:D34)</f>
        <v>86</v>
      </c>
      <c r="C29" s="12"/>
      <c r="D29" s="13"/>
    </row>
    <row r="30" customFormat="false" ht="15" hidden="false" customHeight="true" outlineLevel="0" collapsed="false">
      <c r="A30" s="10" t="s">
        <v>29</v>
      </c>
      <c r="B30" s="11" t="n">
        <f aca="false">MAX('Yaba Data'!D5:D34)</f>
        <v>140</v>
      </c>
      <c r="C30" s="12"/>
      <c r="D30" s="13"/>
    </row>
    <row r="31" customFormat="false" ht="15" hidden="false" customHeight="true" outlineLevel="0" collapsed="false">
      <c r="A31" s="10" t="s">
        <v>30</v>
      </c>
      <c r="B31" s="11" t="n">
        <f aca="false">MAX('Yaba Data'!D5:D34)-MIN('Yaba Data'!D5:D34)</f>
        <v>54</v>
      </c>
      <c r="C31" s="12" t="s">
        <v>44</v>
      </c>
      <c r="D31" s="13"/>
    </row>
    <row r="32" customFormat="false" ht="15" hidden="false" customHeight="true" outlineLevel="0" collapsed="false">
      <c r="A32" s="10" t="s">
        <v>32</v>
      </c>
      <c r="B32" s="11" t="n">
        <f aca="false">_xlfn.STDEV.S('Yaba Data'!D5:D34)</f>
        <v>17.7836616221085</v>
      </c>
      <c r="C32" s="12" t="s">
        <v>45</v>
      </c>
      <c r="D32" s="13"/>
    </row>
    <row r="35" customFormat="false" ht="21.75" hidden="false" customHeight="true" outlineLevel="0" collapsed="false">
      <c r="A35" s="8" t="s">
        <v>46</v>
      </c>
      <c r="B35" s="8"/>
      <c r="C35" s="8"/>
      <c r="D35" s="8"/>
    </row>
    <row r="36" customFormat="false" ht="19.5" hidden="false" customHeight="true" outlineLevel="0" collapsed="false">
      <c r="A36" s="9" t="s">
        <v>19</v>
      </c>
      <c r="B36" s="9"/>
      <c r="C36" s="9"/>
      <c r="D36" s="9"/>
    </row>
    <row r="37" customFormat="false" ht="15" hidden="false" customHeight="true" outlineLevel="0" collapsed="false">
      <c r="A37" s="10" t="s">
        <v>20</v>
      </c>
      <c r="B37" s="11" t="n">
        <f aca="false">COUNT('Lekki Data'!D5:D34)</f>
        <v>30</v>
      </c>
      <c r="C37" s="12" t="s">
        <v>21</v>
      </c>
      <c r="D37" s="13"/>
    </row>
    <row r="38" customFormat="false" ht="15" hidden="false" customHeight="true" outlineLevel="0" collapsed="false">
      <c r="A38" s="10" t="s">
        <v>22</v>
      </c>
      <c r="B38" s="11" t="n">
        <f aca="false">AVERAGE('Lekki Data'!D5:D34)</f>
        <v>116.9</v>
      </c>
      <c r="C38" s="12" t="s">
        <v>47</v>
      </c>
      <c r="D38" s="13"/>
    </row>
    <row r="39" customFormat="false" ht="15" hidden="false" customHeight="true" outlineLevel="0" collapsed="false">
      <c r="A39" s="10" t="s">
        <v>24</v>
      </c>
      <c r="B39" s="11" t="n">
        <f aca="false">MEDIAN('Lekki Data'!D5:D34)</f>
        <v>112.5</v>
      </c>
      <c r="C39" s="12" t="s">
        <v>48</v>
      </c>
      <c r="D39" s="13"/>
    </row>
    <row r="40" customFormat="false" ht="15" hidden="false" customHeight="true" outlineLevel="0" collapsed="false">
      <c r="A40" s="10" t="s">
        <v>26</v>
      </c>
      <c r="B40" s="11" t="n">
        <f aca="false">_xlfn.MODE.SNGL('Lekki Data'!D5:D34)</f>
        <v>102</v>
      </c>
      <c r="C40" s="12" t="s">
        <v>49</v>
      </c>
      <c r="D40" s="13"/>
    </row>
    <row r="41" customFormat="false" ht="15" hidden="false" customHeight="true" outlineLevel="0" collapsed="false">
      <c r="A41" s="10" t="s">
        <v>28</v>
      </c>
      <c r="B41" s="11" t="n">
        <f aca="false">MIN('Lekki Data'!D5:D34)</f>
        <v>28</v>
      </c>
      <c r="C41" s="12"/>
      <c r="D41" s="13"/>
    </row>
    <row r="42" customFormat="false" ht="15" hidden="false" customHeight="true" outlineLevel="0" collapsed="false">
      <c r="A42" s="10" t="s">
        <v>29</v>
      </c>
      <c r="B42" s="11" t="n">
        <f aca="false">MAX('Lekki Data'!D5:D34)</f>
        <v>151</v>
      </c>
      <c r="C42" s="12"/>
      <c r="D42" s="13"/>
    </row>
    <row r="43" customFormat="false" ht="15" hidden="false" customHeight="true" outlineLevel="0" collapsed="false">
      <c r="A43" s="10" t="s">
        <v>30</v>
      </c>
      <c r="B43" s="11" t="n">
        <f aca="false">MAX('Lekki Data'!D5:D34)-MIN('Lekki Data'!D5:D34)</f>
        <v>123</v>
      </c>
      <c r="C43" s="12" t="s">
        <v>50</v>
      </c>
      <c r="D43" s="13"/>
    </row>
    <row r="44" customFormat="false" ht="15" hidden="false" customHeight="true" outlineLevel="0" collapsed="false">
      <c r="A44" s="10" t="s">
        <v>32</v>
      </c>
      <c r="B44" s="11" t="n">
        <f aca="false">_xlfn.STDEV.S('Lekki Data'!D5:D34)</f>
        <v>25.763312594891</v>
      </c>
      <c r="C44" s="12" t="s">
        <v>51</v>
      </c>
      <c r="D44" s="13"/>
    </row>
    <row r="46" customFormat="false" ht="19.5" hidden="false" customHeight="true" outlineLevel="0" collapsed="false">
      <c r="A46" s="9" t="s">
        <v>52</v>
      </c>
      <c r="B46" s="9"/>
      <c r="C46" s="9"/>
      <c r="D46" s="9"/>
    </row>
    <row r="47" customFormat="false" ht="15" hidden="false" customHeight="true" outlineLevel="0" collapsed="false">
      <c r="A47" s="10" t="s">
        <v>20</v>
      </c>
      <c r="B47" s="11" t="n">
        <f aca="false">COUNT('Lekki Data'!D5:D17,'Lekki Data'!D19:D34)</f>
        <v>29</v>
      </c>
      <c r="C47" s="12" t="s">
        <v>35</v>
      </c>
      <c r="D47" s="13"/>
    </row>
    <row r="48" customFormat="false" ht="15" hidden="false" customHeight="true" outlineLevel="0" collapsed="false">
      <c r="A48" s="10" t="s">
        <v>22</v>
      </c>
      <c r="B48" s="11" t="n">
        <f aca="false">AVERAGE('Lekki Data'!D5:D17,'Lekki Data'!D19:D34)</f>
        <v>119.965517241379</v>
      </c>
      <c r="C48" s="12" t="s">
        <v>53</v>
      </c>
      <c r="D48" s="13"/>
    </row>
    <row r="49" customFormat="false" ht="15" hidden="false" customHeight="true" outlineLevel="0" collapsed="false">
      <c r="A49" s="10" t="s">
        <v>24</v>
      </c>
      <c r="B49" s="11" t="n">
        <f aca="false">MEDIAN('Lekki Data'!D5:D17,'Lekki Data'!D19:D34)</f>
        <v>115</v>
      </c>
      <c r="C49" s="12" t="s">
        <v>54</v>
      </c>
      <c r="D49" s="13"/>
    </row>
    <row r="50" customFormat="false" ht="15" hidden="false" customHeight="true" outlineLevel="0" collapsed="false">
      <c r="A50" s="10" t="s">
        <v>30</v>
      </c>
      <c r="B50" s="11" t="n">
        <f aca="false">MAX('Lekki Data'!D5:D17,'Lekki Data'!D19:D34)-MIN('Lekki Data'!D5:D17,'Lekki Data'!D19:D34)</f>
        <v>57</v>
      </c>
      <c r="C50" s="12" t="s">
        <v>55</v>
      </c>
      <c r="D50" s="13"/>
    </row>
    <row r="51" customFormat="false" ht="15" hidden="false" customHeight="true" outlineLevel="0" collapsed="false">
      <c r="A51" s="10" t="s">
        <v>32</v>
      </c>
      <c r="B51" s="11" t="n">
        <f aca="false">_xlfn.STDEV.S('Lekki Data'!D5:D17,'Lekki Data'!D19:D34)</f>
        <v>19.88625289458</v>
      </c>
      <c r="C51" s="12" t="s">
        <v>56</v>
      </c>
      <c r="D51" s="13"/>
    </row>
    <row r="54" customFormat="false" ht="21.75" hidden="false" customHeight="true" outlineLevel="0" collapsed="false">
      <c r="A54" s="8" t="s">
        <v>57</v>
      </c>
      <c r="B54" s="8"/>
      <c r="C54" s="8"/>
      <c r="D54" s="8"/>
    </row>
    <row r="55" customFormat="false" ht="19.5" hidden="false" customHeight="true" outlineLevel="0" collapsed="false">
      <c r="A55" s="9" t="s">
        <v>19</v>
      </c>
      <c r="B55" s="9"/>
      <c r="C55" s="9"/>
      <c r="D55" s="9"/>
    </row>
    <row r="56" customFormat="false" ht="15" hidden="false" customHeight="true" outlineLevel="0" collapsed="false">
      <c r="A56" s="10" t="s">
        <v>20</v>
      </c>
      <c r="B56" s="11" t="n">
        <f aca="false">COUNT('Surulere Data'!D5:D34)</f>
        <v>30</v>
      </c>
      <c r="C56" s="12" t="s">
        <v>21</v>
      </c>
      <c r="D56" s="13"/>
    </row>
    <row r="57" customFormat="false" ht="15" hidden="false" customHeight="true" outlineLevel="0" collapsed="false">
      <c r="A57" s="10" t="s">
        <v>22</v>
      </c>
      <c r="B57" s="11" t="n">
        <f aca="false">AVERAGE('Surulere Data'!D5:D34)</f>
        <v>97.3</v>
      </c>
      <c r="C57" s="12" t="s">
        <v>58</v>
      </c>
      <c r="D57" s="13"/>
    </row>
    <row r="58" customFormat="false" ht="15" hidden="false" customHeight="true" outlineLevel="0" collapsed="false">
      <c r="A58" s="10" t="s">
        <v>24</v>
      </c>
      <c r="B58" s="11" t="n">
        <f aca="false">MEDIAN('Surulere Data'!D5:D34)</f>
        <v>99.5</v>
      </c>
      <c r="C58" s="12" t="s">
        <v>59</v>
      </c>
      <c r="D58" s="13"/>
    </row>
    <row r="59" customFormat="false" ht="15" hidden="false" customHeight="true" outlineLevel="0" collapsed="false">
      <c r="A59" s="10" t="s">
        <v>26</v>
      </c>
      <c r="B59" s="11" t="n">
        <f aca="false">_xlfn.MODE.SNGL('Surulere Data'!D5:D34)</f>
        <v>76</v>
      </c>
      <c r="C59" s="12" t="s">
        <v>60</v>
      </c>
      <c r="D59" s="13"/>
    </row>
    <row r="60" customFormat="false" ht="15" hidden="false" customHeight="true" outlineLevel="0" collapsed="false">
      <c r="A60" s="10" t="s">
        <v>28</v>
      </c>
      <c r="B60" s="11" t="n">
        <f aca="false">MIN('Surulere Data'!D5:D34)</f>
        <v>15</v>
      </c>
      <c r="C60" s="12"/>
      <c r="D60" s="13"/>
    </row>
    <row r="61" customFormat="false" ht="15" hidden="false" customHeight="true" outlineLevel="0" collapsed="false">
      <c r="A61" s="10" t="s">
        <v>29</v>
      </c>
      <c r="B61" s="11" t="n">
        <f aca="false">MAX('Surulere Data'!D5:D34)</f>
        <v>134</v>
      </c>
      <c r="C61" s="12"/>
      <c r="D61" s="13"/>
    </row>
    <row r="62" customFormat="false" ht="15" hidden="false" customHeight="true" outlineLevel="0" collapsed="false">
      <c r="A62" s="10" t="s">
        <v>30</v>
      </c>
      <c r="B62" s="11" t="n">
        <f aca="false">MAX('Surulere Data'!D5:D34)-MIN('Surulere Data'!D5:D34)</f>
        <v>119</v>
      </c>
      <c r="C62" s="12" t="s">
        <v>61</v>
      </c>
      <c r="D62" s="13"/>
    </row>
    <row r="63" customFormat="false" ht="15" hidden="false" customHeight="true" outlineLevel="0" collapsed="false">
      <c r="A63" s="10" t="s">
        <v>32</v>
      </c>
      <c r="B63" s="11" t="n">
        <f aca="false">_xlfn.STDEV.S('Surulere Data'!D5:D34)</f>
        <v>23.9915933552596</v>
      </c>
      <c r="C63" s="12" t="s">
        <v>62</v>
      </c>
      <c r="D63" s="13"/>
    </row>
    <row r="65" customFormat="false" ht="19.5" hidden="false" customHeight="true" outlineLevel="0" collapsed="false">
      <c r="A65" s="9" t="s">
        <v>63</v>
      </c>
      <c r="B65" s="9"/>
      <c r="C65" s="9"/>
      <c r="D65" s="9"/>
    </row>
    <row r="66" customFormat="false" ht="15" hidden="false" customHeight="true" outlineLevel="0" collapsed="false">
      <c r="A66" s="10" t="s">
        <v>20</v>
      </c>
      <c r="B66" s="11" t="n">
        <f aca="false">COUNT('Surulere Data'!D5:D23,'Surulere Data'!D25:D34)</f>
        <v>29</v>
      </c>
      <c r="C66" s="12" t="s">
        <v>35</v>
      </c>
      <c r="D66" s="13"/>
    </row>
    <row r="67" customFormat="false" ht="15" hidden="false" customHeight="true" outlineLevel="0" collapsed="false">
      <c r="A67" s="10" t="s">
        <v>22</v>
      </c>
      <c r="B67" s="11" t="n">
        <f aca="false">AVERAGE('Surulere Data'!D5:D23,'Surulere Data'!D25:D34)</f>
        <v>100.137931034483</v>
      </c>
      <c r="C67" s="12" t="s">
        <v>64</v>
      </c>
      <c r="D67" s="13"/>
    </row>
    <row r="68" customFormat="false" ht="15" hidden="false" customHeight="true" outlineLevel="0" collapsed="false">
      <c r="A68" s="10" t="s">
        <v>24</v>
      </c>
      <c r="B68" s="11" t="n">
        <f aca="false">MEDIAN('Surulere Data'!D5:D23,'Surulere Data'!D25:D34)</f>
        <v>100</v>
      </c>
      <c r="C68" s="12" t="s">
        <v>65</v>
      </c>
      <c r="D68" s="13"/>
    </row>
    <row r="69" customFormat="false" ht="15" hidden="false" customHeight="true" outlineLevel="0" collapsed="false">
      <c r="A69" s="10" t="s">
        <v>30</v>
      </c>
      <c r="B69" s="11" t="n">
        <f aca="false">MAX('Surulere Data'!D5:D23,'Surulere Data'!D25:D34)-MIN('Surulere Data'!D5:D23,'Surulere Data'!D25:D34)</f>
        <v>62</v>
      </c>
      <c r="C69" s="12" t="s">
        <v>66</v>
      </c>
      <c r="D69" s="13"/>
    </row>
    <row r="70" customFormat="false" ht="15" hidden="false" customHeight="true" outlineLevel="0" collapsed="false">
      <c r="A70" s="10" t="s">
        <v>32</v>
      </c>
      <c r="B70" s="11" t="n">
        <f aca="false">_xlfn.STDEV.S('Surulere Data'!D5:D23,'Surulere Data'!D25:D34)</f>
        <v>18.5986254060636</v>
      </c>
      <c r="C70" s="12" t="s">
        <v>67</v>
      </c>
      <c r="D70" s="13"/>
    </row>
    <row r="73" customFormat="false" ht="19.5" hidden="false" customHeight="true" outlineLevel="0" collapsed="false">
      <c r="A73" s="9" t="s">
        <v>68</v>
      </c>
      <c r="B73" s="9"/>
      <c r="C73" s="9"/>
      <c r="D73" s="9"/>
    </row>
    <row r="74" customFormat="false" ht="99.75" hidden="false" customHeight="true" outlineLevel="0" collapsed="false">
      <c r="A74" s="14" t="s">
        <v>69</v>
      </c>
      <c r="B74" s="14"/>
      <c r="C74" s="14"/>
      <c r="D74" s="14"/>
    </row>
    <row r="75" customFormat="false" ht="15" hidden="false" customHeight="true" outlineLevel="0" collapsed="false">
      <c r="A75" s="14"/>
      <c r="B75" s="14"/>
      <c r="C75" s="14"/>
      <c r="D75" s="14"/>
    </row>
    <row r="76" customFormat="false" ht="15" hidden="false" customHeight="true" outlineLevel="0" collapsed="false">
      <c r="A76" s="14"/>
      <c r="B76" s="14"/>
      <c r="C76" s="14"/>
      <c r="D76" s="14"/>
    </row>
    <row r="77" customFormat="false" ht="15" hidden="false" customHeight="true" outlineLevel="0" collapsed="false">
      <c r="A77" s="14"/>
      <c r="B77" s="14"/>
      <c r="C77" s="14"/>
      <c r="D77" s="14"/>
    </row>
    <row r="78" customFormat="false" ht="15" hidden="false" customHeight="true" outlineLevel="0" collapsed="false">
      <c r="A78" s="14"/>
      <c r="B78" s="14"/>
      <c r="C78" s="14"/>
      <c r="D78" s="14"/>
    </row>
    <row r="79" customFormat="false" ht="15" hidden="false" customHeight="true" outlineLevel="0" collapsed="false">
      <c r="A79" s="14"/>
      <c r="B79" s="14"/>
      <c r="C79" s="14"/>
      <c r="D79" s="14"/>
    </row>
  </sheetData>
  <mergeCells count="15">
    <mergeCell ref="A1:D1"/>
    <mergeCell ref="A2:D2"/>
    <mergeCell ref="A4:D4"/>
    <mergeCell ref="A5:D5"/>
    <mergeCell ref="A15:D15"/>
    <mergeCell ref="A23:D23"/>
    <mergeCell ref="A24:D24"/>
    <mergeCell ref="A35:D35"/>
    <mergeCell ref="A36:D36"/>
    <mergeCell ref="A46:D46"/>
    <mergeCell ref="A54:D54"/>
    <mergeCell ref="A55:D55"/>
    <mergeCell ref="A65:D65"/>
    <mergeCell ref="A73:D73"/>
    <mergeCell ref="A74:D7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5" width="14"/>
    <col collapsed="false" customWidth="true" hidden="false" outlineLevel="0" max="3" min="3" style="5" width="10"/>
    <col collapsed="false" customWidth="true" hidden="false" outlineLevel="0" max="5" min="4" style="5" width="18"/>
    <col collapsed="false" customWidth="true" hidden="false" outlineLevel="0" max="6" min="6" style="5" width="20"/>
  </cols>
  <sheetData>
    <row r="1" customFormat="false" ht="24" hidden="false" customHeight="true" outlineLevel="0" collapsed="false">
      <c r="A1" s="15" t="s">
        <v>70</v>
      </c>
      <c r="B1" s="15"/>
      <c r="C1" s="15"/>
      <c r="D1" s="15"/>
      <c r="E1" s="15"/>
      <c r="F1" s="15"/>
    </row>
    <row r="2" customFormat="false" ht="15" hidden="false" customHeight="true" outlineLevel="0" collapsed="false">
      <c r="A2" s="7" t="s">
        <v>71</v>
      </c>
      <c r="B2" s="7"/>
      <c r="C2" s="7"/>
      <c r="D2" s="7"/>
      <c r="E2" s="7"/>
      <c r="F2" s="7"/>
    </row>
    <row r="4" customFormat="false" ht="30" hidden="false" customHeight="true" outlineLevel="0" collapsed="false">
      <c r="A4" s="16" t="s">
        <v>72</v>
      </c>
      <c r="B4" s="16" t="s">
        <v>73</v>
      </c>
      <c r="C4" s="16" t="s">
        <v>74</v>
      </c>
      <c r="D4" s="16" t="s">
        <v>75</v>
      </c>
      <c r="E4" s="16" t="s">
        <v>76</v>
      </c>
      <c r="F4" s="16" t="s">
        <v>77</v>
      </c>
    </row>
    <row r="5" customFormat="false" ht="15" hidden="false" customHeight="true" outlineLevel="0" collapsed="false">
      <c r="A5" s="17" t="s">
        <v>78</v>
      </c>
      <c r="B5" s="18" t="s">
        <v>79</v>
      </c>
      <c r="C5" s="18" t="s">
        <v>80</v>
      </c>
      <c r="D5" s="18" t="n">
        <v>122</v>
      </c>
      <c r="E5" s="19" t="n">
        <v>321104</v>
      </c>
      <c r="F5" s="19" t="n">
        <v>15000</v>
      </c>
    </row>
    <row r="6" customFormat="false" ht="15" hidden="false" customHeight="true" outlineLevel="0" collapsed="false">
      <c r="A6" s="20" t="s">
        <v>81</v>
      </c>
      <c r="B6" s="21" t="s">
        <v>82</v>
      </c>
      <c r="C6" s="21" t="s">
        <v>80</v>
      </c>
      <c r="D6" s="21" t="n">
        <v>116</v>
      </c>
      <c r="E6" s="22" t="n">
        <v>295568</v>
      </c>
      <c r="F6" s="22" t="n">
        <v>15000</v>
      </c>
    </row>
    <row r="7" customFormat="false" ht="15" hidden="false" customHeight="true" outlineLevel="0" collapsed="false">
      <c r="A7" s="17" t="s">
        <v>83</v>
      </c>
      <c r="B7" s="18" t="s">
        <v>84</v>
      </c>
      <c r="C7" s="18" t="s">
        <v>80</v>
      </c>
      <c r="D7" s="18" t="n">
        <v>98</v>
      </c>
      <c r="E7" s="19" t="n">
        <v>243432</v>
      </c>
      <c r="F7" s="19" t="n">
        <v>15000</v>
      </c>
    </row>
    <row r="8" customFormat="false" ht="15" hidden="false" customHeight="true" outlineLevel="0" collapsed="false">
      <c r="A8" s="20" t="s">
        <v>85</v>
      </c>
      <c r="B8" s="21" t="s">
        <v>86</v>
      </c>
      <c r="C8" s="21" t="s">
        <v>80</v>
      </c>
      <c r="D8" s="21" t="n">
        <v>83</v>
      </c>
      <c r="E8" s="22" t="n">
        <v>195797</v>
      </c>
      <c r="F8" s="22" t="n">
        <v>15000</v>
      </c>
    </row>
    <row r="9" customFormat="false" ht="15" hidden="false" customHeight="true" outlineLevel="0" collapsed="false">
      <c r="A9" s="17" t="s">
        <v>87</v>
      </c>
      <c r="B9" s="18" t="s">
        <v>88</v>
      </c>
      <c r="C9" s="18" t="s">
        <v>80</v>
      </c>
      <c r="D9" s="18" t="n">
        <v>82</v>
      </c>
      <c r="E9" s="19" t="n">
        <v>198440</v>
      </c>
      <c r="F9" s="19" t="n">
        <v>15000</v>
      </c>
    </row>
    <row r="10" customFormat="false" ht="15" hidden="false" customHeight="true" outlineLevel="0" collapsed="false">
      <c r="A10" s="20" t="s">
        <v>89</v>
      </c>
      <c r="B10" s="21" t="s">
        <v>90</v>
      </c>
      <c r="C10" s="21" t="s">
        <v>80</v>
      </c>
      <c r="D10" s="21" t="n">
        <v>82</v>
      </c>
      <c r="E10" s="22" t="n">
        <v>208608</v>
      </c>
      <c r="F10" s="22" t="n">
        <v>15000</v>
      </c>
    </row>
    <row r="11" customFormat="false" ht="15" hidden="false" customHeight="true" outlineLevel="0" collapsed="false">
      <c r="A11" s="17" t="s">
        <v>91</v>
      </c>
      <c r="B11" s="18" t="s">
        <v>92</v>
      </c>
      <c r="C11" s="18" t="s">
        <v>80</v>
      </c>
      <c r="D11" s="18" t="n">
        <v>104</v>
      </c>
      <c r="E11" s="19" t="n">
        <v>239616</v>
      </c>
      <c r="F11" s="19" t="n">
        <v>15000</v>
      </c>
    </row>
    <row r="12" customFormat="false" ht="15" hidden="false" customHeight="true" outlineLevel="0" collapsed="false">
      <c r="A12" s="20" t="s">
        <v>93</v>
      </c>
      <c r="B12" s="21" t="s">
        <v>79</v>
      </c>
      <c r="C12" s="21" t="s">
        <v>80</v>
      </c>
      <c r="D12" s="21" t="n">
        <v>121</v>
      </c>
      <c r="E12" s="22" t="n">
        <v>277574</v>
      </c>
      <c r="F12" s="22" t="n">
        <v>15000</v>
      </c>
    </row>
    <row r="13" customFormat="false" ht="15" hidden="false" customHeight="true" outlineLevel="0" collapsed="false">
      <c r="A13" s="17" t="s">
        <v>94</v>
      </c>
      <c r="B13" s="18" t="s">
        <v>82</v>
      </c>
      <c r="C13" s="18" t="s">
        <v>80</v>
      </c>
      <c r="D13" s="18" t="n">
        <v>149</v>
      </c>
      <c r="E13" s="19" t="n">
        <v>385761</v>
      </c>
      <c r="F13" s="19" t="n">
        <v>15000</v>
      </c>
    </row>
    <row r="14" customFormat="false" ht="15" hidden="false" customHeight="true" outlineLevel="0" collapsed="false">
      <c r="A14" s="20" t="s">
        <v>95</v>
      </c>
      <c r="B14" s="21" t="s">
        <v>84</v>
      </c>
      <c r="C14" s="21" t="s">
        <v>80</v>
      </c>
      <c r="D14" s="21" t="n">
        <v>77</v>
      </c>
      <c r="E14" s="22" t="n">
        <v>177023</v>
      </c>
      <c r="F14" s="22" t="n">
        <v>15000</v>
      </c>
    </row>
    <row r="15" customFormat="false" ht="15" hidden="false" customHeight="true" outlineLevel="0" collapsed="false">
      <c r="A15" s="17" t="s">
        <v>96</v>
      </c>
      <c r="B15" s="18" t="s">
        <v>86</v>
      </c>
      <c r="C15" s="18" t="s">
        <v>80</v>
      </c>
      <c r="D15" s="18" t="n">
        <v>93</v>
      </c>
      <c r="E15" s="19" t="n">
        <v>238731</v>
      </c>
      <c r="F15" s="19" t="n">
        <v>15000</v>
      </c>
    </row>
    <row r="16" customFormat="false" ht="15" hidden="false" customHeight="true" outlineLevel="0" collapsed="false">
      <c r="A16" s="20" t="s">
        <v>97</v>
      </c>
      <c r="B16" s="21" t="s">
        <v>88</v>
      </c>
      <c r="C16" s="21" t="s">
        <v>80</v>
      </c>
      <c r="D16" s="21" t="n">
        <v>88</v>
      </c>
      <c r="E16" s="22" t="n">
        <v>224576</v>
      </c>
      <c r="F16" s="22" t="n">
        <v>15000</v>
      </c>
    </row>
    <row r="17" customFormat="false" ht="15" hidden="false" customHeight="true" outlineLevel="0" collapsed="false">
      <c r="A17" s="17" t="s">
        <v>98</v>
      </c>
      <c r="B17" s="18" t="s">
        <v>90</v>
      </c>
      <c r="C17" s="18" t="s">
        <v>80</v>
      </c>
      <c r="D17" s="18" t="n">
        <v>76</v>
      </c>
      <c r="E17" s="19" t="n">
        <v>214168</v>
      </c>
      <c r="F17" s="19" t="n">
        <v>15000</v>
      </c>
    </row>
    <row r="18" customFormat="false" ht="15" hidden="false" customHeight="true" outlineLevel="0" collapsed="false">
      <c r="A18" s="20" t="s">
        <v>99</v>
      </c>
      <c r="B18" s="21" t="s">
        <v>92</v>
      </c>
      <c r="C18" s="21" t="s">
        <v>80</v>
      </c>
      <c r="D18" s="21" t="n">
        <v>100</v>
      </c>
      <c r="E18" s="22" t="n">
        <v>247000</v>
      </c>
      <c r="F18" s="22" t="n">
        <v>15000</v>
      </c>
    </row>
    <row r="19" customFormat="false" ht="15" hidden="false" customHeight="true" outlineLevel="0" collapsed="false">
      <c r="A19" s="17" t="s">
        <v>100</v>
      </c>
      <c r="B19" s="18" t="s">
        <v>79</v>
      </c>
      <c r="C19" s="18" t="s">
        <v>80</v>
      </c>
      <c r="D19" s="18" t="n">
        <v>120</v>
      </c>
      <c r="E19" s="19" t="n">
        <v>269280</v>
      </c>
      <c r="F19" s="19" t="n">
        <v>15000</v>
      </c>
    </row>
    <row r="20" customFormat="false" ht="15" hidden="false" customHeight="true" outlineLevel="0" collapsed="false">
      <c r="A20" s="20" t="s">
        <v>101</v>
      </c>
      <c r="B20" s="21" t="s">
        <v>82</v>
      </c>
      <c r="C20" s="21" t="s">
        <v>80</v>
      </c>
      <c r="D20" s="21" t="n">
        <v>128</v>
      </c>
      <c r="E20" s="22" t="n">
        <v>341760</v>
      </c>
      <c r="F20" s="22" t="n">
        <v>15000</v>
      </c>
    </row>
    <row r="21" customFormat="false" ht="15" hidden="false" customHeight="true" outlineLevel="0" collapsed="false">
      <c r="A21" s="17" t="s">
        <v>102</v>
      </c>
      <c r="B21" s="18" t="s">
        <v>84</v>
      </c>
      <c r="C21" s="18" t="s">
        <v>80</v>
      </c>
      <c r="D21" s="18" t="n">
        <v>82</v>
      </c>
      <c r="E21" s="19" t="n">
        <v>225418</v>
      </c>
      <c r="F21" s="19" t="n">
        <v>15000</v>
      </c>
    </row>
    <row r="22" customFormat="false" ht="15" hidden="false" customHeight="true" outlineLevel="0" collapsed="false">
      <c r="A22" s="20" t="s">
        <v>103</v>
      </c>
      <c r="B22" s="21" t="s">
        <v>86</v>
      </c>
      <c r="C22" s="21" t="s">
        <v>80</v>
      </c>
      <c r="D22" s="21" t="n">
        <v>91</v>
      </c>
      <c r="E22" s="22" t="n">
        <v>211757</v>
      </c>
      <c r="F22" s="22" t="n">
        <v>15000</v>
      </c>
    </row>
    <row r="23" customFormat="false" ht="15" hidden="false" customHeight="true" outlineLevel="0" collapsed="false">
      <c r="A23" s="17" t="s">
        <v>104</v>
      </c>
      <c r="B23" s="18" t="s">
        <v>88</v>
      </c>
      <c r="C23" s="18" t="s">
        <v>80</v>
      </c>
      <c r="D23" s="18" t="n">
        <v>94</v>
      </c>
      <c r="E23" s="19" t="n">
        <v>243178</v>
      </c>
      <c r="F23" s="19" t="n">
        <v>15000</v>
      </c>
    </row>
    <row r="24" customFormat="false" ht="15" hidden="false" customHeight="true" outlineLevel="0" collapsed="false">
      <c r="A24" s="20" t="s">
        <v>105</v>
      </c>
      <c r="B24" s="21" t="s">
        <v>90</v>
      </c>
      <c r="C24" s="21" t="s">
        <v>80</v>
      </c>
      <c r="D24" s="21" t="n">
        <v>75</v>
      </c>
      <c r="E24" s="22" t="n">
        <v>171000</v>
      </c>
      <c r="F24" s="22" t="n">
        <v>15000</v>
      </c>
    </row>
    <row r="25" customFormat="false" ht="15" hidden="false" customHeight="true" outlineLevel="0" collapsed="false">
      <c r="A25" s="17" t="s">
        <v>106</v>
      </c>
      <c r="B25" s="18" t="s">
        <v>92</v>
      </c>
      <c r="C25" s="18" t="s">
        <v>80</v>
      </c>
      <c r="D25" s="18" t="n">
        <v>117</v>
      </c>
      <c r="E25" s="19" t="n">
        <v>323505</v>
      </c>
      <c r="F25" s="19" t="n">
        <v>15000</v>
      </c>
    </row>
    <row r="26" customFormat="false" ht="15" hidden="false" customHeight="true" outlineLevel="0" collapsed="false">
      <c r="A26" s="20" t="s">
        <v>107</v>
      </c>
      <c r="B26" s="21" t="s">
        <v>79</v>
      </c>
      <c r="C26" s="21" t="s">
        <v>80</v>
      </c>
      <c r="D26" s="21" t="n">
        <v>127</v>
      </c>
      <c r="E26" s="22" t="n">
        <v>317500</v>
      </c>
      <c r="F26" s="22" t="n">
        <v>15000</v>
      </c>
    </row>
    <row r="27" customFormat="false" ht="15" hidden="false" customHeight="true" outlineLevel="0" collapsed="false">
      <c r="A27" s="17" t="s">
        <v>108</v>
      </c>
      <c r="B27" s="18" t="s">
        <v>82</v>
      </c>
      <c r="C27" s="18" t="s">
        <v>80</v>
      </c>
      <c r="D27" s="18" t="n">
        <v>149</v>
      </c>
      <c r="E27" s="19" t="n">
        <v>423607</v>
      </c>
      <c r="F27" s="19" t="n">
        <v>15000</v>
      </c>
    </row>
    <row r="28" customFormat="false" ht="15" hidden="false" customHeight="true" outlineLevel="0" collapsed="false">
      <c r="A28" s="20" t="s">
        <v>109</v>
      </c>
      <c r="B28" s="21" t="s">
        <v>84</v>
      </c>
      <c r="C28" s="21" t="s">
        <v>80</v>
      </c>
      <c r="D28" s="21" t="n">
        <v>88</v>
      </c>
      <c r="E28" s="22" t="n">
        <v>249304</v>
      </c>
      <c r="F28" s="22" t="n">
        <v>15000</v>
      </c>
    </row>
    <row r="29" customFormat="false" ht="15" hidden="false" customHeight="true" outlineLevel="0" collapsed="false">
      <c r="A29" s="17" t="s">
        <v>110</v>
      </c>
      <c r="B29" s="18" t="s">
        <v>86</v>
      </c>
      <c r="C29" s="18" t="s">
        <v>80</v>
      </c>
      <c r="D29" s="18" t="n">
        <v>82</v>
      </c>
      <c r="E29" s="19" t="n">
        <v>210740</v>
      </c>
      <c r="F29" s="19" t="n">
        <v>15000</v>
      </c>
    </row>
    <row r="30" customFormat="false" ht="15" hidden="false" customHeight="true" outlineLevel="0" collapsed="false">
      <c r="A30" s="20" t="s">
        <v>111</v>
      </c>
      <c r="B30" s="21" t="s">
        <v>88</v>
      </c>
      <c r="C30" s="21" t="s">
        <v>80</v>
      </c>
      <c r="D30" s="21" t="n">
        <v>89</v>
      </c>
      <c r="E30" s="22" t="n">
        <v>248399</v>
      </c>
      <c r="F30" s="22" t="n">
        <v>15000</v>
      </c>
    </row>
    <row r="31" customFormat="false" ht="15" hidden="false" customHeight="true" outlineLevel="0" collapsed="false">
      <c r="A31" s="17" t="s">
        <v>112</v>
      </c>
      <c r="B31" s="18" t="s">
        <v>90</v>
      </c>
      <c r="C31" s="18" t="s">
        <v>80</v>
      </c>
      <c r="D31" s="18" t="n">
        <v>93</v>
      </c>
      <c r="E31" s="19" t="n">
        <v>222828</v>
      </c>
      <c r="F31" s="19" t="n">
        <v>15000</v>
      </c>
    </row>
    <row r="32" customFormat="false" ht="15" hidden="false" customHeight="true" outlineLevel="0" collapsed="false">
      <c r="A32" s="23" t="s">
        <v>113</v>
      </c>
      <c r="B32" s="24" t="s">
        <v>92</v>
      </c>
      <c r="C32" s="24" t="s">
        <v>80</v>
      </c>
      <c r="D32" s="24" t="n">
        <v>420</v>
      </c>
      <c r="E32" s="25" t="n">
        <v>953820</v>
      </c>
      <c r="F32" s="25" t="n">
        <v>60000</v>
      </c>
    </row>
    <row r="33" customFormat="false" ht="15" hidden="false" customHeight="true" outlineLevel="0" collapsed="false">
      <c r="A33" s="17" t="s">
        <v>114</v>
      </c>
      <c r="B33" s="18" t="s">
        <v>79</v>
      </c>
      <c r="C33" s="18" t="s">
        <v>80</v>
      </c>
      <c r="D33" s="18" t="n">
        <v>115</v>
      </c>
      <c r="E33" s="19" t="n">
        <v>258290</v>
      </c>
      <c r="F33" s="19" t="n">
        <v>15000</v>
      </c>
    </row>
    <row r="34" customFormat="false" ht="15" hidden="false" customHeight="true" outlineLevel="0" collapsed="false">
      <c r="A34" s="20" t="s">
        <v>115</v>
      </c>
      <c r="B34" s="21" t="s">
        <v>82</v>
      </c>
      <c r="C34" s="21" t="s">
        <v>80</v>
      </c>
      <c r="D34" s="21" t="n">
        <v>125</v>
      </c>
      <c r="E34" s="22" t="n">
        <v>359625</v>
      </c>
      <c r="F34" s="22" t="n">
        <v>15000</v>
      </c>
    </row>
    <row r="36" customFormat="false" ht="15" hidden="false" customHeight="true" outlineLevel="0" collapsed="false">
      <c r="A36" s="26" t="s">
        <v>116</v>
      </c>
      <c r="B36" s="26"/>
      <c r="C36" s="26"/>
      <c r="D36" s="26"/>
      <c r="E36" s="26"/>
      <c r="F36" s="26"/>
    </row>
  </sheetData>
  <mergeCells count="3">
    <mergeCell ref="A1:F1"/>
    <mergeCell ref="A2:F2"/>
    <mergeCell ref="A36:F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5" width="14"/>
    <col collapsed="false" customWidth="true" hidden="false" outlineLevel="0" max="3" min="3" style="5" width="10"/>
    <col collapsed="false" customWidth="true" hidden="false" outlineLevel="0" max="5" min="4" style="5" width="18"/>
    <col collapsed="false" customWidth="true" hidden="false" outlineLevel="0" max="6" min="6" style="5" width="20"/>
  </cols>
  <sheetData>
    <row r="1" customFormat="false" ht="24" hidden="false" customHeight="true" outlineLevel="0" collapsed="false">
      <c r="A1" s="15" t="s">
        <v>117</v>
      </c>
      <c r="B1" s="15"/>
      <c r="C1" s="15"/>
      <c r="D1" s="15"/>
      <c r="E1" s="15"/>
      <c r="F1" s="15"/>
    </row>
    <row r="2" customFormat="false" ht="15" hidden="false" customHeight="true" outlineLevel="0" collapsed="false">
      <c r="A2" s="7" t="s">
        <v>118</v>
      </c>
      <c r="B2" s="7"/>
      <c r="C2" s="7"/>
      <c r="D2" s="7"/>
      <c r="E2" s="7"/>
      <c r="F2" s="7"/>
    </row>
    <row r="4" customFormat="false" ht="30" hidden="false" customHeight="true" outlineLevel="0" collapsed="false">
      <c r="A4" s="16" t="s">
        <v>72</v>
      </c>
      <c r="B4" s="16" t="s">
        <v>73</v>
      </c>
      <c r="C4" s="16" t="s">
        <v>74</v>
      </c>
      <c r="D4" s="16" t="s">
        <v>75</v>
      </c>
      <c r="E4" s="16" t="s">
        <v>76</v>
      </c>
      <c r="F4" s="16" t="s">
        <v>77</v>
      </c>
    </row>
    <row r="5" customFormat="false" ht="15" hidden="false" customHeight="true" outlineLevel="0" collapsed="false">
      <c r="A5" s="17" t="s">
        <v>78</v>
      </c>
      <c r="B5" s="18" t="s">
        <v>79</v>
      </c>
      <c r="C5" s="18" t="s">
        <v>119</v>
      </c>
      <c r="D5" s="18" t="n">
        <v>130</v>
      </c>
      <c r="E5" s="19" t="n">
        <v>363480</v>
      </c>
      <c r="F5" s="19" t="n">
        <v>15000</v>
      </c>
    </row>
    <row r="6" customFormat="false" ht="15" hidden="false" customHeight="true" outlineLevel="0" collapsed="false">
      <c r="A6" s="20" t="s">
        <v>81</v>
      </c>
      <c r="B6" s="21" t="s">
        <v>82</v>
      </c>
      <c r="C6" s="21" t="s">
        <v>119</v>
      </c>
      <c r="D6" s="21" t="n">
        <v>124</v>
      </c>
      <c r="E6" s="22" t="n">
        <v>280612</v>
      </c>
      <c r="F6" s="22" t="n">
        <v>15000</v>
      </c>
    </row>
    <row r="7" customFormat="false" ht="15" hidden="false" customHeight="true" outlineLevel="0" collapsed="false">
      <c r="A7" s="17" t="s">
        <v>83</v>
      </c>
      <c r="B7" s="18" t="s">
        <v>84</v>
      </c>
      <c r="C7" s="18" t="s">
        <v>119</v>
      </c>
      <c r="D7" s="18" t="n">
        <v>97</v>
      </c>
      <c r="E7" s="19" t="n">
        <v>270630</v>
      </c>
      <c r="F7" s="19" t="n">
        <v>15000</v>
      </c>
    </row>
    <row r="8" customFormat="false" ht="15" hidden="false" customHeight="true" outlineLevel="0" collapsed="false">
      <c r="A8" s="20" t="s">
        <v>85</v>
      </c>
      <c r="B8" s="21" t="s">
        <v>86</v>
      </c>
      <c r="C8" s="21" t="s">
        <v>119</v>
      </c>
      <c r="D8" s="21" t="n">
        <v>105</v>
      </c>
      <c r="E8" s="22" t="n">
        <v>293895</v>
      </c>
      <c r="F8" s="22" t="n">
        <v>15000</v>
      </c>
    </row>
    <row r="9" customFormat="false" ht="15" hidden="false" customHeight="true" outlineLevel="0" collapsed="false">
      <c r="A9" s="17" t="s">
        <v>87</v>
      </c>
      <c r="B9" s="18" t="s">
        <v>88</v>
      </c>
      <c r="C9" s="18" t="s">
        <v>119</v>
      </c>
      <c r="D9" s="18" t="n">
        <v>86</v>
      </c>
      <c r="E9" s="19" t="n">
        <v>224116</v>
      </c>
      <c r="F9" s="19" t="n">
        <v>15000</v>
      </c>
    </row>
    <row r="10" customFormat="false" ht="15" hidden="false" customHeight="true" outlineLevel="0" collapsed="false">
      <c r="A10" s="20" t="s">
        <v>89</v>
      </c>
      <c r="B10" s="21" t="s">
        <v>90</v>
      </c>
      <c r="C10" s="21" t="s">
        <v>119</v>
      </c>
      <c r="D10" s="21" t="n">
        <v>87</v>
      </c>
      <c r="E10" s="22" t="n">
        <v>195750</v>
      </c>
      <c r="F10" s="22" t="n">
        <v>15000</v>
      </c>
    </row>
    <row r="11" customFormat="false" ht="15" hidden="false" customHeight="true" outlineLevel="0" collapsed="false">
      <c r="A11" s="17" t="s">
        <v>91</v>
      </c>
      <c r="B11" s="18" t="s">
        <v>92</v>
      </c>
      <c r="C11" s="18" t="s">
        <v>119</v>
      </c>
      <c r="D11" s="18" t="n">
        <v>127</v>
      </c>
      <c r="E11" s="19" t="n">
        <v>308102</v>
      </c>
      <c r="F11" s="19" t="n">
        <v>15000</v>
      </c>
    </row>
    <row r="12" customFormat="false" ht="15" hidden="false" customHeight="true" outlineLevel="0" collapsed="false">
      <c r="A12" s="20" t="s">
        <v>93</v>
      </c>
      <c r="B12" s="21" t="s">
        <v>79</v>
      </c>
      <c r="C12" s="21" t="s">
        <v>119</v>
      </c>
      <c r="D12" s="21" t="n">
        <v>123</v>
      </c>
      <c r="E12" s="22" t="n">
        <v>276381</v>
      </c>
      <c r="F12" s="22" t="n">
        <v>15000</v>
      </c>
    </row>
    <row r="13" customFormat="false" ht="15" hidden="false" customHeight="true" outlineLevel="0" collapsed="false">
      <c r="A13" s="17" t="s">
        <v>94</v>
      </c>
      <c r="B13" s="18" t="s">
        <v>82</v>
      </c>
      <c r="C13" s="18" t="s">
        <v>119</v>
      </c>
      <c r="D13" s="18" t="n">
        <v>131</v>
      </c>
      <c r="E13" s="19" t="n">
        <v>362870</v>
      </c>
      <c r="F13" s="19" t="n">
        <v>15000</v>
      </c>
    </row>
    <row r="14" customFormat="false" ht="15" hidden="false" customHeight="true" outlineLevel="0" collapsed="false">
      <c r="A14" s="20" t="s">
        <v>95</v>
      </c>
      <c r="B14" s="21" t="s">
        <v>84</v>
      </c>
      <c r="C14" s="21" t="s">
        <v>119</v>
      </c>
      <c r="D14" s="21" t="n">
        <v>103</v>
      </c>
      <c r="E14" s="22" t="n">
        <v>240608</v>
      </c>
      <c r="F14" s="22" t="n">
        <v>15000</v>
      </c>
    </row>
    <row r="15" customFormat="false" ht="15" hidden="false" customHeight="true" outlineLevel="0" collapsed="false">
      <c r="A15" s="17" t="s">
        <v>96</v>
      </c>
      <c r="B15" s="18" t="s">
        <v>86</v>
      </c>
      <c r="C15" s="18" t="s">
        <v>119</v>
      </c>
      <c r="D15" s="18" t="n">
        <v>86</v>
      </c>
      <c r="E15" s="19" t="n">
        <v>214656</v>
      </c>
      <c r="F15" s="19" t="n">
        <v>15000</v>
      </c>
    </row>
    <row r="16" customFormat="false" ht="15" hidden="false" customHeight="true" outlineLevel="0" collapsed="false">
      <c r="A16" s="20" t="s">
        <v>97</v>
      </c>
      <c r="B16" s="21" t="s">
        <v>88</v>
      </c>
      <c r="C16" s="21" t="s">
        <v>119</v>
      </c>
      <c r="D16" s="21" t="n">
        <v>114</v>
      </c>
      <c r="E16" s="22" t="n">
        <v>299706</v>
      </c>
      <c r="F16" s="22" t="n">
        <v>15000</v>
      </c>
    </row>
    <row r="17" customFormat="false" ht="15" hidden="false" customHeight="true" outlineLevel="0" collapsed="false">
      <c r="A17" s="17" t="s">
        <v>98</v>
      </c>
      <c r="B17" s="18" t="s">
        <v>90</v>
      </c>
      <c r="C17" s="18" t="s">
        <v>119</v>
      </c>
      <c r="D17" s="18" t="n">
        <v>101</v>
      </c>
      <c r="E17" s="19" t="n">
        <v>237047</v>
      </c>
      <c r="F17" s="19" t="n">
        <v>15000</v>
      </c>
    </row>
    <row r="18" customFormat="false" ht="15" hidden="false" customHeight="true" outlineLevel="0" collapsed="false">
      <c r="A18" s="20" t="s">
        <v>99</v>
      </c>
      <c r="B18" s="21" t="s">
        <v>92</v>
      </c>
      <c r="C18" s="21" t="s">
        <v>119</v>
      </c>
      <c r="D18" s="21" t="n">
        <v>116</v>
      </c>
      <c r="E18" s="22" t="n">
        <v>319348</v>
      </c>
      <c r="F18" s="22" t="n">
        <v>15000</v>
      </c>
    </row>
    <row r="19" customFormat="false" ht="15" hidden="false" customHeight="true" outlineLevel="0" collapsed="false">
      <c r="A19" s="17" t="s">
        <v>100</v>
      </c>
      <c r="B19" s="18" t="s">
        <v>79</v>
      </c>
      <c r="C19" s="18" t="s">
        <v>119</v>
      </c>
      <c r="D19" s="18" t="n">
        <v>121</v>
      </c>
      <c r="E19" s="19" t="n">
        <v>280720</v>
      </c>
      <c r="F19" s="19" t="n">
        <v>15000</v>
      </c>
    </row>
    <row r="20" customFormat="false" ht="15" hidden="false" customHeight="true" outlineLevel="0" collapsed="false">
      <c r="A20" s="20" t="s">
        <v>101</v>
      </c>
      <c r="B20" s="21" t="s">
        <v>82</v>
      </c>
      <c r="C20" s="21" t="s">
        <v>119</v>
      </c>
      <c r="D20" s="21" t="n">
        <v>122</v>
      </c>
      <c r="E20" s="22" t="n">
        <v>339648</v>
      </c>
      <c r="F20" s="22" t="n">
        <v>15000</v>
      </c>
    </row>
    <row r="21" customFormat="false" ht="15" hidden="false" customHeight="true" outlineLevel="0" collapsed="false">
      <c r="A21" s="17" t="s">
        <v>102</v>
      </c>
      <c r="B21" s="18" t="s">
        <v>84</v>
      </c>
      <c r="C21" s="18" t="s">
        <v>119</v>
      </c>
      <c r="D21" s="18" t="n">
        <v>98</v>
      </c>
      <c r="E21" s="19" t="n">
        <v>246470</v>
      </c>
      <c r="F21" s="19" t="n">
        <v>15000</v>
      </c>
    </row>
    <row r="22" customFormat="false" ht="15" hidden="false" customHeight="true" outlineLevel="0" collapsed="false">
      <c r="A22" s="20" t="s">
        <v>103</v>
      </c>
      <c r="B22" s="21" t="s">
        <v>86</v>
      </c>
      <c r="C22" s="21" t="s">
        <v>119</v>
      </c>
      <c r="D22" s="21" t="n">
        <v>98</v>
      </c>
      <c r="E22" s="22" t="n">
        <v>271754</v>
      </c>
      <c r="F22" s="22" t="n">
        <v>15000</v>
      </c>
    </row>
    <row r="23" customFormat="false" ht="15" hidden="false" customHeight="true" outlineLevel="0" collapsed="false">
      <c r="A23" s="17" t="s">
        <v>104</v>
      </c>
      <c r="B23" s="18" t="s">
        <v>88</v>
      </c>
      <c r="C23" s="18" t="s">
        <v>119</v>
      </c>
      <c r="D23" s="18" t="n">
        <v>87</v>
      </c>
      <c r="E23" s="19" t="n">
        <v>252126</v>
      </c>
      <c r="F23" s="19" t="n">
        <v>15000</v>
      </c>
    </row>
    <row r="24" customFormat="false" ht="15" hidden="false" customHeight="true" outlineLevel="0" collapsed="false">
      <c r="A24" s="20" t="s">
        <v>105</v>
      </c>
      <c r="B24" s="21" t="s">
        <v>90</v>
      </c>
      <c r="C24" s="21" t="s">
        <v>119</v>
      </c>
      <c r="D24" s="21" t="n">
        <v>92</v>
      </c>
      <c r="E24" s="22" t="n">
        <v>219420</v>
      </c>
      <c r="F24" s="22" t="n">
        <v>15000</v>
      </c>
    </row>
    <row r="25" customFormat="false" ht="15" hidden="false" customHeight="true" outlineLevel="0" collapsed="false">
      <c r="A25" s="17" t="s">
        <v>106</v>
      </c>
      <c r="B25" s="18" t="s">
        <v>92</v>
      </c>
      <c r="C25" s="18" t="s">
        <v>119</v>
      </c>
      <c r="D25" s="18" t="n">
        <v>112</v>
      </c>
      <c r="E25" s="19" t="n">
        <v>258160</v>
      </c>
      <c r="F25" s="19" t="n">
        <v>15000</v>
      </c>
    </row>
    <row r="26" customFormat="false" ht="15" hidden="false" customHeight="true" outlineLevel="0" collapsed="false">
      <c r="A26" s="20" t="s">
        <v>107</v>
      </c>
      <c r="B26" s="21" t="s">
        <v>79</v>
      </c>
      <c r="C26" s="21" t="s">
        <v>119</v>
      </c>
      <c r="D26" s="21" t="n">
        <v>137</v>
      </c>
      <c r="E26" s="22" t="n">
        <v>382915</v>
      </c>
      <c r="F26" s="22" t="n">
        <v>15000</v>
      </c>
    </row>
    <row r="27" customFormat="false" ht="15" hidden="false" customHeight="true" outlineLevel="0" collapsed="false">
      <c r="A27" s="17" t="s">
        <v>108</v>
      </c>
      <c r="B27" s="18" t="s">
        <v>82</v>
      </c>
      <c r="C27" s="18" t="s">
        <v>119</v>
      </c>
      <c r="D27" s="18" t="n">
        <v>133</v>
      </c>
      <c r="E27" s="19" t="n">
        <v>370272</v>
      </c>
      <c r="F27" s="19" t="n">
        <v>15000</v>
      </c>
    </row>
    <row r="28" customFormat="false" ht="15" hidden="false" customHeight="true" outlineLevel="0" collapsed="false">
      <c r="A28" s="20" t="s">
        <v>109</v>
      </c>
      <c r="B28" s="21" t="s">
        <v>84</v>
      </c>
      <c r="C28" s="21" t="s">
        <v>119</v>
      </c>
      <c r="D28" s="21" t="n">
        <v>86</v>
      </c>
      <c r="E28" s="22" t="n">
        <v>245444</v>
      </c>
      <c r="F28" s="22" t="n">
        <v>15000</v>
      </c>
    </row>
    <row r="29" customFormat="false" ht="15" hidden="false" customHeight="true" outlineLevel="0" collapsed="false">
      <c r="A29" s="17" t="s">
        <v>110</v>
      </c>
      <c r="B29" s="18" t="s">
        <v>86</v>
      </c>
      <c r="C29" s="18" t="s">
        <v>119</v>
      </c>
      <c r="D29" s="18" t="n">
        <v>111</v>
      </c>
      <c r="E29" s="19" t="n">
        <v>265512</v>
      </c>
      <c r="F29" s="19" t="n">
        <v>15000</v>
      </c>
    </row>
    <row r="30" customFormat="false" ht="15" hidden="false" customHeight="true" outlineLevel="0" collapsed="false">
      <c r="A30" s="20" t="s">
        <v>111</v>
      </c>
      <c r="B30" s="21" t="s">
        <v>88</v>
      </c>
      <c r="C30" s="21" t="s">
        <v>119</v>
      </c>
      <c r="D30" s="21" t="n">
        <v>103</v>
      </c>
      <c r="E30" s="22" t="n">
        <v>265843</v>
      </c>
      <c r="F30" s="22" t="n">
        <v>15000</v>
      </c>
    </row>
    <row r="31" customFormat="false" ht="15" hidden="false" customHeight="true" outlineLevel="0" collapsed="false">
      <c r="A31" s="17" t="s">
        <v>112</v>
      </c>
      <c r="B31" s="18" t="s">
        <v>90</v>
      </c>
      <c r="C31" s="18" t="s">
        <v>119</v>
      </c>
      <c r="D31" s="18" t="n">
        <v>88</v>
      </c>
      <c r="E31" s="19" t="n">
        <v>202312</v>
      </c>
      <c r="F31" s="19" t="n">
        <v>15000</v>
      </c>
    </row>
    <row r="32" customFormat="false" ht="15" hidden="false" customHeight="true" outlineLevel="0" collapsed="false">
      <c r="A32" s="20" t="s">
        <v>113</v>
      </c>
      <c r="B32" s="21" t="s">
        <v>92</v>
      </c>
      <c r="C32" s="21" t="s">
        <v>119</v>
      </c>
      <c r="D32" s="21" t="n">
        <v>117</v>
      </c>
      <c r="E32" s="22" t="n">
        <v>322920</v>
      </c>
      <c r="F32" s="22" t="n">
        <v>15000</v>
      </c>
    </row>
    <row r="33" customFormat="false" ht="15" hidden="false" customHeight="true" outlineLevel="0" collapsed="false">
      <c r="A33" s="17" t="s">
        <v>114</v>
      </c>
      <c r="B33" s="18" t="s">
        <v>79</v>
      </c>
      <c r="C33" s="18" t="s">
        <v>119</v>
      </c>
      <c r="D33" s="18" t="n">
        <v>140</v>
      </c>
      <c r="E33" s="19" t="n">
        <v>316960</v>
      </c>
      <c r="F33" s="19" t="n">
        <v>15000</v>
      </c>
    </row>
    <row r="34" customFormat="false" ht="15" hidden="false" customHeight="true" outlineLevel="0" collapsed="false">
      <c r="A34" s="20" t="s">
        <v>115</v>
      </c>
      <c r="B34" s="21" t="s">
        <v>82</v>
      </c>
      <c r="C34" s="21" t="s">
        <v>119</v>
      </c>
      <c r="D34" s="21" t="n">
        <v>140</v>
      </c>
      <c r="E34" s="22" t="n">
        <v>388780</v>
      </c>
      <c r="F34" s="22" t="n">
        <v>15000</v>
      </c>
    </row>
    <row r="36" customFormat="false" ht="21.75" hidden="false" customHeight="true" outlineLevel="0" collapsed="false">
      <c r="A36" s="26" t="s">
        <v>120</v>
      </c>
      <c r="B36" s="26"/>
      <c r="C36" s="26"/>
      <c r="D36" s="26"/>
      <c r="E36" s="26"/>
      <c r="F36" s="26"/>
    </row>
  </sheetData>
  <mergeCells count="3">
    <mergeCell ref="A1:F1"/>
    <mergeCell ref="A2:F2"/>
    <mergeCell ref="A36:F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5" width="14"/>
    <col collapsed="false" customWidth="true" hidden="false" outlineLevel="0" max="3" min="3" style="5" width="10"/>
    <col collapsed="false" customWidth="true" hidden="false" outlineLevel="0" max="5" min="4" style="5" width="18"/>
    <col collapsed="false" customWidth="true" hidden="false" outlineLevel="0" max="6" min="6" style="5" width="20"/>
  </cols>
  <sheetData>
    <row r="1" customFormat="false" ht="24" hidden="false" customHeight="true" outlineLevel="0" collapsed="false">
      <c r="A1" s="15" t="s">
        <v>121</v>
      </c>
      <c r="B1" s="15"/>
      <c r="C1" s="15"/>
      <c r="D1" s="15"/>
      <c r="E1" s="15"/>
      <c r="F1" s="15"/>
    </row>
    <row r="2" customFormat="false" ht="15" hidden="false" customHeight="true" outlineLevel="0" collapsed="false">
      <c r="A2" s="7" t="s">
        <v>122</v>
      </c>
      <c r="B2" s="7"/>
      <c r="C2" s="7"/>
      <c r="D2" s="7"/>
      <c r="E2" s="7"/>
      <c r="F2" s="7"/>
    </row>
    <row r="4" customFormat="false" ht="30" hidden="false" customHeight="true" outlineLevel="0" collapsed="false">
      <c r="A4" s="16" t="s">
        <v>72</v>
      </c>
      <c r="B4" s="16" t="s">
        <v>73</v>
      </c>
      <c r="C4" s="16" t="s">
        <v>74</v>
      </c>
      <c r="D4" s="16" t="s">
        <v>75</v>
      </c>
      <c r="E4" s="16" t="s">
        <v>76</v>
      </c>
      <c r="F4" s="16" t="s">
        <v>77</v>
      </c>
    </row>
    <row r="5" customFormat="false" ht="15" hidden="false" customHeight="true" outlineLevel="0" collapsed="false">
      <c r="A5" s="17" t="s">
        <v>78</v>
      </c>
      <c r="B5" s="18" t="s">
        <v>79</v>
      </c>
      <c r="C5" s="18" t="s">
        <v>123</v>
      </c>
      <c r="D5" s="18" t="n">
        <v>151</v>
      </c>
      <c r="E5" s="19" t="n">
        <v>343525</v>
      </c>
      <c r="F5" s="19" t="n">
        <v>15000</v>
      </c>
    </row>
    <row r="6" customFormat="false" ht="15" hidden="false" customHeight="true" outlineLevel="0" collapsed="false">
      <c r="A6" s="20" t="s">
        <v>81</v>
      </c>
      <c r="B6" s="21" t="s">
        <v>82</v>
      </c>
      <c r="C6" s="21" t="s">
        <v>123</v>
      </c>
      <c r="D6" s="21" t="n">
        <v>131</v>
      </c>
      <c r="E6" s="22" t="n">
        <v>301300</v>
      </c>
      <c r="F6" s="22" t="n">
        <v>15000</v>
      </c>
    </row>
    <row r="7" customFormat="false" ht="15" hidden="false" customHeight="true" outlineLevel="0" collapsed="false">
      <c r="A7" s="17" t="s">
        <v>83</v>
      </c>
      <c r="B7" s="18" t="s">
        <v>84</v>
      </c>
      <c r="C7" s="18" t="s">
        <v>123</v>
      </c>
      <c r="D7" s="18" t="n">
        <v>123</v>
      </c>
      <c r="E7" s="19" t="n">
        <v>322752</v>
      </c>
      <c r="F7" s="19" t="n">
        <v>15000</v>
      </c>
    </row>
    <row r="8" customFormat="false" ht="15" hidden="false" customHeight="true" outlineLevel="0" collapsed="false">
      <c r="A8" s="20" t="s">
        <v>85</v>
      </c>
      <c r="B8" s="21" t="s">
        <v>86</v>
      </c>
      <c r="C8" s="21" t="s">
        <v>123</v>
      </c>
      <c r="D8" s="21" t="n">
        <v>97</v>
      </c>
      <c r="E8" s="22" t="n">
        <v>215049</v>
      </c>
      <c r="F8" s="22" t="n">
        <v>15000</v>
      </c>
    </row>
    <row r="9" customFormat="false" ht="15" hidden="false" customHeight="true" outlineLevel="0" collapsed="false">
      <c r="A9" s="17" t="s">
        <v>87</v>
      </c>
      <c r="B9" s="18" t="s">
        <v>88</v>
      </c>
      <c r="C9" s="18" t="s">
        <v>123</v>
      </c>
      <c r="D9" s="18" t="n">
        <v>122</v>
      </c>
      <c r="E9" s="19" t="n">
        <v>280722</v>
      </c>
      <c r="F9" s="19" t="n">
        <v>15000</v>
      </c>
    </row>
    <row r="10" customFormat="false" ht="15" hidden="false" customHeight="true" outlineLevel="0" collapsed="false">
      <c r="A10" s="20" t="s">
        <v>89</v>
      </c>
      <c r="B10" s="21" t="s">
        <v>90</v>
      </c>
      <c r="C10" s="21" t="s">
        <v>123</v>
      </c>
      <c r="D10" s="21" t="n">
        <v>102</v>
      </c>
      <c r="E10" s="22" t="n">
        <v>284784</v>
      </c>
      <c r="F10" s="22" t="n">
        <v>15000</v>
      </c>
    </row>
    <row r="11" customFormat="false" ht="15" hidden="false" customHeight="true" outlineLevel="0" collapsed="false">
      <c r="A11" s="17" t="s">
        <v>91</v>
      </c>
      <c r="B11" s="18" t="s">
        <v>92</v>
      </c>
      <c r="C11" s="18" t="s">
        <v>123</v>
      </c>
      <c r="D11" s="18" t="n">
        <v>127</v>
      </c>
      <c r="E11" s="19" t="n">
        <v>334391</v>
      </c>
      <c r="F11" s="19" t="n">
        <v>15000</v>
      </c>
    </row>
    <row r="12" customFormat="false" ht="15" hidden="false" customHeight="true" outlineLevel="0" collapsed="false">
      <c r="A12" s="20" t="s">
        <v>93</v>
      </c>
      <c r="B12" s="21" t="s">
        <v>79</v>
      </c>
      <c r="C12" s="21" t="s">
        <v>123</v>
      </c>
      <c r="D12" s="21" t="n">
        <v>141</v>
      </c>
      <c r="E12" s="22" t="n">
        <v>367305</v>
      </c>
      <c r="F12" s="22" t="n">
        <v>15000</v>
      </c>
    </row>
    <row r="13" customFormat="false" ht="15" hidden="false" customHeight="true" outlineLevel="0" collapsed="false">
      <c r="A13" s="17" t="s">
        <v>94</v>
      </c>
      <c r="B13" s="18" t="s">
        <v>82</v>
      </c>
      <c r="C13" s="18" t="s">
        <v>123</v>
      </c>
      <c r="D13" s="18" t="n">
        <v>146</v>
      </c>
      <c r="E13" s="19" t="n">
        <v>386900</v>
      </c>
      <c r="F13" s="19" t="n">
        <v>15000</v>
      </c>
    </row>
    <row r="14" customFormat="false" ht="15" hidden="false" customHeight="true" outlineLevel="0" collapsed="false">
      <c r="A14" s="20" t="s">
        <v>95</v>
      </c>
      <c r="B14" s="21" t="s">
        <v>84</v>
      </c>
      <c r="C14" s="21" t="s">
        <v>123</v>
      </c>
      <c r="D14" s="21" t="n">
        <v>108</v>
      </c>
      <c r="E14" s="22" t="n">
        <v>310392</v>
      </c>
      <c r="F14" s="22" t="n">
        <v>15000</v>
      </c>
    </row>
    <row r="15" customFormat="false" ht="15" hidden="false" customHeight="true" outlineLevel="0" collapsed="false">
      <c r="A15" s="17" t="s">
        <v>96</v>
      </c>
      <c r="B15" s="18" t="s">
        <v>86</v>
      </c>
      <c r="C15" s="18" t="s">
        <v>123</v>
      </c>
      <c r="D15" s="18" t="n">
        <v>99</v>
      </c>
      <c r="E15" s="19" t="n">
        <v>248094</v>
      </c>
      <c r="F15" s="19" t="n">
        <v>15000</v>
      </c>
    </row>
    <row r="16" customFormat="false" ht="15" hidden="false" customHeight="true" outlineLevel="0" collapsed="false">
      <c r="A16" s="20" t="s">
        <v>97</v>
      </c>
      <c r="B16" s="21" t="s">
        <v>88</v>
      </c>
      <c r="C16" s="21" t="s">
        <v>123</v>
      </c>
      <c r="D16" s="21" t="n">
        <v>106</v>
      </c>
      <c r="E16" s="22" t="n">
        <v>295104</v>
      </c>
      <c r="F16" s="22" t="n">
        <v>15000</v>
      </c>
    </row>
    <row r="17" customFormat="false" ht="15" hidden="false" customHeight="true" outlineLevel="0" collapsed="false">
      <c r="A17" s="17" t="s">
        <v>98</v>
      </c>
      <c r="B17" s="18" t="s">
        <v>90</v>
      </c>
      <c r="C17" s="18" t="s">
        <v>123</v>
      </c>
      <c r="D17" s="18" t="n">
        <v>96</v>
      </c>
      <c r="E17" s="19" t="n">
        <v>260544</v>
      </c>
      <c r="F17" s="19" t="n">
        <v>15000</v>
      </c>
    </row>
    <row r="18" customFormat="false" ht="15" hidden="false" customHeight="true" outlineLevel="0" collapsed="false">
      <c r="A18" s="23" t="s">
        <v>99</v>
      </c>
      <c r="B18" s="24" t="s">
        <v>92</v>
      </c>
      <c r="C18" s="24" t="s">
        <v>123</v>
      </c>
      <c r="D18" s="24" t="n">
        <v>28</v>
      </c>
      <c r="E18" s="25" t="n">
        <v>66136</v>
      </c>
      <c r="F18" s="25" t="n">
        <v>15000</v>
      </c>
    </row>
    <row r="19" customFormat="false" ht="15" hidden="false" customHeight="true" outlineLevel="0" collapsed="false">
      <c r="A19" s="17" t="s">
        <v>100</v>
      </c>
      <c r="B19" s="18" t="s">
        <v>79</v>
      </c>
      <c r="C19" s="18" t="s">
        <v>123</v>
      </c>
      <c r="D19" s="18" t="n">
        <v>143</v>
      </c>
      <c r="E19" s="19" t="n">
        <v>407836</v>
      </c>
      <c r="F19" s="19" t="n">
        <v>15000</v>
      </c>
    </row>
    <row r="20" customFormat="false" ht="15" hidden="false" customHeight="true" outlineLevel="0" collapsed="false">
      <c r="A20" s="20" t="s">
        <v>101</v>
      </c>
      <c r="B20" s="21" t="s">
        <v>82</v>
      </c>
      <c r="C20" s="21" t="s">
        <v>123</v>
      </c>
      <c r="D20" s="21" t="n">
        <v>140</v>
      </c>
      <c r="E20" s="22" t="n">
        <v>366240</v>
      </c>
      <c r="F20" s="22" t="n">
        <v>15000</v>
      </c>
    </row>
    <row r="21" customFormat="false" ht="15" hidden="false" customHeight="true" outlineLevel="0" collapsed="false">
      <c r="A21" s="17" t="s">
        <v>102</v>
      </c>
      <c r="B21" s="18" t="s">
        <v>84</v>
      </c>
      <c r="C21" s="18" t="s">
        <v>123</v>
      </c>
      <c r="D21" s="18" t="n">
        <v>107</v>
      </c>
      <c r="E21" s="19" t="n">
        <v>260866</v>
      </c>
      <c r="F21" s="19" t="n">
        <v>15000</v>
      </c>
    </row>
    <row r="22" customFormat="false" ht="15" hidden="false" customHeight="true" outlineLevel="0" collapsed="false">
      <c r="A22" s="20" t="s">
        <v>103</v>
      </c>
      <c r="B22" s="21" t="s">
        <v>86</v>
      </c>
      <c r="C22" s="21" t="s">
        <v>123</v>
      </c>
      <c r="D22" s="21" t="n">
        <v>96</v>
      </c>
      <c r="E22" s="22" t="n">
        <v>264768</v>
      </c>
      <c r="F22" s="22" t="n">
        <v>15000</v>
      </c>
    </row>
    <row r="23" customFormat="false" ht="15" hidden="false" customHeight="true" outlineLevel="0" collapsed="false">
      <c r="A23" s="17" t="s">
        <v>104</v>
      </c>
      <c r="B23" s="18" t="s">
        <v>88</v>
      </c>
      <c r="C23" s="18" t="s">
        <v>123</v>
      </c>
      <c r="D23" s="18" t="n">
        <v>110</v>
      </c>
      <c r="E23" s="19" t="n">
        <v>306900</v>
      </c>
      <c r="F23" s="19" t="n">
        <v>15000</v>
      </c>
    </row>
    <row r="24" customFormat="false" ht="15" hidden="false" customHeight="true" outlineLevel="0" collapsed="false">
      <c r="A24" s="20" t="s">
        <v>105</v>
      </c>
      <c r="B24" s="21" t="s">
        <v>90</v>
      </c>
      <c r="C24" s="21" t="s">
        <v>123</v>
      </c>
      <c r="D24" s="21" t="n">
        <v>109</v>
      </c>
      <c r="E24" s="22" t="n">
        <v>251790</v>
      </c>
      <c r="F24" s="22" t="n">
        <v>15000</v>
      </c>
    </row>
    <row r="25" customFormat="false" ht="15" hidden="false" customHeight="true" outlineLevel="0" collapsed="false">
      <c r="A25" s="17" t="s">
        <v>106</v>
      </c>
      <c r="B25" s="18" t="s">
        <v>92</v>
      </c>
      <c r="C25" s="18" t="s">
        <v>123</v>
      </c>
      <c r="D25" s="18" t="n">
        <v>115</v>
      </c>
      <c r="E25" s="19" t="n">
        <v>277380</v>
      </c>
      <c r="F25" s="19" t="n">
        <v>15000</v>
      </c>
    </row>
    <row r="26" customFormat="false" ht="15" hidden="false" customHeight="true" outlineLevel="0" collapsed="false">
      <c r="A26" s="20" t="s">
        <v>107</v>
      </c>
      <c r="B26" s="21" t="s">
        <v>79</v>
      </c>
      <c r="C26" s="21" t="s">
        <v>123</v>
      </c>
      <c r="D26" s="21" t="n">
        <v>148</v>
      </c>
      <c r="E26" s="22" t="n">
        <v>384652</v>
      </c>
      <c r="F26" s="22" t="n">
        <v>15000</v>
      </c>
    </row>
    <row r="27" customFormat="false" ht="15" hidden="false" customHeight="true" outlineLevel="0" collapsed="false">
      <c r="A27" s="17" t="s">
        <v>108</v>
      </c>
      <c r="B27" s="18" t="s">
        <v>82</v>
      </c>
      <c r="C27" s="18" t="s">
        <v>123</v>
      </c>
      <c r="D27" s="18" t="n">
        <v>149</v>
      </c>
      <c r="E27" s="19" t="n">
        <v>357004</v>
      </c>
      <c r="F27" s="19" t="n">
        <v>15000</v>
      </c>
    </row>
    <row r="28" customFormat="false" ht="15" hidden="false" customHeight="true" outlineLevel="0" collapsed="false">
      <c r="A28" s="20" t="s">
        <v>109</v>
      </c>
      <c r="B28" s="21" t="s">
        <v>84</v>
      </c>
      <c r="C28" s="21" t="s">
        <v>123</v>
      </c>
      <c r="D28" s="21" t="n">
        <v>102</v>
      </c>
      <c r="E28" s="22" t="n">
        <v>238782</v>
      </c>
      <c r="F28" s="22" t="n">
        <v>15000</v>
      </c>
    </row>
    <row r="29" customFormat="false" ht="15" hidden="false" customHeight="true" outlineLevel="0" collapsed="false">
      <c r="A29" s="17" t="s">
        <v>110</v>
      </c>
      <c r="B29" s="18" t="s">
        <v>86</v>
      </c>
      <c r="C29" s="18" t="s">
        <v>123</v>
      </c>
      <c r="D29" s="18" t="n">
        <v>94</v>
      </c>
      <c r="E29" s="19" t="n">
        <v>219678</v>
      </c>
      <c r="F29" s="19" t="n">
        <v>15000</v>
      </c>
    </row>
    <row r="30" customFormat="false" ht="15" hidden="false" customHeight="true" outlineLevel="0" collapsed="false">
      <c r="A30" s="20" t="s">
        <v>111</v>
      </c>
      <c r="B30" s="21" t="s">
        <v>88</v>
      </c>
      <c r="C30" s="21" t="s">
        <v>123</v>
      </c>
      <c r="D30" s="21" t="n">
        <v>102</v>
      </c>
      <c r="E30" s="22" t="n">
        <v>289782</v>
      </c>
      <c r="F30" s="22" t="n">
        <v>15000</v>
      </c>
    </row>
    <row r="31" customFormat="false" ht="15" hidden="false" customHeight="true" outlineLevel="0" collapsed="false">
      <c r="A31" s="17" t="s">
        <v>112</v>
      </c>
      <c r="B31" s="18" t="s">
        <v>90</v>
      </c>
      <c r="C31" s="18" t="s">
        <v>123</v>
      </c>
      <c r="D31" s="18" t="n">
        <v>97</v>
      </c>
      <c r="E31" s="19" t="n">
        <v>262385</v>
      </c>
      <c r="F31" s="19" t="n">
        <v>15000</v>
      </c>
    </row>
    <row r="32" customFormat="false" ht="15" hidden="false" customHeight="true" outlineLevel="0" collapsed="false">
      <c r="A32" s="20" t="s">
        <v>113</v>
      </c>
      <c r="B32" s="21" t="s">
        <v>92</v>
      </c>
      <c r="C32" s="21" t="s">
        <v>123</v>
      </c>
      <c r="D32" s="21" t="n">
        <v>132</v>
      </c>
      <c r="E32" s="22" t="n">
        <v>304524</v>
      </c>
      <c r="F32" s="22" t="n">
        <v>15000</v>
      </c>
    </row>
    <row r="33" customFormat="false" ht="15" hidden="false" customHeight="true" outlineLevel="0" collapsed="false">
      <c r="A33" s="17" t="s">
        <v>114</v>
      </c>
      <c r="B33" s="18" t="s">
        <v>79</v>
      </c>
      <c r="C33" s="18" t="s">
        <v>123</v>
      </c>
      <c r="D33" s="18" t="n">
        <v>144</v>
      </c>
      <c r="E33" s="19" t="n">
        <v>397440</v>
      </c>
      <c r="F33" s="19" t="n">
        <v>15000</v>
      </c>
    </row>
    <row r="34" customFormat="false" ht="15" hidden="false" customHeight="true" outlineLevel="0" collapsed="false">
      <c r="A34" s="20" t="s">
        <v>115</v>
      </c>
      <c r="B34" s="21" t="s">
        <v>82</v>
      </c>
      <c r="C34" s="21" t="s">
        <v>123</v>
      </c>
      <c r="D34" s="21" t="n">
        <v>142</v>
      </c>
      <c r="E34" s="22" t="n">
        <v>378998</v>
      </c>
      <c r="F34" s="22" t="n">
        <v>15000</v>
      </c>
    </row>
    <row r="36" customFormat="false" ht="15" hidden="false" customHeight="true" outlineLevel="0" collapsed="false">
      <c r="A36" s="26" t="s">
        <v>124</v>
      </c>
      <c r="B36" s="26"/>
      <c r="C36" s="26"/>
      <c r="D36" s="26"/>
      <c r="E36" s="26"/>
      <c r="F36" s="26"/>
    </row>
  </sheetData>
  <mergeCells count="3">
    <mergeCell ref="A1:F1"/>
    <mergeCell ref="A2:F2"/>
    <mergeCell ref="A36:F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5" width="14"/>
    <col collapsed="false" customWidth="true" hidden="false" outlineLevel="0" max="3" min="3" style="5" width="10"/>
    <col collapsed="false" customWidth="true" hidden="false" outlineLevel="0" max="5" min="4" style="5" width="18"/>
    <col collapsed="false" customWidth="true" hidden="false" outlineLevel="0" max="6" min="6" style="5" width="20"/>
  </cols>
  <sheetData>
    <row r="1" customFormat="false" ht="24" hidden="false" customHeight="true" outlineLevel="0" collapsed="false">
      <c r="A1" s="15" t="s">
        <v>125</v>
      </c>
      <c r="B1" s="15"/>
      <c r="C1" s="15"/>
      <c r="D1" s="15"/>
      <c r="E1" s="15"/>
      <c r="F1" s="15"/>
    </row>
    <row r="2" customFormat="false" ht="15" hidden="false" customHeight="true" outlineLevel="0" collapsed="false">
      <c r="A2" s="7" t="s">
        <v>126</v>
      </c>
      <c r="B2" s="7"/>
      <c r="C2" s="7"/>
      <c r="D2" s="7"/>
      <c r="E2" s="7"/>
      <c r="F2" s="7"/>
    </row>
    <row r="4" customFormat="false" ht="30" hidden="false" customHeight="true" outlineLevel="0" collapsed="false">
      <c r="A4" s="16" t="s">
        <v>72</v>
      </c>
      <c r="B4" s="16" t="s">
        <v>73</v>
      </c>
      <c r="C4" s="16" t="s">
        <v>74</v>
      </c>
      <c r="D4" s="16" t="s">
        <v>75</v>
      </c>
      <c r="E4" s="16" t="s">
        <v>76</v>
      </c>
      <c r="F4" s="16" t="s">
        <v>77</v>
      </c>
    </row>
    <row r="5" customFormat="false" ht="15" hidden="false" customHeight="true" outlineLevel="0" collapsed="false">
      <c r="A5" s="17" t="s">
        <v>78</v>
      </c>
      <c r="B5" s="18" t="s">
        <v>79</v>
      </c>
      <c r="C5" s="18" t="s">
        <v>127</v>
      </c>
      <c r="D5" s="18" t="n">
        <v>123</v>
      </c>
      <c r="E5" s="19" t="n">
        <v>316725</v>
      </c>
      <c r="F5" s="19" t="n">
        <v>15000</v>
      </c>
    </row>
    <row r="6" customFormat="false" ht="15" hidden="false" customHeight="true" outlineLevel="0" collapsed="false">
      <c r="A6" s="20" t="s">
        <v>81</v>
      </c>
      <c r="B6" s="21" t="s">
        <v>82</v>
      </c>
      <c r="C6" s="21" t="s">
        <v>127</v>
      </c>
      <c r="D6" s="21" t="n">
        <v>132</v>
      </c>
      <c r="E6" s="22" t="n">
        <v>316272</v>
      </c>
      <c r="F6" s="22" t="n">
        <v>15000</v>
      </c>
    </row>
    <row r="7" customFormat="false" ht="15" hidden="false" customHeight="true" outlineLevel="0" collapsed="false">
      <c r="A7" s="17" t="s">
        <v>83</v>
      </c>
      <c r="B7" s="18" t="s">
        <v>84</v>
      </c>
      <c r="C7" s="18" t="s">
        <v>127</v>
      </c>
      <c r="D7" s="18" t="n">
        <v>76</v>
      </c>
      <c r="E7" s="19" t="n">
        <v>203908</v>
      </c>
      <c r="F7" s="19" t="n">
        <v>15000</v>
      </c>
    </row>
    <row r="8" customFormat="false" ht="15" hidden="false" customHeight="true" outlineLevel="0" collapsed="false">
      <c r="A8" s="20" t="s">
        <v>85</v>
      </c>
      <c r="B8" s="21" t="s">
        <v>86</v>
      </c>
      <c r="C8" s="21" t="s">
        <v>127</v>
      </c>
      <c r="D8" s="21" t="n">
        <v>99</v>
      </c>
      <c r="E8" s="22" t="n">
        <v>250767</v>
      </c>
      <c r="F8" s="22" t="n">
        <v>15000</v>
      </c>
    </row>
    <row r="9" customFormat="false" ht="15" hidden="false" customHeight="true" outlineLevel="0" collapsed="false">
      <c r="A9" s="17" t="s">
        <v>87</v>
      </c>
      <c r="B9" s="18" t="s">
        <v>88</v>
      </c>
      <c r="C9" s="18" t="s">
        <v>127</v>
      </c>
      <c r="D9" s="18" t="n">
        <v>100</v>
      </c>
      <c r="E9" s="19" t="n">
        <v>244400</v>
      </c>
      <c r="F9" s="19" t="n">
        <v>15000</v>
      </c>
    </row>
    <row r="10" customFormat="false" ht="15" hidden="false" customHeight="true" outlineLevel="0" collapsed="false">
      <c r="A10" s="20" t="s">
        <v>89</v>
      </c>
      <c r="B10" s="21" t="s">
        <v>90</v>
      </c>
      <c r="C10" s="21" t="s">
        <v>127</v>
      </c>
      <c r="D10" s="21" t="n">
        <v>87</v>
      </c>
      <c r="E10" s="22" t="n">
        <v>248124</v>
      </c>
      <c r="F10" s="22" t="n">
        <v>15000</v>
      </c>
    </row>
    <row r="11" customFormat="false" ht="15" hidden="false" customHeight="true" outlineLevel="0" collapsed="false">
      <c r="A11" s="17" t="s">
        <v>91</v>
      </c>
      <c r="B11" s="18" t="s">
        <v>92</v>
      </c>
      <c r="C11" s="18" t="s">
        <v>127</v>
      </c>
      <c r="D11" s="18" t="n">
        <v>106</v>
      </c>
      <c r="E11" s="19" t="n">
        <v>276978</v>
      </c>
      <c r="F11" s="19" t="n">
        <v>15000</v>
      </c>
    </row>
    <row r="12" customFormat="false" ht="15" hidden="false" customHeight="true" outlineLevel="0" collapsed="false">
      <c r="A12" s="20" t="s">
        <v>93</v>
      </c>
      <c r="B12" s="21" t="s">
        <v>79</v>
      </c>
      <c r="C12" s="21" t="s">
        <v>127</v>
      </c>
      <c r="D12" s="21" t="n">
        <v>119</v>
      </c>
      <c r="E12" s="22" t="n">
        <v>313208</v>
      </c>
      <c r="F12" s="22" t="n">
        <v>15000</v>
      </c>
    </row>
    <row r="13" customFormat="false" ht="15" hidden="false" customHeight="true" outlineLevel="0" collapsed="false">
      <c r="A13" s="17" t="s">
        <v>94</v>
      </c>
      <c r="B13" s="18" t="s">
        <v>82</v>
      </c>
      <c r="C13" s="18" t="s">
        <v>127</v>
      </c>
      <c r="D13" s="18" t="n">
        <v>106</v>
      </c>
      <c r="E13" s="19" t="n">
        <v>255778</v>
      </c>
      <c r="F13" s="19" t="n">
        <v>15000</v>
      </c>
    </row>
    <row r="14" customFormat="false" ht="15" hidden="false" customHeight="true" outlineLevel="0" collapsed="false">
      <c r="A14" s="20" t="s">
        <v>95</v>
      </c>
      <c r="B14" s="21" t="s">
        <v>84</v>
      </c>
      <c r="C14" s="21" t="s">
        <v>127</v>
      </c>
      <c r="D14" s="21" t="n">
        <v>91</v>
      </c>
      <c r="E14" s="22" t="n">
        <v>206024</v>
      </c>
      <c r="F14" s="22" t="n">
        <v>15000</v>
      </c>
    </row>
    <row r="15" customFormat="false" ht="15" hidden="false" customHeight="true" outlineLevel="0" collapsed="false">
      <c r="A15" s="17" t="s">
        <v>96</v>
      </c>
      <c r="B15" s="18" t="s">
        <v>86</v>
      </c>
      <c r="C15" s="18" t="s">
        <v>127</v>
      </c>
      <c r="D15" s="18" t="n">
        <v>86</v>
      </c>
      <c r="E15" s="19" t="n">
        <v>227040</v>
      </c>
      <c r="F15" s="19" t="n">
        <v>15000</v>
      </c>
    </row>
    <row r="16" customFormat="false" ht="15" hidden="false" customHeight="true" outlineLevel="0" collapsed="false">
      <c r="A16" s="20" t="s">
        <v>97</v>
      </c>
      <c r="B16" s="21" t="s">
        <v>88</v>
      </c>
      <c r="C16" s="21" t="s">
        <v>127</v>
      </c>
      <c r="D16" s="21" t="n">
        <v>76</v>
      </c>
      <c r="E16" s="22" t="n">
        <v>203528</v>
      </c>
      <c r="F16" s="22" t="n">
        <v>15000</v>
      </c>
    </row>
    <row r="17" customFormat="false" ht="15" hidden="false" customHeight="true" outlineLevel="0" collapsed="false">
      <c r="A17" s="17" t="s">
        <v>98</v>
      </c>
      <c r="B17" s="18" t="s">
        <v>90</v>
      </c>
      <c r="C17" s="18" t="s">
        <v>127</v>
      </c>
      <c r="D17" s="18" t="n">
        <v>89</v>
      </c>
      <c r="E17" s="19" t="n">
        <v>223479</v>
      </c>
      <c r="F17" s="19" t="n">
        <v>15000</v>
      </c>
    </row>
    <row r="18" customFormat="false" ht="15" hidden="false" customHeight="true" outlineLevel="0" collapsed="false">
      <c r="A18" s="20" t="s">
        <v>99</v>
      </c>
      <c r="B18" s="21" t="s">
        <v>92</v>
      </c>
      <c r="C18" s="21" t="s">
        <v>127</v>
      </c>
      <c r="D18" s="21" t="n">
        <v>102</v>
      </c>
      <c r="E18" s="22" t="n">
        <v>246432</v>
      </c>
      <c r="F18" s="22" t="n">
        <v>15000</v>
      </c>
    </row>
    <row r="19" customFormat="false" ht="15" hidden="false" customHeight="true" outlineLevel="0" collapsed="false">
      <c r="A19" s="17" t="s">
        <v>100</v>
      </c>
      <c r="B19" s="18" t="s">
        <v>79</v>
      </c>
      <c r="C19" s="18" t="s">
        <v>127</v>
      </c>
      <c r="D19" s="18" t="n">
        <v>134</v>
      </c>
      <c r="E19" s="19" t="n">
        <v>309942</v>
      </c>
      <c r="F19" s="19" t="n">
        <v>15000</v>
      </c>
    </row>
    <row r="20" customFormat="false" ht="15" hidden="false" customHeight="true" outlineLevel="0" collapsed="false">
      <c r="A20" s="20" t="s">
        <v>101</v>
      </c>
      <c r="B20" s="21" t="s">
        <v>82</v>
      </c>
      <c r="C20" s="21" t="s">
        <v>127</v>
      </c>
      <c r="D20" s="21" t="n">
        <v>114</v>
      </c>
      <c r="E20" s="22" t="n">
        <v>326838</v>
      </c>
      <c r="F20" s="22" t="n">
        <v>15000</v>
      </c>
    </row>
    <row r="21" customFormat="false" ht="15" hidden="false" customHeight="true" outlineLevel="0" collapsed="false">
      <c r="A21" s="17" t="s">
        <v>102</v>
      </c>
      <c r="B21" s="18" t="s">
        <v>84</v>
      </c>
      <c r="C21" s="18" t="s">
        <v>127</v>
      </c>
      <c r="D21" s="18" t="n">
        <v>85</v>
      </c>
      <c r="E21" s="19" t="n">
        <v>241315</v>
      </c>
      <c r="F21" s="19" t="n">
        <v>15000</v>
      </c>
    </row>
    <row r="22" customFormat="false" ht="15" hidden="false" customHeight="true" outlineLevel="0" collapsed="false">
      <c r="A22" s="20" t="s">
        <v>103</v>
      </c>
      <c r="B22" s="21" t="s">
        <v>86</v>
      </c>
      <c r="C22" s="21" t="s">
        <v>127</v>
      </c>
      <c r="D22" s="21" t="n">
        <v>92</v>
      </c>
      <c r="E22" s="22" t="n">
        <v>266432</v>
      </c>
      <c r="F22" s="22" t="n">
        <v>15000</v>
      </c>
    </row>
    <row r="23" customFormat="false" ht="15" hidden="false" customHeight="true" outlineLevel="0" collapsed="false">
      <c r="A23" s="17" t="s">
        <v>104</v>
      </c>
      <c r="B23" s="18" t="s">
        <v>88</v>
      </c>
      <c r="C23" s="18" t="s">
        <v>127</v>
      </c>
      <c r="D23" s="18" t="n">
        <v>95</v>
      </c>
      <c r="E23" s="19" t="n">
        <v>240920</v>
      </c>
      <c r="F23" s="19" t="n">
        <v>15000</v>
      </c>
    </row>
    <row r="24" customFormat="false" ht="15" hidden="false" customHeight="true" outlineLevel="0" collapsed="false">
      <c r="A24" s="23" t="s">
        <v>105</v>
      </c>
      <c r="B24" s="24" t="s">
        <v>90</v>
      </c>
      <c r="C24" s="24" t="s">
        <v>127</v>
      </c>
      <c r="D24" s="24" t="n">
        <v>15</v>
      </c>
      <c r="E24" s="25" t="n">
        <v>43200</v>
      </c>
      <c r="F24" s="25" t="n">
        <v>15000</v>
      </c>
    </row>
    <row r="25" customFormat="false" ht="15" hidden="false" customHeight="true" outlineLevel="0" collapsed="false">
      <c r="A25" s="17" t="s">
        <v>106</v>
      </c>
      <c r="B25" s="18" t="s">
        <v>92</v>
      </c>
      <c r="C25" s="18" t="s">
        <v>127</v>
      </c>
      <c r="D25" s="18" t="n">
        <v>105</v>
      </c>
      <c r="E25" s="19" t="n">
        <v>259665</v>
      </c>
      <c r="F25" s="19" t="n">
        <v>15000</v>
      </c>
    </row>
    <row r="26" customFormat="false" ht="15" hidden="false" customHeight="true" outlineLevel="0" collapsed="false">
      <c r="A26" s="20" t="s">
        <v>107</v>
      </c>
      <c r="B26" s="21" t="s">
        <v>79</v>
      </c>
      <c r="C26" s="21" t="s">
        <v>127</v>
      </c>
      <c r="D26" s="21" t="n">
        <v>119</v>
      </c>
      <c r="E26" s="22" t="n">
        <v>309876</v>
      </c>
      <c r="F26" s="22" t="n">
        <v>15000</v>
      </c>
    </row>
    <row r="27" customFormat="false" ht="15" hidden="false" customHeight="true" outlineLevel="0" collapsed="false">
      <c r="A27" s="17" t="s">
        <v>108</v>
      </c>
      <c r="B27" s="18" t="s">
        <v>82</v>
      </c>
      <c r="C27" s="18" t="s">
        <v>127</v>
      </c>
      <c r="D27" s="18" t="n">
        <v>107</v>
      </c>
      <c r="E27" s="19" t="n">
        <v>276916</v>
      </c>
      <c r="F27" s="19" t="n">
        <v>15000</v>
      </c>
    </row>
    <row r="28" customFormat="false" ht="15" hidden="false" customHeight="true" outlineLevel="0" collapsed="false">
      <c r="A28" s="20" t="s">
        <v>109</v>
      </c>
      <c r="B28" s="21" t="s">
        <v>84</v>
      </c>
      <c r="C28" s="21" t="s">
        <v>127</v>
      </c>
      <c r="D28" s="21" t="n">
        <v>78</v>
      </c>
      <c r="E28" s="22" t="n">
        <v>189852</v>
      </c>
      <c r="F28" s="22" t="n">
        <v>15000</v>
      </c>
    </row>
    <row r="29" customFormat="false" ht="15" hidden="false" customHeight="true" outlineLevel="0" collapsed="false">
      <c r="A29" s="17" t="s">
        <v>110</v>
      </c>
      <c r="B29" s="18" t="s">
        <v>86</v>
      </c>
      <c r="C29" s="18" t="s">
        <v>127</v>
      </c>
      <c r="D29" s="18" t="n">
        <v>76</v>
      </c>
      <c r="E29" s="19" t="n">
        <v>200108</v>
      </c>
      <c r="F29" s="19" t="n">
        <v>15000</v>
      </c>
    </row>
    <row r="30" customFormat="false" ht="15" hidden="false" customHeight="true" outlineLevel="0" collapsed="false">
      <c r="A30" s="20" t="s">
        <v>111</v>
      </c>
      <c r="B30" s="21" t="s">
        <v>88</v>
      </c>
      <c r="C30" s="21" t="s">
        <v>127</v>
      </c>
      <c r="D30" s="21" t="n">
        <v>75</v>
      </c>
      <c r="E30" s="22" t="n">
        <v>170850</v>
      </c>
      <c r="F30" s="22" t="n">
        <v>15000</v>
      </c>
    </row>
    <row r="31" customFormat="false" ht="15" hidden="false" customHeight="true" outlineLevel="0" collapsed="false">
      <c r="A31" s="17" t="s">
        <v>112</v>
      </c>
      <c r="B31" s="18" t="s">
        <v>90</v>
      </c>
      <c r="C31" s="18" t="s">
        <v>127</v>
      </c>
      <c r="D31" s="18" t="n">
        <v>72</v>
      </c>
      <c r="E31" s="19" t="n">
        <v>188208</v>
      </c>
      <c r="F31" s="19" t="n">
        <v>15000</v>
      </c>
    </row>
    <row r="32" customFormat="false" ht="15" hidden="false" customHeight="true" outlineLevel="0" collapsed="false">
      <c r="A32" s="20" t="s">
        <v>113</v>
      </c>
      <c r="B32" s="21" t="s">
        <v>92</v>
      </c>
      <c r="C32" s="21" t="s">
        <v>127</v>
      </c>
      <c r="D32" s="21" t="n">
        <v>109</v>
      </c>
      <c r="E32" s="22" t="n">
        <v>314356</v>
      </c>
      <c r="F32" s="22" t="n">
        <v>15000</v>
      </c>
    </row>
    <row r="33" customFormat="false" ht="15" hidden="false" customHeight="true" outlineLevel="0" collapsed="false">
      <c r="A33" s="17" t="s">
        <v>114</v>
      </c>
      <c r="B33" s="18" t="s">
        <v>79</v>
      </c>
      <c r="C33" s="18" t="s">
        <v>127</v>
      </c>
      <c r="D33" s="18" t="n">
        <v>129</v>
      </c>
      <c r="E33" s="19" t="n">
        <v>339012</v>
      </c>
      <c r="F33" s="19" t="n">
        <v>15000</v>
      </c>
    </row>
    <row r="34" customFormat="false" ht="15" hidden="false" customHeight="true" outlineLevel="0" collapsed="false">
      <c r="A34" s="20" t="s">
        <v>115</v>
      </c>
      <c r="B34" s="21" t="s">
        <v>82</v>
      </c>
      <c r="C34" s="21" t="s">
        <v>127</v>
      </c>
      <c r="D34" s="21" t="n">
        <v>122</v>
      </c>
      <c r="E34" s="22" t="n">
        <v>269132</v>
      </c>
      <c r="F34" s="22" t="n">
        <v>15000</v>
      </c>
    </row>
    <row r="36" customFormat="false" ht="21.75" hidden="false" customHeight="true" outlineLevel="0" collapsed="false">
      <c r="A36" s="26" t="s">
        <v>128</v>
      </c>
      <c r="B36" s="26"/>
      <c r="C36" s="26"/>
      <c r="D36" s="26"/>
      <c r="E36" s="26"/>
      <c r="F36" s="26"/>
    </row>
  </sheetData>
  <mergeCells count="3">
    <mergeCell ref="A1:F1"/>
    <mergeCell ref="A2:F2"/>
    <mergeCell ref="A36:F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2026-08-26T10:26:14Z</dcterms:created>
  <dc:creator>openpyxl</dc:creator>
  <dc:description/>
  <dc:language>en-US</dc:language>
  <cp:lastModifiedBy/>
  <dcterms:modified xsi:type="dcterms:W3CDTF">2026-09-04T03:37:51Z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