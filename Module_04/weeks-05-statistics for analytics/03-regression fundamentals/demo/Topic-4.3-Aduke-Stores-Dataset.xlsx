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Provenance" sheetId="1" state="visible" r:id="rId3"/>
    <sheet name="Tutor Answer Key" sheetId="2" state="visible" r:id="rId4"/>
    <sheet name="Ikeja Marketing Data" sheetId="3" state="visible" r:id="rId5"/>
    <sheet name="Yaba Marketing Data" sheetId="4" state="visible" r:id="rId6"/>
    <sheet name="Staffing vs Sales Data"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<sst xmlns="http://schemas.openxmlformats.org/spreadsheetml/2006/main" count="217" uniqueCount="91">
  <si>
    <t xml:space="preserve">Dataset Provenance — Topic 4.3, Regression Fundamentals</t>
  </si>
  <si>
    <t xml:space="preserve">Dataset type</t>
  </si>
  <si>
    <t xml:space="preserve">Synthetic. Generated with a Python script (numpy / random), not collected from real transactions, surveys, or any third-party source.</t>
  </si>
  <si>
    <t xml:space="preserve">Business scenario</t>
  </si>
  <si>
    <t xml:space="preserve">Aduke Stores is a fictional Lagos-based retail chain, created for this training programme. Any resemblance to a real business is coincidental.</t>
  </si>
  <si>
    <t xml:space="preserve">Why synthetic data was used</t>
  </si>
  <si>
    <t xml:space="preserve">Synthetic data allows specific, verifiable statistical properties to be built into the dataset on purpose, so every exercise has a checkable expected output. See 'Engineered property' below for what was deliberately built into this specific dataset.</t>
  </si>
  <si>
    <t xml:space="preserve">Engineered property for this topic</t>
  </si>
  <si>
    <t xml:space="preserve">Ikeja and Yaba marketing data are reused from Topic 4.2. The Staffing vs Sales dataset was built from a diminishing-returns (non-linear) curve, so a straight-line regression fit deliberately over-predicts at both ends of the tested range, to teach the limits of linear regression.</t>
  </si>
  <si>
    <t xml:space="preserve">Realism checks applied</t>
  </si>
  <si>
    <t xml:space="preserve">Values were calibrated to stay within plausible real-world ranges for Nigerian retail (prices, staffing levels, daily footfall, sample sizes) and include realistic day-to-day noise, weekday/weekend patterns, and imperfect (not artificially perfect) relationships between variables.</t>
  </si>
  <si>
    <t xml:space="preserve">Personal data</t>
  </si>
  <si>
    <t xml:space="preserve">None. No real names, contact details, or identifiable individuals are used anywhere in this file.</t>
  </si>
  <si>
    <t xml:space="preserve">Verification</t>
  </si>
  <si>
    <t xml:space="preserve">Every statistic shown in the Tutor Answer Key sheet was computed independently in Python, then recalculated live in Excel and confirmed to match, with zero formula errors, before this file was finalised.</t>
  </si>
  <si>
    <t xml:space="preserve">If asked whether this data is real: it is not. It is disclosed, verified, illustrative training data, built to be realistic in shape and behaviour, not sourced from an external dataset.</t>
  </si>
  <si>
    <t xml:space="preserve">TUTOR ANSWER KEY — do not share this sheet with trainees before the session</t>
  </si>
  <si>
    <t xml:space="preserve">All values computed with live SLOPE / INTERCEPT / RSQ formulas from each data sheet.</t>
  </si>
  <si>
    <t xml:space="preserve">Ikeja Branch — Regression: Sales on Marketing Spend</t>
  </si>
  <si>
    <t xml:space="preserve">Slope (SLOPE)</t>
  </si>
  <si>
    <t xml:space="preserve">Expected ≈ 3.4743</t>
  </si>
  <si>
    <t xml:space="preserve">Intercept (INTERCEPT)</t>
  </si>
  <si>
    <t xml:space="preserve">Expected ≈ 171,491.13</t>
  </si>
  <si>
    <t xml:space="preserve">R-squared (RSQ)</t>
  </si>
  <si>
    <t xml:space="preserve">Expected ≈ 0.6133</t>
  </si>
  <si>
    <t xml:space="preserve">Predicted sales at spend = 30,000</t>
  </si>
  <si>
    <t xml:space="preserve">Expected ≈ 275,720 (within observed range)</t>
  </si>
  <si>
    <t xml:space="preserve">Predicted sales at spend = 150,000</t>
  </si>
  <si>
    <t xml:space="preserve">Expected ≈ 692,637 (EXTRAPOLATION, observed data only goes up to ~69,535)</t>
  </si>
  <si>
    <t xml:space="preserve">Interpretation: slope ≈ 3.47 means each extra ₦1 of daily ad spend is associated with about ₦3.47 more in daily sales, on average, within the tested range (₦8,584 to ₦69,535). R² ≈ 0.61 means roughly 61% of the day-to-day variation in sales is explained by spend alone; the rest comes from other factors. The 150,000 prediction is a trap question: it is far outside the tested spend range, so the model's straight-line assumption is not verified out there, and this figure should not be reported to the branch manager as reliable.</t>
  </si>
  <si>
    <t xml:space="preserve">Yaba Branch — Regression: Sales on Marketing Spend</t>
  </si>
  <si>
    <t xml:space="preserve">Expected ≈ 0.9257</t>
  </si>
  <si>
    <t xml:space="preserve">Expected ≈ 185,222.98</t>
  </si>
  <si>
    <t xml:space="preserve">Expected ≈ 0.0738</t>
  </si>
  <si>
    <t xml:space="preserve">Interpretation: a line can always be fitted, even to weak data. R² ≈ 0.07 means spend explains only about 7% of the variation in Yaba's daily sales; 93% comes from other factors the model does not capture. Model answer: this regression line is not reliable enough to base a budget decision on. A low R² is a valid, useful finding, it tells the manager NOT to trust spend as a sales driver here, not a failed exercise.</t>
  </si>
  <si>
    <t xml:space="preserve">Staffing vs Sales — Regression and Its Limits</t>
  </si>
  <si>
    <t xml:space="preserve">Expected ≈ 18,929.6</t>
  </si>
  <si>
    <t xml:space="preserve">Expected ≈ 239,033.2</t>
  </si>
  <si>
    <t xml:space="preserve">Expected ≈ 0.8492</t>
  </si>
  <si>
    <t xml:space="preserve">Predicted sales at staff = 2</t>
  </si>
  <si>
    <t xml:space="preserve">Expected ≈ 276,893 (actual data ≈ 221,000–255,000, model OVER-predicts)</t>
  </si>
  <si>
    <t xml:space="preserve">Predicted sales at staff = 12</t>
  </si>
  <si>
    <t xml:space="preserve">Expected ≈ 466,189 (actual data ≈ 412,000–459,000, model OVER-predicts)</t>
  </si>
  <si>
    <t xml:space="preserve">Predicted sales at staff = 20</t>
  </si>
  <si>
    <t xml:space="preserve">Expected ≈ 617,626 (EXTRAPOLATION, no staffing above 12 was ever tested)</t>
  </si>
  <si>
    <t xml:space="preserve">Facilitator teaching point (model answer for Independent tier): R² ≈ 0.85 looks strong, and a trainee could easily stop there and declare the linear model a success. It is not the full story. Plotting the scatter reveals sales rise steeply from 2 to about 8 staff, then flatten out, a diminishing-returns curve, most likely because the shop floor and tills become saturated and extra staff stop adding proportional value. A straight line systematically OVER-predicts at both the low end (2 staff) and the high end (12 staff) and under-predicts in the middle, a classic sign the relationship is not actually linear even though R² looks respectable. The strongest answers plot the data, spot the curve, state that the straight-line model should not be used to justify hiring beyond 10 to 12 staff, and recommend NOT extrapolating to 20 staff at all, since that staffing level was never tested and the true relationship is already flattening within the tested range.</t>
  </si>
  <si>
    <t xml:space="preserve">Aduke Stores — Ikeja Branch: 24-Day Marketing Spend Test (1–24 Dec 2025)</t>
  </si>
  <si>
    <t xml:space="preserve">Topic 4.3 dataset — Concept session worked example / Lab Guided tier. Same data as Topic 4.2. Illustrative figures for training purposes.</t>
  </si>
  <si>
    <t xml:space="preserve">Date</t>
  </si>
  <si>
    <t xml:space="preserve">Day of Week</t>
  </si>
  <si>
    <t xml:space="preserve">Marketing Spend (NGN)</t>
  </si>
  <si>
    <t xml:space="preserve">Daily Sales (NGN)</t>
  </si>
  <si>
    <t xml:space="preserve">2025-12-01</t>
  </si>
  <si>
    <t xml:space="preserve">Monday</t>
  </si>
  <si>
    <t xml:space="preserve">2025-12-02</t>
  </si>
  <si>
    <t xml:space="preserve">Tuesday</t>
  </si>
  <si>
    <t xml:space="preserve">2025-12-03</t>
  </si>
  <si>
    <t xml:space="preserve">Wednesday</t>
  </si>
  <si>
    <t xml:space="preserve">2025-12-04</t>
  </si>
  <si>
    <t xml:space="preserve">Thursday</t>
  </si>
  <si>
    <t xml:space="preserve">2025-12-05</t>
  </si>
  <si>
    <t xml:space="preserve">Friday</t>
  </si>
  <si>
    <t xml:space="preserve">2025-12-06</t>
  </si>
  <si>
    <t xml:space="preserve">Saturday</t>
  </si>
  <si>
    <t xml:space="preserve">2025-12-07</t>
  </si>
  <si>
    <t xml:space="preserve">Sunday</t>
  </si>
  <si>
    <t xml:space="preserve">2025-12-08</t>
  </si>
  <si>
    <t xml:space="preserve">2025-12-09</t>
  </si>
  <si>
    <t xml:space="preserve">2025-12-10</t>
  </si>
  <si>
    <t xml:space="preserve">2025-12-11</t>
  </si>
  <si>
    <t xml:space="preserve">2025-12-12</t>
  </si>
  <si>
    <t xml:space="preserve">2025-12-13</t>
  </si>
  <si>
    <t xml:space="preserve">2025-12-14</t>
  </si>
  <si>
    <t xml:space="preserve">2025-12-15</t>
  </si>
  <si>
    <t xml:space="preserve">2025-12-16</t>
  </si>
  <si>
    <t xml:space="preserve">2025-12-17</t>
  </si>
  <si>
    <t xml:space="preserve">2025-12-18</t>
  </si>
  <si>
    <t xml:space="preserve">2025-12-19</t>
  </si>
  <si>
    <t xml:space="preserve">2025-12-20</t>
  </si>
  <si>
    <t xml:space="preserve">2025-12-21</t>
  </si>
  <si>
    <t xml:space="preserve">2025-12-22</t>
  </si>
  <si>
    <t xml:space="preserve">2025-12-23</t>
  </si>
  <si>
    <t xml:space="preserve">2025-12-24</t>
  </si>
  <si>
    <t xml:space="preserve">Reused from Topic 4.2 (r ≈ 0.78). Now used to fit a regression line and predict sales for a given spend level.</t>
  </si>
  <si>
    <t xml:space="preserve">Aduke Stores — Yaba Branch: 24-Day Marketing Spend Test (1–24 Dec 2025)</t>
  </si>
  <si>
    <t xml:space="preserve">Topic 4.3 dataset — Lab Semi-Guided tier. Same data as Topic 4.2. Illustrative figures for training purposes.</t>
  </si>
  <si>
    <t xml:space="preserve">Reused from Topic 4.2 (r ≈ 0.27). Used to show what a regression line looks like, and means, when the underlying relationship is weak.</t>
  </si>
  <si>
    <t xml:space="preserve">Aduke Stores — Trial Branch: Staff on Shift vs Daily Sales (24 Sample Days)</t>
  </si>
  <si>
    <t xml:space="preserve">Topic 4.3 dataset — Lab Independent tier. Illustrative figures for training purposes.</t>
  </si>
  <si>
    <t xml:space="preserve">Staff on Shift</t>
  </si>
  <si>
    <t xml:space="preserve">A trial branch varied staffing levels from 2 to 12 people per shift to test the effect on sales. Sales rise sharply at first, then level off, a pattern a straight line does not fully capture.</t>
  </si>
</sst>
</file>

<file path=xl/styles.xml><?xml version="1.0" encoding="utf-8"?>
<styleSheet xmlns="http://schemas.openxmlformats.org/spreadsheetml/2006/main">
  <numFmts count="6">
    <numFmt numFmtId="164" formatCode="General"/>
    <numFmt numFmtId="165" formatCode="#,##0.0000"/>
    <numFmt numFmtId="166" formatCode="#,##0.00"/>
    <numFmt numFmtId="167" formatCode="0.0000"/>
    <numFmt numFmtId="168" formatCode="#,##0"/>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F4E78"/>
      <name val="Arial"/>
      <family val="0"/>
      <charset val="1"/>
    </font>
    <font>
      <sz val="10"/>
      <name val="Arial"/>
      <family val="0"/>
      <charset val="1"/>
    </font>
    <font>
      <i val="true"/>
      <sz val="9"/>
      <color rgb="FF595959"/>
      <name val="Arial"/>
      <family val="0"/>
      <charset val="1"/>
    </font>
    <font>
      <b val="true"/>
      <sz val="13"/>
      <color rgb="FFFFFFFF"/>
      <name val="Arial"/>
      <family val="0"/>
      <charset val="1"/>
    </font>
    <font>
      <b val="true"/>
      <sz val="10"/>
      <name val="Arial"/>
      <family val="0"/>
      <charset val="1"/>
    </font>
    <font>
      <b val="true"/>
      <sz val="11"/>
      <color rgb="FFFFFFFF"/>
      <name val="Arial"/>
      <family val="0"/>
      <charset val="1"/>
    </font>
    <font>
      <sz val="11"/>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F8E1"/>
        <bgColor rgb="FFFFFFFF"/>
      </patternFill>
    </fill>
    <fill>
      <patternFill patternType="solid">
        <fgColor rgb="FFC00000"/>
        <bgColor rgb="FF800000"/>
      </patternFill>
    </fill>
    <fill>
      <patternFill patternType="solid">
        <fgColor rgb="FF2E75B6"/>
        <bgColor rgb="FF0066CC"/>
      </patternFill>
    </fill>
    <fill>
      <patternFill patternType="solid">
        <fgColor rgb="FFEAF1F8"/>
        <bgColor rgb="FFFFF8E1"/>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bottom" textRotation="0" wrapText="false" indent="0" shrinkToFit="false"/>
      <protection locked="true" hidden="false"/>
    </xf>
    <xf numFmtId="168" fontId="11" fillId="6"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8" fontId="11"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E1"/>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24" hidden="false" customHeight="true" outlineLevel="0" collapsed="false">
      <c r="A1" s="1" t="s">
        <v>0</v>
      </c>
      <c r="B1" s="1"/>
    </row>
    <row r="3" customFormat="false" ht="45" hidden="false" customHeight="true" outlineLevel="0" collapsed="false">
      <c r="A3" s="2" t="s">
        <v>1</v>
      </c>
      <c r="B3" s="3" t="s">
        <v>2</v>
      </c>
    </row>
    <row r="4" customFormat="false" ht="45" hidden="false" customHeight="true" outlineLevel="0" collapsed="false">
      <c r="A4" s="2" t="s">
        <v>3</v>
      </c>
      <c r="B4" s="3" t="s">
        <v>4</v>
      </c>
    </row>
    <row r="5" customFormat="false" ht="54.75" hidden="false" customHeight="true" outlineLevel="0" collapsed="false">
      <c r="A5" s="2" t="s">
        <v>5</v>
      </c>
      <c r="B5" s="3" t="s">
        <v>6</v>
      </c>
    </row>
    <row r="6" customFormat="false" ht="60" hidden="false" customHeight="true" outlineLevel="0" collapsed="false">
      <c r="A6" s="2" t="s">
        <v>7</v>
      </c>
      <c r="B6" s="3" t="s">
        <v>8</v>
      </c>
    </row>
    <row r="7" customFormat="false" ht="60" hidden="false" customHeight="true" outlineLevel="0" collapsed="false">
      <c r="A7" s="2" t="s">
        <v>9</v>
      </c>
      <c r="B7" s="3" t="s">
        <v>10</v>
      </c>
    </row>
    <row r="8" customFormat="false" ht="34.5" hidden="false" customHeight="true" outlineLevel="0" collapsed="false">
      <c r="A8" s="2" t="s">
        <v>11</v>
      </c>
      <c r="B8" s="3" t="s">
        <v>12</v>
      </c>
    </row>
    <row r="9" customFormat="false" ht="54.75" hidden="false" customHeight="true" outlineLevel="0" collapsed="false">
      <c r="A9" s="2" t="s">
        <v>13</v>
      </c>
      <c r="B9" s="3" t="s">
        <v>14</v>
      </c>
    </row>
    <row r="10" customFormat="false" ht="54.75" hidden="false" customHeight="true" outlineLevel="0" collapsed="false">
      <c r="A10" s="4" t="s">
        <v>15</v>
      </c>
      <c r="B10" s="4"/>
    </row>
    <row r="11" customFormat="false" ht="15" hidden="false" customHeight="false" outlineLevel="0" collapsed="false">
      <c r="A11" s="4"/>
      <c r="B11" s="4"/>
    </row>
    <row r="12" customFormat="false" ht="15" hidden="false" customHeight="false" outlineLevel="0" collapsed="false">
      <c r="A12" s="4"/>
      <c r="B12" s="4"/>
    </row>
  </sheetData>
  <mergeCells count="2">
    <mergeCell ref="A1:B1"/>
    <mergeCell ref="A10:B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 width="36"/>
    <col collapsed="false" customWidth="true" hidden="false" outlineLevel="0" max="2" min="2" style="5" width="18"/>
    <col collapsed="false" customWidth="true" hidden="false" outlineLevel="0" max="3" min="3" style="5" width="46"/>
    <col collapsed="false" customWidth="true" hidden="false" outlineLevel="0" max="4" min="4" style="5" width="4"/>
  </cols>
  <sheetData>
    <row r="1" customFormat="false" ht="21.75" hidden="false" customHeight="true" outlineLevel="0" collapsed="false">
      <c r="A1" s="6" t="s">
        <v>16</v>
      </c>
      <c r="B1" s="6"/>
      <c r="C1" s="6"/>
      <c r="D1" s="6"/>
    </row>
    <row r="2" customFormat="false" ht="15" hidden="false" customHeight="true" outlineLevel="0" collapsed="false">
      <c r="A2" s="7" t="s">
        <v>17</v>
      </c>
      <c r="B2" s="7"/>
      <c r="C2" s="7"/>
      <c r="D2" s="7"/>
    </row>
    <row r="4" customFormat="false" ht="21.75" hidden="false" customHeight="true" outlineLevel="0" collapsed="false">
      <c r="A4" s="8" t="s">
        <v>18</v>
      </c>
      <c r="B4" s="8"/>
      <c r="C4" s="8"/>
      <c r="D4" s="8"/>
    </row>
    <row r="5" customFormat="false" ht="15" hidden="false" customHeight="true" outlineLevel="0" collapsed="false">
      <c r="A5" s="9" t="s">
        <v>19</v>
      </c>
      <c r="B5" s="10" t="n">
        <f aca="false">SLOPE('Ikeja Marketing Data'!D5:D28,'Ikeja Marketing Data'!C5:C28)</f>
        <v>3.47430833581503</v>
      </c>
      <c r="C5" s="11" t="s">
        <v>20</v>
      </c>
      <c r="D5" s="12"/>
    </row>
    <row r="6" customFormat="false" ht="15" hidden="false" customHeight="true" outlineLevel="0" collapsed="false">
      <c r="A6" s="9" t="s">
        <v>21</v>
      </c>
      <c r="B6" s="13" t="n">
        <f aca="false">INTERCEPT('Ikeja Marketing Data'!D5:D28,'Ikeja Marketing Data'!C5:C28)</f>
        <v>171491.128888337</v>
      </c>
      <c r="C6" s="11" t="s">
        <v>22</v>
      </c>
      <c r="D6" s="12"/>
    </row>
    <row r="7" customFormat="false" ht="15" hidden="false" customHeight="true" outlineLevel="0" collapsed="false">
      <c r="A7" s="9" t="s">
        <v>23</v>
      </c>
      <c r="B7" s="14" t="n">
        <f aca="false">RSQ('Ikeja Marketing Data'!D5:D28,'Ikeja Marketing Data'!C5:C28)</f>
        <v>0.613328277322165</v>
      </c>
      <c r="C7" s="11" t="s">
        <v>24</v>
      </c>
      <c r="D7" s="12"/>
    </row>
    <row r="8" customFormat="false" ht="15" hidden="false" customHeight="true" outlineLevel="0" collapsed="false">
      <c r="A8" s="9" t="s">
        <v>25</v>
      </c>
      <c r="B8" s="15" t="n">
        <f aca="false">SLOPE('Ikeja Marketing Data'!D5:D28,'Ikeja Marketing Data'!C5:C28)*30000+INTERCEPT('Ikeja Marketing Data'!D5:D28,'Ikeja Marketing Data'!C5:C28)</f>
        <v>275720.378962788</v>
      </c>
      <c r="C8" s="11" t="s">
        <v>26</v>
      </c>
      <c r="D8" s="12"/>
    </row>
    <row r="9" customFormat="false" ht="15" hidden="false" customHeight="true" outlineLevel="0" collapsed="false">
      <c r="A9" s="9" t="s">
        <v>27</v>
      </c>
      <c r="B9" s="15" t="n">
        <f aca="false">SLOPE('Ikeja Marketing Data'!D5:D28,'Ikeja Marketing Data'!C5:C28)*150000+INTERCEPT('Ikeja Marketing Data'!D5:D28,'Ikeja Marketing Data'!C5:C28)</f>
        <v>692637.379260591</v>
      </c>
      <c r="C9" s="11" t="s">
        <v>28</v>
      </c>
      <c r="D9" s="12"/>
    </row>
    <row r="10" customFormat="false" ht="90" hidden="false" customHeight="true" outlineLevel="0" collapsed="false">
      <c r="A10" s="16" t="s">
        <v>29</v>
      </c>
      <c r="B10" s="16"/>
      <c r="C10" s="16"/>
      <c r="D10" s="16"/>
    </row>
    <row r="12" customFormat="false" ht="21.75" hidden="false" customHeight="true" outlineLevel="0" collapsed="false">
      <c r="A12" s="8" t="s">
        <v>30</v>
      </c>
      <c r="B12" s="8"/>
      <c r="C12" s="8"/>
      <c r="D12" s="8"/>
    </row>
    <row r="13" customFormat="false" ht="15" hidden="false" customHeight="true" outlineLevel="0" collapsed="false">
      <c r="A13" s="9" t="s">
        <v>19</v>
      </c>
      <c r="B13" s="10" t="n">
        <f aca="false">SLOPE('Yaba Marketing Data'!D5:D28,'Yaba Marketing Data'!C5:C28)</f>
        <v>0.925694096707144</v>
      </c>
      <c r="C13" s="11" t="s">
        <v>31</v>
      </c>
      <c r="D13" s="12"/>
    </row>
    <row r="14" customFormat="false" ht="15" hidden="false" customHeight="true" outlineLevel="0" collapsed="false">
      <c r="A14" s="9" t="s">
        <v>21</v>
      </c>
      <c r="B14" s="13" t="n">
        <f aca="false">INTERCEPT('Yaba Marketing Data'!D5:D28,'Yaba Marketing Data'!C5:C28)</f>
        <v>185222.980989748</v>
      </c>
      <c r="C14" s="11" t="s">
        <v>32</v>
      </c>
      <c r="D14" s="12"/>
    </row>
    <row r="15" customFormat="false" ht="15" hidden="false" customHeight="true" outlineLevel="0" collapsed="false">
      <c r="A15" s="9" t="s">
        <v>23</v>
      </c>
      <c r="B15" s="14" t="n">
        <f aca="false">RSQ('Yaba Marketing Data'!D5:D28,'Yaba Marketing Data'!C5:C28)</f>
        <v>0.073847931873423</v>
      </c>
      <c r="C15" s="11" t="s">
        <v>33</v>
      </c>
      <c r="D15" s="12"/>
    </row>
    <row r="16" customFormat="false" ht="69.75" hidden="false" customHeight="true" outlineLevel="0" collapsed="false">
      <c r="A16" s="16" t="s">
        <v>34</v>
      </c>
      <c r="B16" s="16"/>
      <c r="C16" s="16"/>
      <c r="D16" s="16"/>
    </row>
    <row r="18" customFormat="false" ht="21.75" hidden="false" customHeight="true" outlineLevel="0" collapsed="false">
      <c r="A18" s="8" t="s">
        <v>35</v>
      </c>
      <c r="B18" s="8"/>
      <c r="C18" s="8"/>
      <c r="D18" s="8"/>
    </row>
    <row r="19" customFormat="false" ht="15" hidden="false" customHeight="true" outlineLevel="0" collapsed="false">
      <c r="A19" s="9" t="s">
        <v>19</v>
      </c>
      <c r="B19" s="17" t="n">
        <f aca="false">SLOPE('Staffing vs Sales Data'!D5:D28,'Staffing vs Sales Data'!C5:C28)</f>
        <v>18929.6372331341</v>
      </c>
      <c r="C19" s="11" t="s">
        <v>36</v>
      </c>
      <c r="D19" s="12"/>
    </row>
    <row r="20" customFormat="false" ht="15" hidden="false" customHeight="true" outlineLevel="0" collapsed="false">
      <c r="A20" s="9" t="s">
        <v>21</v>
      </c>
      <c r="B20" s="17" t="n">
        <f aca="false">INTERCEPT('Staffing vs Sales Data'!D5:D28,'Staffing vs Sales Data'!C5:C28)</f>
        <v>239033.205636208</v>
      </c>
      <c r="C20" s="11" t="s">
        <v>37</v>
      </c>
      <c r="D20" s="12"/>
    </row>
    <row r="21" customFormat="false" ht="15" hidden="false" customHeight="true" outlineLevel="0" collapsed="false">
      <c r="A21" s="9" t="s">
        <v>23</v>
      </c>
      <c r="B21" s="14" t="n">
        <f aca="false">RSQ('Staffing vs Sales Data'!D5:D28,'Staffing vs Sales Data'!C5:C28)</f>
        <v>0.849022148611277</v>
      </c>
      <c r="C21" s="11" t="s">
        <v>38</v>
      </c>
      <c r="D21" s="12"/>
    </row>
    <row r="22" customFormat="false" ht="15" hidden="false" customHeight="true" outlineLevel="0" collapsed="false">
      <c r="A22" s="9" t="s">
        <v>39</v>
      </c>
      <c r="B22" s="15" t="n">
        <f aca="false">SLOPE('Staffing vs Sales Data'!D5:D28,'Staffing vs Sales Data'!C5:C28)*2+INTERCEPT('Staffing vs Sales Data'!D5:D28,'Staffing vs Sales Data'!C5:C28)</f>
        <v>276892.480102477</v>
      </c>
      <c r="C22" s="11" t="s">
        <v>40</v>
      </c>
      <c r="D22" s="12"/>
    </row>
    <row r="23" customFormat="false" ht="15" hidden="false" customHeight="true" outlineLevel="0" collapsed="false">
      <c r="A23" s="9" t="s">
        <v>41</v>
      </c>
      <c r="B23" s="15" t="n">
        <f aca="false">SLOPE('Staffing vs Sales Data'!D5:D28,'Staffing vs Sales Data'!C5:C28)*12+INTERCEPT('Staffing vs Sales Data'!D5:D28,'Staffing vs Sales Data'!C5:C28)</f>
        <v>466188.852433817</v>
      </c>
      <c r="C23" s="11" t="s">
        <v>42</v>
      </c>
      <c r="D23" s="12"/>
    </row>
    <row r="24" customFormat="false" ht="15" hidden="false" customHeight="true" outlineLevel="0" collapsed="false">
      <c r="A24" s="9" t="s">
        <v>43</v>
      </c>
      <c r="B24" s="15" t="n">
        <f aca="false">SLOPE('Staffing vs Sales Data'!D5:D28,'Staffing vs Sales Data'!C5:C28)*20+INTERCEPT('Staffing vs Sales Data'!D5:D28,'Staffing vs Sales Data'!C5:C28)</f>
        <v>617625.95029889</v>
      </c>
      <c r="C24" s="11" t="s">
        <v>44</v>
      </c>
      <c r="D24" s="12"/>
    </row>
    <row r="25" customFormat="false" ht="129.75" hidden="false" customHeight="true" outlineLevel="0" collapsed="false">
      <c r="A25" s="16" t="s">
        <v>45</v>
      </c>
      <c r="B25" s="16"/>
      <c r="C25" s="16"/>
      <c r="D25" s="16"/>
    </row>
  </sheetData>
  <mergeCells count="8">
    <mergeCell ref="A1:D1"/>
    <mergeCell ref="A2:D2"/>
    <mergeCell ref="A4:D4"/>
    <mergeCell ref="A10:D10"/>
    <mergeCell ref="A12:D12"/>
    <mergeCell ref="A16:D16"/>
    <mergeCell ref="A18:D18"/>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5" width="14"/>
    <col collapsed="false" customWidth="true" hidden="false" outlineLevel="0" max="3" min="3" style="5" width="20"/>
    <col collapsed="false" customWidth="true" hidden="false" outlineLevel="0" max="4" min="4" style="5" width="18"/>
  </cols>
  <sheetData>
    <row r="1" customFormat="false" ht="24" hidden="false" customHeight="true" outlineLevel="0" collapsed="false">
      <c r="A1" s="18" t="s">
        <v>46</v>
      </c>
      <c r="B1" s="18"/>
      <c r="C1" s="18"/>
      <c r="D1" s="18"/>
    </row>
    <row r="2" customFormat="false" ht="15" hidden="false" customHeight="true" outlineLevel="0" collapsed="false">
      <c r="A2" s="7" t="s">
        <v>47</v>
      </c>
      <c r="B2" s="7"/>
      <c r="C2" s="7"/>
      <c r="D2" s="7"/>
    </row>
    <row r="4" customFormat="false" ht="30" hidden="false" customHeight="true" outlineLevel="0" collapsed="false">
      <c r="A4" s="19" t="s">
        <v>48</v>
      </c>
      <c r="B4" s="19" t="s">
        <v>49</v>
      </c>
      <c r="C4" s="19" t="s">
        <v>50</v>
      </c>
      <c r="D4" s="19" t="s">
        <v>51</v>
      </c>
    </row>
    <row r="5" customFormat="false" ht="15" hidden="false" customHeight="true" outlineLevel="0" collapsed="false">
      <c r="A5" s="20" t="s">
        <v>52</v>
      </c>
      <c r="B5" s="20" t="s">
        <v>53</v>
      </c>
      <c r="C5" s="21" t="n">
        <v>59442</v>
      </c>
      <c r="D5" s="21" t="n">
        <v>352129</v>
      </c>
    </row>
    <row r="6" customFormat="false" ht="15" hidden="false" customHeight="true" outlineLevel="0" collapsed="false">
      <c r="A6" s="22" t="s">
        <v>54</v>
      </c>
      <c r="B6" s="22" t="s">
        <v>55</v>
      </c>
      <c r="C6" s="23" t="n">
        <v>22004</v>
      </c>
      <c r="D6" s="23" t="n">
        <v>206845</v>
      </c>
    </row>
    <row r="7" customFormat="false" ht="15" hidden="false" customHeight="true" outlineLevel="0" collapsed="false">
      <c r="A7" s="20" t="s">
        <v>56</v>
      </c>
      <c r="B7" s="20" t="s">
        <v>57</v>
      </c>
      <c r="C7" s="21" t="n">
        <v>12104</v>
      </c>
      <c r="D7" s="21" t="n">
        <v>243755</v>
      </c>
    </row>
    <row r="8" customFormat="false" ht="15" hidden="false" customHeight="true" outlineLevel="0" collapsed="false">
      <c r="A8" s="22" t="s">
        <v>58</v>
      </c>
      <c r="B8" s="22" t="s">
        <v>59</v>
      </c>
      <c r="C8" s="23" t="n">
        <v>24401</v>
      </c>
      <c r="D8" s="23" t="n">
        <v>252627</v>
      </c>
    </row>
    <row r="9" customFormat="false" ht="15" hidden="false" customHeight="true" outlineLevel="0" collapsed="false">
      <c r="A9" s="20" t="s">
        <v>60</v>
      </c>
      <c r="B9" s="20" t="s">
        <v>61</v>
      </c>
      <c r="C9" s="21" t="n">
        <v>31897</v>
      </c>
      <c r="D9" s="21" t="n">
        <v>312061</v>
      </c>
    </row>
    <row r="10" customFormat="false" ht="15" hidden="false" customHeight="true" outlineLevel="0" collapsed="false">
      <c r="A10" s="22" t="s">
        <v>62</v>
      </c>
      <c r="B10" s="22" t="s">
        <v>63</v>
      </c>
      <c r="C10" s="23" t="n">
        <v>57924</v>
      </c>
      <c r="D10" s="23" t="n">
        <v>331962</v>
      </c>
    </row>
    <row r="11" customFormat="false" ht="15" hidden="false" customHeight="true" outlineLevel="0" collapsed="false">
      <c r="A11" s="20" t="s">
        <v>64</v>
      </c>
      <c r="B11" s="20" t="s">
        <v>65</v>
      </c>
      <c r="C11" s="21" t="n">
        <v>34332</v>
      </c>
      <c r="D11" s="21" t="n">
        <v>296838</v>
      </c>
    </row>
    <row r="12" customFormat="false" ht="15" hidden="false" customHeight="true" outlineLevel="0" collapsed="false">
      <c r="A12" s="22" t="s">
        <v>66</v>
      </c>
      <c r="B12" s="22" t="s">
        <v>53</v>
      </c>
      <c r="C12" s="23" t="n">
        <v>10974</v>
      </c>
      <c r="D12" s="23" t="n">
        <v>166042</v>
      </c>
    </row>
    <row r="13" customFormat="false" ht="15" hidden="false" customHeight="true" outlineLevel="0" collapsed="false">
      <c r="A13" s="20" t="s">
        <v>67</v>
      </c>
      <c r="B13" s="20" t="s">
        <v>55</v>
      </c>
      <c r="C13" s="21" t="n">
        <v>26767</v>
      </c>
      <c r="D13" s="21" t="n">
        <v>311935</v>
      </c>
    </row>
    <row r="14" customFormat="false" ht="15" hidden="false" customHeight="true" outlineLevel="0" collapsed="false">
      <c r="A14" s="22" t="s">
        <v>68</v>
      </c>
      <c r="B14" s="22" t="s">
        <v>57</v>
      </c>
      <c r="C14" s="23" t="n">
        <v>44006</v>
      </c>
      <c r="D14" s="23" t="n">
        <v>331161</v>
      </c>
    </row>
    <row r="15" customFormat="false" ht="15" hidden="false" customHeight="true" outlineLevel="0" collapsed="false">
      <c r="A15" s="20" t="s">
        <v>69</v>
      </c>
      <c r="B15" s="20" t="s">
        <v>59</v>
      </c>
      <c r="C15" s="21" t="n">
        <v>57857</v>
      </c>
      <c r="D15" s="21" t="n">
        <v>383324</v>
      </c>
    </row>
    <row r="16" customFormat="false" ht="15" hidden="false" customHeight="true" outlineLevel="0" collapsed="false">
      <c r="A16" s="22" t="s">
        <v>70</v>
      </c>
      <c r="B16" s="22" t="s">
        <v>61</v>
      </c>
      <c r="C16" s="23" t="n">
        <v>52356</v>
      </c>
      <c r="D16" s="23" t="n">
        <v>370117</v>
      </c>
    </row>
    <row r="17" customFormat="false" ht="15" hidden="false" customHeight="true" outlineLevel="0" collapsed="false">
      <c r="A17" s="20" t="s">
        <v>71</v>
      </c>
      <c r="B17" s="20" t="s">
        <v>63</v>
      </c>
      <c r="C17" s="21" t="n">
        <v>69535</v>
      </c>
      <c r="D17" s="21" t="n">
        <v>346920</v>
      </c>
    </row>
    <row r="18" customFormat="false" ht="15" hidden="false" customHeight="true" outlineLevel="0" collapsed="false">
      <c r="A18" s="22" t="s">
        <v>72</v>
      </c>
      <c r="B18" s="22" t="s">
        <v>65</v>
      </c>
      <c r="C18" s="23" t="n">
        <v>17213</v>
      </c>
      <c r="D18" s="23" t="n">
        <v>278157</v>
      </c>
    </row>
    <row r="19" customFormat="false" ht="15" hidden="false" customHeight="true" outlineLevel="0" collapsed="false">
      <c r="A19" s="20" t="s">
        <v>73</v>
      </c>
      <c r="B19" s="20" t="s">
        <v>53</v>
      </c>
      <c r="C19" s="21" t="n">
        <v>62214</v>
      </c>
      <c r="D19" s="21" t="n">
        <v>492203</v>
      </c>
    </row>
    <row r="20" customFormat="false" ht="15" hidden="false" customHeight="true" outlineLevel="0" collapsed="false">
      <c r="A20" s="22" t="s">
        <v>74</v>
      </c>
      <c r="B20" s="22" t="s">
        <v>55</v>
      </c>
      <c r="C20" s="23" t="n">
        <v>8584</v>
      </c>
      <c r="D20" s="23" t="n">
        <v>117354</v>
      </c>
    </row>
    <row r="21" customFormat="false" ht="15" hidden="false" customHeight="true" outlineLevel="0" collapsed="false">
      <c r="A21" s="20" t="s">
        <v>75</v>
      </c>
      <c r="B21" s="20" t="s">
        <v>57</v>
      </c>
      <c r="C21" s="21" t="n">
        <v>41284</v>
      </c>
      <c r="D21" s="21" t="n">
        <v>216991</v>
      </c>
    </row>
    <row r="22" customFormat="false" ht="15" hidden="false" customHeight="true" outlineLevel="0" collapsed="false">
      <c r="A22" s="22" t="s">
        <v>76</v>
      </c>
      <c r="B22" s="22" t="s">
        <v>59</v>
      </c>
      <c r="C22" s="23" t="n">
        <v>22873</v>
      </c>
      <c r="D22" s="23" t="n">
        <v>170428</v>
      </c>
    </row>
    <row r="23" customFormat="false" ht="15" hidden="false" customHeight="true" outlineLevel="0" collapsed="false">
      <c r="A23" s="20" t="s">
        <v>77</v>
      </c>
      <c r="B23" s="20" t="s">
        <v>61</v>
      </c>
      <c r="C23" s="21" t="n">
        <v>18087</v>
      </c>
      <c r="D23" s="21" t="n">
        <v>284159</v>
      </c>
    </row>
    <row r="24" customFormat="false" ht="15" hidden="false" customHeight="true" outlineLevel="0" collapsed="false">
      <c r="A24" s="22" t="s">
        <v>78</v>
      </c>
      <c r="B24" s="22" t="s">
        <v>63</v>
      </c>
      <c r="C24" s="23" t="n">
        <v>47733</v>
      </c>
      <c r="D24" s="23" t="n">
        <v>339825</v>
      </c>
    </row>
    <row r="25" customFormat="false" ht="15" hidden="false" customHeight="true" outlineLevel="0" collapsed="false">
      <c r="A25" s="20" t="s">
        <v>79</v>
      </c>
      <c r="B25" s="20" t="s">
        <v>65</v>
      </c>
      <c r="C25" s="21" t="n">
        <v>24870</v>
      </c>
      <c r="D25" s="21" t="n">
        <v>318893</v>
      </c>
    </row>
    <row r="26" customFormat="false" ht="15" hidden="false" customHeight="true" outlineLevel="0" collapsed="false">
      <c r="A26" s="22" t="s">
        <v>80</v>
      </c>
      <c r="B26" s="22" t="s">
        <v>53</v>
      </c>
      <c r="C26" s="23" t="n">
        <v>41547</v>
      </c>
      <c r="D26" s="23" t="n">
        <v>352684</v>
      </c>
    </row>
    <row r="27" customFormat="false" ht="15" hidden="false" customHeight="true" outlineLevel="0" collapsed="false">
      <c r="A27" s="20" t="s">
        <v>81</v>
      </c>
      <c r="B27" s="20" t="s">
        <v>55</v>
      </c>
      <c r="C27" s="21" t="n">
        <v>21910</v>
      </c>
      <c r="D27" s="21" t="n">
        <v>261693</v>
      </c>
    </row>
    <row r="28" customFormat="false" ht="15" hidden="false" customHeight="true" outlineLevel="0" collapsed="false">
      <c r="A28" s="22" t="s">
        <v>82</v>
      </c>
      <c r="B28" s="22" t="s">
        <v>57</v>
      </c>
      <c r="C28" s="23" t="n">
        <v>14754</v>
      </c>
      <c r="D28" s="23" t="n">
        <v>242835</v>
      </c>
    </row>
    <row r="30" customFormat="false" ht="21.75" hidden="false" customHeight="true" outlineLevel="0" collapsed="false">
      <c r="A30" s="24" t="s">
        <v>83</v>
      </c>
      <c r="B30" s="24"/>
      <c r="C30" s="24"/>
      <c r="D30" s="24"/>
    </row>
  </sheetData>
  <mergeCells count="3">
    <mergeCell ref="A1:D1"/>
    <mergeCell ref="A2:D2"/>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5" width="14"/>
    <col collapsed="false" customWidth="true" hidden="false" outlineLevel="0" max="3" min="3" style="5" width="20"/>
    <col collapsed="false" customWidth="true" hidden="false" outlineLevel="0" max="4" min="4" style="5" width="18"/>
  </cols>
  <sheetData>
    <row r="1" customFormat="false" ht="24" hidden="false" customHeight="true" outlineLevel="0" collapsed="false">
      <c r="A1" s="18" t="s">
        <v>84</v>
      </c>
      <c r="B1" s="18"/>
      <c r="C1" s="18"/>
      <c r="D1" s="18"/>
    </row>
    <row r="2" customFormat="false" ht="15" hidden="false" customHeight="true" outlineLevel="0" collapsed="false">
      <c r="A2" s="7" t="s">
        <v>85</v>
      </c>
      <c r="B2" s="7"/>
      <c r="C2" s="7"/>
      <c r="D2" s="7"/>
    </row>
    <row r="4" customFormat="false" ht="30" hidden="false" customHeight="true" outlineLevel="0" collapsed="false">
      <c r="A4" s="19" t="s">
        <v>48</v>
      </c>
      <c r="B4" s="19" t="s">
        <v>49</v>
      </c>
      <c r="C4" s="19" t="s">
        <v>50</v>
      </c>
      <c r="D4" s="19" t="s">
        <v>51</v>
      </c>
    </row>
    <row r="5" customFormat="false" ht="15" hidden="false" customHeight="true" outlineLevel="0" collapsed="false">
      <c r="A5" s="20" t="s">
        <v>52</v>
      </c>
      <c r="B5" s="20" t="s">
        <v>53</v>
      </c>
      <c r="C5" s="21" t="n">
        <v>35757</v>
      </c>
      <c r="D5" s="21" t="n">
        <v>177267</v>
      </c>
    </row>
    <row r="6" customFormat="false" ht="15" hidden="false" customHeight="true" outlineLevel="0" collapsed="false">
      <c r="A6" s="22" t="s">
        <v>54</v>
      </c>
      <c r="B6" s="22" t="s">
        <v>55</v>
      </c>
      <c r="C6" s="23" t="n">
        <v>38268</v>
      </c>
      <c r="D6" s="23" t="n">
        <v>213186</v>
      </c>
    </row>
    <row r="7" customFormat="false" ht="15" hidden="false" customHeight="true" outlineLevel="0" collapsed="false">
      <c r="A7" s="20" t="s">
        <v>56</v>
      </c>
      <c r="B7" s="20" t="s">
        <v>57</v>
      </c>
      <c r="C7" s="21" t="n">
        <v>54085</v>
      </c>
      <c r="D7" s="21" t="n">
        <v>203524</v>
      </c>
    </row>
    <row r="8" customFormat="false" ht="15" hidden="false" customHeight="true" outlineLevel="0" collapsed="false">
      <c r="A8" s="22" t="s">
        <v>58</v>
      </c>
      <c r="B8" s="22" t="s">
        <v>59</v>
      </c>
      <c r="C8" s="23" t="n">
        <v>66780</v>
      </c>
      <c r="D8" s="23" t="n">
        <v>275999</v>
      </c>
    </row>
    <row r="9" customFormat="false" ht="15" hidden="false" customHeight="true" outlineLevel="0" collapsed="false">
      <c r="A9" s="20" t="s">
        <v>60</v>
      </c>
      <c r="B9" s="20" t="s">
        <v>61</v>
      </c>
      <c r="C9" s="21" t="n">
        <v>7265</v>
      </c>
      <c r="D9" s="21" t="n">
        <v>206742</v>
      </c>
    </row>
    <row r="10" customFormat="false" ht="15" hidden="false" customHeight="true" outlineLevel="0" collapsed="false">
      <c r="A10" s="22" t="s">
        <v>62</v>
      </c>
      <c r="B10" s="22" t="s">
        <v>63</v>
      </c>
      <c r="C10" s="23" t="n">
        <v>14370</v>
      </c>
      <c r="D10" s="23" t="n">
        <v>191075</v>
      </c>
    </row>
    <row r="11" customFormat="false" ht="15" hidden="false" customHeight="true" outlineLevel="0" collapsed="false">
      <c r="A11" s="20" t="s">
        <v>64</v>
      </c>
      <c r="B11" s="20" t="s">
        <v>65</v>
      </c>
      <c r="C11" s="21" t="n">
        <v>58491</v>
      </c>
      <c r="D11" s="21" t="n">
        <v>188180</v>
      </c>
    </row>
    <row r="12" customFormat="false" ht="15" hidden="false" customHeight="true" outlineLevel="0" collapsed="false">
      <c r="A12" s="22" t="s">
        <v>66</v>
      </c>
      <c r="B12" s="22" t="s">
        <v>53</v>
      </c>
      <c r="C12" s="23" t="n">
        <v>66662</v>
      </c>
      <c r="D12" s="23" t="n">
        <v>224566</v>
      </c>
    </row>
    <row r="13" customFormat="false" ht="15" hidden="false" customHeight="true" outlineLevel="0" collapsed="false">
      <c r="A13" s="20" t="s">
        <v>67</v>
      </c>
      <c r="B13" s="20" t="s">
        <v>55</v>
      </c>
      <c r="C13" s="21" t="n">
        <v>21199</v>
      </c>
      <c r="D13" s="21" t="n">
        <v>213208</v>
      </c>
    </row>
    <row r="14" customFormat="false" ht="15" hidden="false" customHeight="true" outlineLevel="0" collapsed="false">
      <c r="A14" s="22" t="s">
        <v>68</v>
      </c>
      <c r="B14" s="22" t="s">
        <v>57</v>
      </c>
      <c r="C14" s="23" t="n">
        <v>25269</v>
      </c>
      <c r="D14" s="23" t="n">
        <v>198625</v>
      </c>
    </row>
    <row r="15" customFormat="false" ht="15" hidden="false" customHeight="true" outlineLevel="0" collapsed="false">
      <c r="A15" s="20" t="s">
        <v>69</v>
      </c>
      <c r="B15" s="20" t="s">
        <v>59</v>
      </c>
      <c r="C15" s="21" t="n">
        <v>61486</v>
      </c>
      <c r="D15" s="21" t="n">
        <v>314535</v>
      </c>
    </row>
    <row r="16" customFormat="false" ht="15" hidden="false" customHeight="true" outlineLevel="0" collapsed="false">
      <c r="A16" s="22" t="s">
        <v>70</v>
      </c>
      <c r="B16" s="22" t="s">
        <v>61</v>
      </c>
      <c r="C16" s="23" t="n">
        <v>32516</v>
      </c>
      <c r="D16" s="23" t="n">
        <v>279913</v>
      </c>
    </row>
    <row r="17" customFormat="false" ht="15" hidden="false" customHeight="true" outlineLevel="0" collapsed="false">
      <c r="A17" s="20" t="s">
        <v>71</v>
      </c>
      <c r="B17" s="20" t="s">
        <v>63</v>
      </c>
      <c r="C17" s="21" t="n">
        <v>22756</v>
      </c>
      <c r="D17" s="21" t="n">
        <v>50984</v>
      </c>
    </row>
    <row r="18" customFormat="false" ht="15" hidden="false" customHeight="true" outlineLevel="0" collapsed="false">
      <c r="A18" s="22" t="s">
        <v>72</v>
      </c>
      <c r="B18" s="22" t="s">
        <v>65</v>
      </c>
      <c r="C18" s="23" t="n">
        <v>58800</v>
      </c>
      <c r="D18" s="23" t="n">
        <v>121939</v>
      </c>
    </row>
    <row r="19" customFormat="false" ht="15" hidden="false" customHeight="true" outlineLevel="0" collapsed="false">
      <c r="A19" s="20" t="s">
        <v>73</v>
      </c>
      <c r="B19" s="20" t="s">
        <v>53</v>
      </c>
      <c r="C19" s="21" t="n">
        <v>21704</v>
      </c>
      <c r="D19" s="21" t="n">
        <v>202536</v>
      </c>
    </row>
    <row r="20" customFormat="false" ht="15" hidden="false" customHeight="true" outlineLevel="0" collapsed="false">
      <c r="A20" s="22" t="s">
        <v>74</v>
      </c>
      <c r="B20" s="22" t="s">
        <v>55</v>
      </c>
      <c r="C20" s="23" t="n">
        <v>31597</v>
      </c>
      <c r="D20" s="23" t="n">
        <v>193627</v>
      </c>
    </row>
    <row r="21" customFormat="false" ht="15" hidden="false" customHeight="true" outlineLevel="0" collapsed="false">
      <c r="A21" s="20" t="s">
        <v>75</v>
      </c>
      <c r="B21" s="20" t="s">
        <v>57</v>
      </c>
      <c r="C21" s="21" t="n">
        <v>46848</v>
      </c>
      <c r="D21" s="21" t="n">
        <v>240927</v>
      </c>
    </row>
    <row r="22" customFormat="false" ht="15" hidden="false" customHeight="true" outlineLevel="0" collapsed="false">
      <c r="A22" s="22" t="s">
        <v>76</v>
      </c>
      <c r="B22" s="22" t="s">
        <v>59</v>
      </c>
      <c r="C22" s="23" t="n">
        <v>40723</v>
      </c>
      <c r="D22" s="23" t="n">
        <v>237473</v>
      </c>
    </row>
    <row r="23" customFormat="false" ht="15" hidden="false" customHeight="true" outlineLevel="0" collapsed="false">
      <c r="A23" s="20" t="s">
        <v>77</v>
      </c>
      <c r="B23" s="20" t="s">
        <v>61</v>
      </c>
      <c r="C23" s="21" t="n">
        <v>10573</v>
      </c>
      <c r="D23" s="21" t="n">
        <v>333414</v>
      </c>
    </row>
    <row r="24" customFormat="false" ht="15" hidden="false" customHeight="true" outlineLevel="0" collapsed="false">
      <c r="A24" s="22" t="s">
        <v>78</v>
      </c>
      <c r="B24" s="22" t="s">
        <v>63</v>
      </c>
      <c r="C24" s="23" t="n">
        <v>6791</v>
      </c>
      <c r="D24" s="23" t="n">
        <v>137353</v>
      </c>
    </row>
    <row r="25" customFormat="false" ht="15" hidden="false" customHeight="true" outlineLevel="0" collapsed="false">
      <c r="A25" s="20" t="s">
        <v>79</v>
      </c>
      <c r="B25" s="20" t="s">
        <v>65</v>
      </c>
      <c r="C25" s="21" t="n">
        <v>61263</v>
      </c>
      <c r="D25" s="21" t="n">
        <v>214101</v>
      </c>
    </row>
    <row r="26" customFormat="false" ht="15" hidden="false" customHeight="true" outlineLevel="0" collapsed="false">
      <c r="A26" s="22" t="s">
        <v>80</v>
      </c>
      <c r="B26" s="22" t="s">
        <v>53</v>
      </c>
      <c r="C26" s="23" t="n">
        <v>53978</v>
      </c>
      <c r="D26" s="23" t="n">
        <v>354953</v>
      </c>
    </row>
    <row r="27" customFormat="false" ht="15" hidden="false" customHeight="true" outlineLevel="0" collapsed="false">
      <c r="A27" s="20" t="s">
        <v>81</v>
      </c>
      <c r="B27" s="20" t="s">
        <v>55</v>
      </c>
      <c r="C27" s="21" t="n">
        <v>59462</v>
      </c>
      <c r="D27" s="21" t="n">
        <v>274479</v>
      </c>
    </row>
    <row r="28" customFormat="false" ht="15" hidden="false" customHeight="true" outlineLevel="0" collapsed="false">
      <c r="A28" s="22" t="s">
        <v>82</v>
      </c>
      <c r="B28" s="22" t="s">
        <v>57</v>
      </c>
      <c r="C28" s="23" t="n">
        <v>39979</v>
      </c>
      <c r="D28" s="23" t="n">
        <v>263771</v>
      </c>
    </row>
    <row r="30" customFormat="false" ht="21.75" hidden="false" customHeight="true" outlineLevel="0" collapsed="false">
      <c r="A30" s="24" t="s">
        <v>86</v>
      </c>
      <c r="B30" s="24"/>
      <c r="C30" s="24"/>
      <c r="D30" s="24"/>
    </row>
  </sheetData>
  <mergeCells count="3">
    <mergeCell ref="A1:D1"/>
    <mergeCell ref="A2:D2"/>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5" width="14"/>
    <col collapsed="false" customWidth="true" hidden="false" outlineLevel="0" max="4" min="4" style="5" width="18"/>
  </cols>
  <sheetData>
    <row r="1" customFormat="false" ht="24" hidden="false" customHeight="true" outlineLevel="0" collapsed="false">
      <c r="A1" s="18" t="s">
        <v>87</v>
      </c>
      <c r="B1" s="18"/>
      <c r="C1" s="18"/>
      <c r="D1" s="18"/>
    </row>
    <row r="2" customFormat="false" ht="15" hidden="false" customHeight="true" outlineLevel="0" collapsed="false">
      <c r="A2" s="7" t="s">
        <v>88</v>
      </c>
      <c r="B2" s="7"/>
      <c r="C2" s="7"/>
      <c r="D2" s="7"/>
    </row>
    <row r="4" customFormat="false" ht="30" hidden="false" customHeight="true" outlineLevel="0" collapsed="false">
      <c r="A4" s="19" t="s">
        <v>48</v>
      </c>
      <c r="B4" s="19" t="s">
        <v>49</v>
      </c>
      <c r="C4" s="19" t="s">
        <v>89</v>
      </c>
      <c r="D4" s="19" t="s">
        <v>51</v>
      </c>
    </row>
    <row r="5" customFormat="false" ht="15" hidden="false" customHeight="true" outlineLevel="0" collapsed="false">
      <c r="A5" s="20" t="s">
        <v>52</v>
      </c>
      <c r="B5" s="20" t="s">
        <v>53</v>
      </c>
      <c r="C5" s="20" t="n">
        <v>2</v>
      </c>
      <c r="D5" s="21" t="n">
        <v>221277</v>
      </c>
    </row>
    <row r="6" customFormat="false" ht="15" hidden="false" customHeight="true" outlineLevel="0" collapsed="false">
      <c r="A6" s="22" t="s">
        <v>54</v>
      </c>
      <c r="B6" s="22" t="s">
        <v>55</v>
      </c>
      <c r="C6" s="22" t="n">
        <v>2</v>
      </c>
      <c r="D6" s="23" t="n">
        <v>251081</v>
      </c>
    </row>
    <row r="7" customFormat="false" ht="15" hidden="false" customHeight="true" outlineLevel="0" collapsed="false">
      <c r="A7" s="20" t="s">
        <v>56</v>
      </c>
      <c r="B7" s="20" t="s">
        <v>57</v>
      </c>
      <c r="C7" s="20" t="n">
        <v>2</v>
      </c>
      <c r="D7" s="21" t="n">
        <v>254640</v>
      </c>
    </row>
    <row r="8" customFormat="false" ht="15" hidden="false" customHeight="true" outlineLevel="0" collapsed="false">
      <c r="A8" s="22" t="s">
        <v>58</v>
      </c>
      <c r="B8" s="22" t="s">
        <v>59</v>
      </c>
      <c r="C8" s="22" t="n">
        <v>3</v>
      </c>
      <c r="D8" s="23" t="n">
        <v>277034</v>
      </c>
    </row>
    <row r="9" customFormat="false" ht="15" hidden="false" customHeight="true" outlineLevel="0" collapsed="false">
      <c r="A9" s="20" t="s">
        <v>60</v>
      </c>
      <c r="B9" s="20" t="s">
        <v>61</v>
      </c>
      <c r="C9" s="20" t="n">
        <v>4</v>
      </c>
      <c r="D9" s="21" t="n">
        <v>339901</v>
      </c>
    </row>
    <row r="10" customFormat="false" ht="15" hidden="false" customHeight="true" outlineLevel="0" collapsed="false">
      <c r="A10" s="22" t="s">
        <v>62</v>
      </c>
      <c r="B10" s="22" t="s">
        <v>63</v>
      </c>
      <c r="C10" s="22" t="n">
        <v>5</v>
      </c>
      <c r="D10" s="23" t="n">
        <v>354026</v>
      </c>
    </row>
    <row r="11" customFormat="false" ht="15" hidden="false" customHeight="true" outlineLevel="0" collapsed="false">
      <c r="A11" s="20" t="s">
        <v>64</v>
      </c>
      <c r="B11" s="20" t="s">
        <v>65</v>
      </c>
      <c r="C11" s="20" t="n">
        <v>6</v>
      </c>
      <c r="D11" s="21" t="n">
        <v>386316</v>
      </c>
    </row>
    <row r="12" customFormat="false" ht="15" hidden="false" customHeight="true" outlineLevel="0" collapsed="false">
      <c r="A12" s="22" t="s">
        <v>66</v>
      </c>
      <c r="B12" s="22" t="s">
        <v>53</v>
      </c>
      <c r="C12" s="22" t="n">
        <v>6</v>
      </c>
      <c r="D12" s="23" t="n">
        <v>387739</v>
      </c>
    </row>
    <row r="13" customFormat="false" ht="15" hidden="false" customHeight="true" outlineLevel="0" collapsed="false">
      <c r="A13" s="20" t="s">
        <v>67</v>
      </c>
      <c r="B13" s="20" t="s">
        <v>55</v>
      </c>
      <c r="C13" s="20" t="n">
        <v>6</v>
      </c>
      <c r="D13" s="21" t="n">
        <v>364749</v>
      </c>
    </row>
    <row r="14" customFormat="false" ht="15" hidden="false" customHeight="true" outlineLevel="0" collapsed="false">
      <c r="A14" s="22" t="s">
        <v>68</v>
      </c>
      <c r="B14" s="22" t="s">
        <v>57</v>
      </c>
      <c r="C14" s="22" t="n">
        <v>6</v>
      </c>
      <c r="D14" s="23" t="n">
        <v>384841</v>
      </c>
    </row>
    <row r="15" customFormat="false" ht="15" hidden="false" customHeight="true" outlineLevel="0" collapsed="false">
      <c r="A15" s="20" t="s">
        <v>69</v>
      </c>
      <c r="B15" s="20" t="s">
        <v>59</v>
      </c>
      <c r="C15" s="20" t="n">
        <v>7</v>
      </c>
      <c r="D15" s="21" t="n">
        <v>385090</v>
      </c>
    </row>
    <row r="16" customFormat="false" ht="15" hidden="false" customHeight="true" outlineLevel="0" collapsed="false">
      <c r="A16" s="22" t="s">
        <v>70</v>
      </c>
      <c r="B16" s="22" t="s">
        <v>61</v>
      </c>
      <c r="C16" s="22" t="n">
        <v>8</v>
      </c>
      <c r="D16" s="23" t="n">
        <v>398872</v>
      </c>
    </row>
    <row r="17" customFormat="false" ht="15" hidden="false" customHeight="true" outlineLevel="0" collapsed="false">
      <c r="A17" s="20" t="s">
        <v>71</v>
      </c>
      <c r="B17" s="20" t="s">
        <v>63</v>
      </c>
      <c r="C17" s="20" t="n">
        <v>8</v>
      </c>
      <c r="D17" s="21" t="n">
        <v>406847</v>
      </c>
    </row>
    <row r="18" customFormat="false" ht="15" hidden="false" customHeight="true" outlineLevel="0" collapsed="false">
      <c r="A18" s="22" t="s">
        <v>72</v>
      </c>
      <c r="B18" s="22" t="s">
        <v>65</v>
      </c>
      <c r="C18" s="22" t="n">
        <v>8</v>
      </c>
      <c r="D18" s="23" t="n">
        <v>383950</v>
      </c>
    </row>
    <row r="19" customFormat="false" ht="15" hidden="false" customHeight="true" outlineLevel="0" collapsed="false">
      <c r="A19" s="20" t="s">
        <v>73</v>
      </c>
      <c r="B19" s="20" t="s">
        <v>53</v>
      </c>
      <c r="C19" s="20" t="n">
        <v>9</v>
      </c>
      <c r="D19" s="21" t="n">
        <v>400971</v>
      </c>
    </row>
    <row r="20" customFormat="false" ht="15" hidden="false" customHeight="true" outlineLevel="0" collapsed="false">
      <c r="A20" s="22" t="s">
        <v>74</v>
      </c>
      <c r="B20" s="22" t="s">
        <v>55</v>
      </c>
      <c r="C20" s="22" t="n">
        <v>10</v>
      </c>
      <c r="D20" s="23" t="n">
        <v>433562</v>
      </c>
    </row>
    <row r="21" customFormat="false" ht="15" hidden="false" customHeight="true" outlineLevel="0" collapsed="false">
      <c r="A21" s="20" t="s">
        <v>75</v>
      </c>
      <c r="B21" s="20" t="s">
        <v>57</v>
      </c>
      <c r="C21" s="20" t="n">
        <v>10</v>
      </c>
      <c r="D21" s="21" t="n">
        <v>439748</v>
      </c>
    </row>
    <row r="22" customFormat="false" ht="15" hidden="false" customHeight="true" outlineLevel="0" collapsed="false">
      <c r="A22" s="22" t="s">
        <v>76</v>
      </c>
      <c r="B22" s="22" t="s">
        <v>59</v>
      </c>
      <c r="C22" s="22" t="n">
        <v>10</v>
      </c>
      <c r="D22" s="23" t="n">
        <v>442867</v>
      </c>
    </row>
    <row r="23" customFormat="false" ht="15" hidden="false" customHeight="true" outlineLevel="0" collapsed="false">
      <c r="A23" s="20" t="s">
        <v>77</v>
      </c>
      <c r="B23" s="20" t="s">
        <v>61</v>
      </c>
      <c r="C23" s="20" t="n">
        <v>10</v>
      </c>
      <c r="D23" s="21" t="n">
        <v>423125</v>
      </c>
    </row>
    <row r="24" customFormat="false" ht="15" hidden="false" customHeight="true" outlineLevel="0" collapsed="false">
      <c r="A24" s="22" t="s">
        <v>78</v>
      </c>
      <c r="B24" s="22" t="s">
        <v>63</v>
      </c>
      <c r="C24" s="22" t="n">
        <v>11</v>
      </c>
      <c r="D24" s="23" t="n">
        <v>445704</v>
      </c>
    </row>
    <row r="25" customFormat="false" ht="15" hidden="false" customHeight="true" outlineLevel="0" collapsed="false">
      <c r="A25" s="20" t="s">
        <v>79</v>
      </c>
      <c r="B25" s="20" t="s">
        <v>65</v>
      </c>
      <c r="C25" s="20" t="n">
        <v>11</v>
      </c>
      <c r="D25" s="21" t="n">
        <v>458765</v>
      </c>
    </row>
    <row r="26" customFormat="false" ht="15" hidden="false" customHeight="true" outlineLevel="0" collapsed="false">
      <c r="A26" s="22" t="s">
        <v>80</v>
      </c>
      <c r="B26" s="22" t="s">
        <v>53</v>
      </c>
      <c r="C26" s="22" t="n">
        <v>11</v>
      </c>
      <c r="D26" s="23" t="n">
        <v>452925</v>
      </c>
    </row>
    <row r="27" customFormat="false" ht="15" hidden="false" customHeight="true" outlineLevel="0" collapsed="false">
      <c r="A27" s="20" t="s">
        <v>81</v>
      </c>
      <c r="B27" s="20" t="s">
        <v>55</v>
      </c>
      <c r="C27" s="20" t="n">
        <v>12</v>
      </c>
      <c r="D27" s="21" t="n">
        <v>418311</v>
      </c>
    </row>
    <row r="28" customFormat="false" ht="15" hidden="false" customHeight="true" outlineLevel="0" collapsed="false">
      <c r="A28" s="22" t="s">
        <v>82</v>
      </c>
      <c r="B28" s="22" t="s">
        <v>57</v>
      </c>
      <c r="C28" s="22" t="n">
        <v>12</v>
      </c>
      <c r="D28" s="23" t="n">
        <v>412861</v>
      </c>
    </row>
    <row r="30" customFormat="false" ht="32.25" hidden="false" customHeight="true" outlineLevel="0" collapsed="false">
      <c r="A30" s="24" t="s">
        <v>90</v>
      </c>
      <c r="B30" s="24"/>
      <c r="C30" s="24"/>
      <c r="D30" s="24"/>
    </row>
  </sheetData>
  <mergeCells count="3">
    <mergeCell ref="A1:D1"/>
    <mergeCell ref="A2:D2"/>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2026-08-27T23:53:56Z</dcterms:created>
  <dc:creator>openpyxl</dc:creator>
  <dc:description/>
  <dc:language>en-US</dc:language>
  <cp:lastModifiedBy/>
  <dcterms:modified xsi:type="dcterms:W3CDTF">2026-09-04T03:37:52Z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